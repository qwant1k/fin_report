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6095CA26-0093-434E-A275-4F47D97D4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08.25" sheetId="2" r:id="rId2"/>
    <sheet name="Риск цены за 28.08.25" sheetId="4" r:id="rId3"/>
  </sheets>
  <definedNames>
    <definedName name="_xlnm._FilterDatabase" localSheetId="1" hidden="1">'KASE за 28.08.25'!#REF!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O78" i="1"/>
  <c r="D65" i="1"/>
  <c r="L71" i="1"/>
  <c r="M70" i="1"/>
  <c r="M71" i="1"/>
  <c r="M72" i="1"/>
  <c r="M75" i="1"/>
  <c r="M76" i="1"/>
  <c r="L70" i="1"/>
  <c r="L72" i="1"/>
  <c r="L73" i="1"/>
  <c r="M73" i="1" s="1"/>
  <c r="L74" i="1"/>
  <c r="M74" i="1" s="1"/>
  <c r="L75" i="1"/>
  <c r="L76" i="1"/>
  <c r="C78" i="1"/>
  <c r="J78" i="1"/>
  <c r="I78" i="1"/>
  <c r="B93" i="1"/>
  <c r="B97" i="1"/>
  <c r="B96" i="1"/>
  <c r="L69" i="1"/>
  <c r="M69" i="1" s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M78" i="1" l="1"/>
  <c r="L78" i="1"/>
  <c r="L61" i="1"/>
  <c r="O60" i="1"/>
  <c r="L60" i="1"/>
  <c r="B95" i="1"/>
  <c r="B91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1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6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  <c r="O62" i="1" l="1"/>
</calcChain>
</file>

<file path=xl/sharedStrings.xml><?xml version="1.0" encoding="utf-8"?>
<sst xmlns="http://schemas.openxmlformats.org/spreadsheetml/2006/main" count="6509" uniqueCount="2858">
  <si>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</si>
  <si>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</si>
  <si>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</si>
  <si>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</si>
  <si>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</si>
  <si>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</si>
  <si>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</si>
  <si>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</si>
  <si>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</si>
  <si>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</si>
  <si>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</si>
  <si>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</si>
  <si>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</si>
  <si>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</si>
  <si>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</si>
  <si>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</si>
  <si>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</si>
  <si>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</si>
  <si>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</si>
  <si>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</si>
  <si>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</si>
  <si>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</si>
  <si>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</si>
  <si>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</si>
  <si>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</si>
  <si>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</si>
  <si>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</si>
  <si>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</si>
  <si>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</si>
  <si>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</si>
  <si>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</si>
  <si>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</si>
  <si>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</si>
  <si>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</si>
  <si>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</si>
  <si>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</si>
  <si>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</si>
  <si>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</si>
  <si>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</si>
  <si>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</si>
  <si>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</si>
  <si>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</si>
  <si>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</si>
  <si>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</si>
  <si>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</si>
  <si>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</si>
  <si>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</si>
  <si>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</si>
  <si>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</si>
  <si>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</si>
  <si>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</si>
  <si>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</si>
  <si>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</si>
  <si>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</si>
  <si>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</si>
  <si>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</si>
  <si>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</si>
  <si>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</si>
  <si>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</si>
  <si>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</si>
  <si>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</si>
  <si>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</si>
  <si>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</si>
  <si>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</si>
  <si>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</si>
  <si>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</si>
  <si>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</si>
  <si>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</si>
  <si>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</si>
  <si>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</si>
  <si>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</si>
  <si>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</si>
  <si>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</si>
  <si>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</si>
  <si>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</si>
  <si>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</si>
  <si>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</si>
  <si>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</si>
  <si>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</si>
  <si>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</si>
  <si>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</si>
  <si>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</si>
  <si>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</si>
  <si>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</si>
  <si>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</si>
  <si>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</si>
  <si>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</si>
  <si>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</si>
  <si>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</si>
  <si>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</si>
  <si>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</si>
  <si>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</si>
  <si>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</si>
  <si>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</si>
  <si>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</si>
  <si>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</si>
  <si>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</si>
  <si>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</si>
  <si>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</si>
  <si>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</si>
  <si>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</si>
  <si>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</si>
  <si>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</si>
  <si>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</si>
  <si>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</si>
  <si>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</si>
  <si>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</si>
  <si>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</si>
  <si>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</si>
  <si>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</si>
  <si>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</si>
  <si>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</si>
  <si>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</si>
  <si>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</si>
  <si>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</si>
  <si>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</si>
  <si>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</si>
  <si>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</si>
  <si>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</si>
  <si>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</si>
  <si>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</si>
  <si>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</si>
  <si>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</si>
  <si>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</si>
  <si>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</si>
  <si>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</si>
  <si>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</si>
  <si>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</si>
  <si>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</si>
  <si>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</si>
  <si>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</si>
  <si>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</si>
  <si>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</si>
  <si>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</si>
  <si>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</si>
  <si>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</si>
  <si>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</si>
  <si>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</si>
  <si>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</si>
  <si>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</si>
  <si>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</si>
  <si>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</si>
  <si>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</si>
  <si>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</si>
  <si>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</si>
  <si>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</si>
  <si>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</si>
  <si>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</si>
  <si>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</si>
  <si>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</si>
  <si>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</si>
  <si>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</si>
  <si>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</si>
  <si>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</si>
  <si>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</si>
  <si>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</si>
  <si>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</si>
  <si>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</si>
  <si>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</si>
  <si>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</si>
  <si>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</si>
  <si>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</si>
  <si>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</si>
  <si>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</si>
  <si>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</si>
  <si>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</si>
  <si>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</si>
  <si>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</si>
  <si>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</si>
  <si>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</si>
  <si>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</si>
  <si>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</si>
  <si>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</si>
  <si>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</si>
  <si>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</si>
  <si>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</si>
  <si>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</si>
  <si>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</si>
  <si>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</si>
  <si>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</si>
  <si>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</si>
  <si>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</si>
  <si>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</si>
  <si>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</si>
  <si>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</si>
  <si>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</si>
  <si>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</si>
  <si>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</si>
  <si>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</si>
  <si>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</si>
  <si>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</si>
  <si>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</si>
  <si>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</si>
  <si>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</si>
  <si>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</si>
  <si>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</si>
  <si>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</si>
  <si>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</si>
  <si>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</si>
  <si>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</si>
  <si>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</si>
  <si>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</si>
  <si>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</si>
  <si>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</si>
  <si>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</si>
  <si>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</si>
  <si>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</si>
  <si>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</si>
  <si>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</si>
  <si>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</si>
  <si>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</si>
  <si>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</si>
  <si>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</si>
  <si>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</si>
  <si>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</si>
  <si>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</si>
  <si>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</si>
  <si>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</si>
  <si>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</si>
  <si>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</si>
  <si>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</si>
  <si>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</si>
  <si>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</si>
  <si>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</si>
  <si>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</si>
  <si>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</si>
  <si>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</si>
  <si>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</si>
  <si>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</si>
  <si>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</si>
  <si>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</si>
  <si>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</si>
  <si>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</si>
  <si>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</si>
  <si>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</si>
  <si>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</si>
  <si>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</si>
  <si>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</si>
  <si>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</si>
  <si>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</si>
  <si>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</si>
  <si>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</si>
  <si>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</si>
  <si>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</si>
  <si>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</si>
  <si>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</si>
  <si>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</si>
  <si>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</si>
  <si>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</si>
  <si>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</si>
  <si>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</si>
  <si>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</si>
  <si>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</si>
  <si>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</si>
  <si>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</si>
  <si>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</si>
  <si>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</si>
  <si>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</si>
  <si>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</si>
  <si>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</si>
  <si>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</si>
  <si>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</si>
  <si>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</si>
  <si>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</si>
  <si>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</si>
  <si>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</si>
  <si>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</si>
  <si>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</si>
  <si>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</si>
  <si>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</si>
  <si>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</si>
  <si>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</si>
  <si>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</si>
  <si>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</si>
  <si>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</si>
  <si>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</si>
  <si>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</si>
  <si>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</si>
  <si>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</si>
  <si>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</si>
  <si>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</si>
  <si>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</si>
  <si>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</si>
  <si>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</si>
  <si>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</si>
  <si>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</si>
  <si>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</si>
  <si>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</si>
  <si>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</si>
  <si>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</si>
  <si>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</si>
  <si>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</si>
  <si>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</si>
  <si>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</si>
  <si>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</si>
  <si>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</si>
  <si>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</si>
  <si>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</si>
  <si>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</si>
  <si>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</si>
  <si>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</si>
  <si>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</si>
  <si>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</si>
  <si>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</si>
  <si>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</si>
  <si>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</si>
  <si>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</si>
  <si>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</si>
  <si>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</si>
  <si>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</si>
  <si>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</si>
  <si>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</si>
  <si>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</si>
  <si>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</si>
  <si>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</si>
  <si>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</si>
  <si>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</si>
  <si>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</si>
  <si>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</si>
  <si>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</si>
  <si>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</si>
  <si>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</si>
  <si>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</si>
  <si>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</si>
  <si>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</si>
  <si>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</si>
  <si>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</si>
  <si>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</si>
  <si>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</si>
  <si>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</si>
  <si>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</si>
  <si>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</si>
  <si>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</si>
  <si>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</si>
  <si>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</si>
  <si>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</si>
  <si>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</si>
  <si>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</si>
  <si>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</si>
  <si>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</si>
  <si>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</si>
  <si>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</si>
  <si>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</si>
  <si>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</si>
  <si>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</si>
  <si>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</si>
  <si>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</si>
  <si>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</si>
  <si>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</si>
  <si>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</si>
  <si>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</si>
  <si>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</si>
  <si>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</si>
  <si>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</si>
  <si>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</si>
  <si>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</si>
  <si>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</si>
  <si>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</si>
  <si>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</si>
  <si>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</si>
  <si>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</si>
  <si>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</si>
  <si>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</si>
  <si>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</si>
  <si>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</si>
  <si>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</si>
  <si>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</si>
  <si>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</si>
  <si>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</si>
  <si>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</si>
  <si>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</si>
  <si>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</si>
  <si>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</si>
  <si>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</si>
  <si>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</si>
  <si>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</si>
  <si>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</si>
  <si>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</si>
  <si>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</si>
  <si>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</si>
  <si>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</si>
  <si>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</si>
  <si>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</si>
  <si>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</si>
  <si>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</si>
  <si>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</si>
  <si>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</si>
  <si>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</si>
  <si>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</si>
  <si>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</si>
  <si>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</si>
  <si>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</si>
  <si>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</si>
  <si>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</si>
  <si>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</si>
  <si>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</si>
  <si>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</si>
  <si>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</si>
  <si>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</si>
  <si>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</si>
  <si>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</si>
  <si>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</si>
  <si>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</si>
  <si>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</si>
  <si>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</si>
  <si>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</si>
  <si>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</si>
  <si>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</si>
  <si>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</si>
  <si>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</si>
  <si>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</si>
  <si>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</si>
  <si>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</si>
  <si>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</si>
  <si>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</si>
  <si>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</si>
  <si>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</si>
  <si>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</si>
  <si>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</si>
  <si>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</si>
  <si>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</si>
  <si>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</si>
  <si>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</si>
  <si>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</si>
  <si>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</si>
  <si>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</si>
  <si>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</si>
  <si>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</si>
  <si>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</si>
  <si>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</si>
  <si>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</si>
  <si>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</si>
  <si>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</si>
  <si>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</si>
  <si>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</si>
  <si>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</si>
  <si>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</si>
  <si>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</si>
  <si>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</si>
  <si>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</si>
  <si>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</si>
  <si>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</si>
  <si>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</si>
  <si>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</si>
  <si>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</si>
  <si>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</si>
  <si>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</si>
  <si>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</si>
  <si>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</si>
  <si>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</si>
  <si>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</si>
  <si>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</si>
  <si>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</si>
  <si>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</si>
  <si>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</si>
  <si>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</si>
  <si>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</si>
  <si>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</si>
  <si>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</si>
  <si>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</si>
  <si>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</si>
  <si>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</si>
  <si>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</si>
  <si>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</si>
  <si>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</si>
  <si>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</si>
  <si>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</si>
  <si>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</si>
  <si>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</si>
  <si>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</si>
  <si>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</si>
  <si>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</si>
  <si>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</si>
  <si>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</si>
  <si>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</si>
  <si>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</si>
  <si>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</si>
  <si>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</si>
  <si>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</si>
  <si>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</si>
  <si>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</si>
  <si>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</si>
  <si>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</si>
  <si>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</si>
  <si>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</si>
  <si>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</si>
  <si>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</si>
  <si>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</si>
  <si>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</si>
  <si>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</si>
  <si>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</si>
  <si>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</si>
  <si>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</si>
  <si>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</si>
  <si>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</si>
  <si>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</si>
  <si>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</si>
  <si>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</si>
  <si>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</si>
  <si>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</si>
  <si>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</si>
  <si>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</si>
  <si>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</si>
  <si>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</si>
  <si>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</si>
  <si>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</si>
  <si>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</si>
  <si>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</si>
  <si>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</si>
  <si>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</si>
  <si>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</si>
  <si>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</si>
  <si>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</si>
  <si>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</si>
  <si>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</si>
  <si>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</si>
  <si>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</si>
  <si>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</si>
  <si>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</si>
  <si>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</si>
  <si>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</si>
  <si>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</si>
  <si>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</si>
  <si>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</si>
  <si>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</si>
  <si>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</si>
  <si>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</si>
  <si>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</si>
  <si>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</si>
  <si>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</si>
  <si>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</si>
  <si>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</si>
  <si>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</si>
  <si>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</si>
  <si>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</si>
  <si>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</si>
  <si>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</si>
  <si>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</si>
  <si>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</si>
  <si>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</si>
  <si>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</si>
  <si>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</si>
  <si>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</si>
  <si>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</si>
  <si>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</si>
  <si>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</si>
  <si>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</si>
  <si>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</si>
  <si>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</si>
  <si>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</si>
  <si>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</si>
  <si>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</si>
  <si>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</si>
  <si>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</si>
  <si>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</si>
  <si>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</si>
  <si>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</si>
  <si>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</si>
  <si>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</si>
  <si>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</si>
  <si>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</si>
  <si>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</si>
  <si>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</si>
  <si>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</si>
  <si>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</si>
  <si>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</si>
  <si>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</si>
  <si>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</si>
  <si>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</si>
  <si>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</si>
  <si>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</si>
  <si>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</si>
  <si>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</si>
  <si>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</si>
  <si>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</si>
  <si>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</si>
  <si>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</si>
  <si>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</si>
  <si>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</si>
  <si>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</si>
  <si>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</si>
  <si>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</si>
  <si>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</si>
  <si>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</si>
  <si>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</si>
  <si>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</si>
  <si>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</si>
  <si>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</si>
  <si>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</si>
  <si>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</si>
  <si>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</si>
  <si>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</si>
  <si>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</si>
  <si>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</si>
  <si>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</si>
  <si>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</si>
  <si>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</si>
  <si>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</si>
  <si>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</si>
  <si>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</si>
  <si>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</si>
  <si>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</si>
  <si>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</si>
  <si>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</si>
  <si>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</si>
  <si>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</si>
  <si>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</si>
  <si>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</si>
  <si>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</si>
  <si>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</si>
  <si>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</si>
  <si>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</si>
  <si>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</si>
  <si>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</si>
  <si>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</si>
  <si>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</si>
  <si>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</si>
  <si>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</si>
  <si>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</si>
  <si>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</si>
  <si>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</si>
  <si>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</si>
  <si>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</si>
  <si>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</si>
  <si>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</si>
  <si>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</si>
  <si>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</si>
  <si>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</si>
  <si>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</si>
  <si>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</si>
  <si>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</si>
  <si>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</si>
  <si>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</si>
  <si>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</si>
  <si>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</si>
  <si>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</si>
  <si>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</si>
  <si>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</si>
  <si>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</si>
  <si>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</si>
  <si>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</si>
  <si>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</si>
  <si>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</si>
  <si>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</si>
  <si>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</si>
  <si>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</si>
  <si>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</si>
  <si>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</si>
  <si>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</si>
  <si>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</si>
  <si>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</si>
  <si>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</si>
  <si>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</si>
  <si>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</si>
  <si>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</si>
  <si>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</si>
  <si>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</si>
  <si>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</si>
  <si>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</si>
  <si>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</si>
  <si>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</si>
  <si>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</si>
  <si>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</si>
  <si>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</si>
  <si>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</si>
  <si>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</si>
  <si>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</si>
  <si>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</si>
  <si>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</si>
  <si>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</si>
  <si>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</si>
  <si>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</si>
  <si>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</si>
  <si>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</si>
  <si>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</si>
  <si>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</si>
  <si>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</si>
  <si>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</si>
  <si>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</si>
  <si>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</si>
  <si>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</si>
  <si>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</si>
  <si>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</si>
  <si>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</si>
  <si>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</si>
  <si>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</si>
  <si>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</si>
  <si>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</si>
  <si>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</si>
  <si>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</si>
  <si>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</si>
  <si>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</si>
  <si>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</si>
  <si>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</si>
  <si>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</si>
  <si>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</si>
  <si>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</si>
  <si>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</si>
  <si>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</si>
  <si>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</si>
  <si>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</si>
  <si>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</si>
  <si>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</si>
  <si>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</si>
  <si>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</si>
  <si>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</si>
  <si>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</si>
  <si>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</si>
  <si>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</si>
  <si>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</si>
  <si>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</si>
  <si>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</si>
  <si>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</si>
  <si>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</si>
  <si>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</si>
  <si>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</si>
  <si>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</si>
  <si>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</si>
  <si>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</si>
  <si>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</si>
  <si>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</si>
  <si>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</si>
  <si>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</si>
  <si>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</si>
  <si>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</si>
  <si>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</si>
  <si>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</si>
  <si>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</si>
  <si>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</si>
  <si>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</si>
  <si>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</si>
  <si>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</si>
  <si>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</si>
  <si>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</si>
  <si>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</si>
  <si>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</si>
  <si>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</si>
  <si>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</si>
  <si>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</si>
  <si>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</si>
  <si>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</si>
  <si>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</si>
  <si>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</si>
  <si>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</si>
  <si>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</si>
  <si>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</si>
  <si>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</si>
  <si>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</si>
  <si>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</si>
  <si>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</si>
  <si>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</si>
  <si>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</si>
  <si>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</si>
  <si>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</si>
  <si>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</si>
  <si>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</si>
  <si>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</si>
  <si>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</si>
  <si>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</si>
  <si>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</si>
  <si>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</si>
  <si>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</si>
  <si>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</si>
  <si>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</si>
  <si>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</si>
  <si>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</si>
  <si>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</si>
  <si>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</si>
  <si>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</si>
  <si>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</si>
  <si>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</si>
  <si>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</si>
  <si>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</si>
  <si>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</si>
  <si>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</si>
  <si>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</si>
  <si>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</si>
  <si>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</si>
  <si>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</si>
  <si>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</si>
  <si>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</si>
  <si>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</si>
  <si>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</si>
  <si>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</si>
  <si>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</si>
  <si>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</si>
  <si>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</si>
  <si>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</si>
  <si>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</si>
  <si>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</si>
  <si>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</si>
  <si>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</si>
  <si>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</si>
  <si>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</si>
  <si>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</si>
  <si>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</si>
  <si>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</si>
  <si>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</si>
  <si>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</si>
  <si>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</si>
  <si>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</si>
  <si>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</si>
  <si>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</si>
  <si>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</si>
  <si>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</si>
  <si>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</si>
  <si>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</si>
  <si>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</si>
  <si>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</si>
  <si>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</si>
  <si>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</si>
  <si>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</si>
  <si>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</si>
  <si>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</si>
  <si>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</si>
  <si>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</si>
  <si>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</si>
  <si>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</si>
  <si>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</si>
  <si>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</si>
  <si>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</si>
  <si>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</si>
  <si>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</si>
  <si>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</si>
  <si>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</si>
  <si>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</si>
  <si>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</si>
  <si>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</si>
  <si>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</si>
  <si>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</si>
  <si>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</si>
  <si>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</si>
  <si>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</si>
  <si>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</si>
  <si>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</si>
  <si>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</si>
  <si>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</si>
  <si>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</si>
  <si>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</si>
  <si>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</si>
  <si>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</si>
  <si>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</si>
  <si>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</si>
  <si>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</si>
  <si>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</si>
  <si>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</si>
  <si>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</si>
  <si>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</si>
  <si>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</si>
  <si>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</si>
  <si>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</si>
  <si>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</si>
  <si>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</si>
  <si>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</si>
  <si>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</si>
  <si>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</si>
  <si>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</si>
  <si>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</si>
  <si>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</si>
  <si>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</si>
  <si>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</si>
  <si>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</si>
  <si>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</si>
  <si>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</si>
  <si>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</si>
  <si>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</si>
  <si>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</si>
  <si>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</si>
  <si>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</si>
  <si>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</si>
  <si>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</si>
  <si>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</si>
  <si>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</si>
  <si>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</si>
  <si>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</si>
  <si>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</si>
  <si>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</si>
  <si>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</si>
  <si>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</si>
  <si>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</si>
  <si>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</si>
  <si>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</si>
  <si>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</si>
  <si>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</si>
  <si>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</si>
  <si>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</si>
  <si>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</si>
  <si>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</si>
  <si>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</si>
  <si>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</si>
  <si>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</si>
  <si>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</si>
  <si>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</si>
  <si>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</si>
  <si>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</si>
  <si>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</si>
  <si>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</si>
  <si>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</si>
  <si>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</si>
  <si>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</si>
  <si>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</si>
  <si>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</si>
  <si>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</si>
  <si>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</si>
  <si>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</si>
  <si>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</si>
  <si>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</si>
  <si>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</si>
  <si>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</si>
  <si>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</si>
  <si>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</si>
  <si>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</si>
  <si>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</si>
  <si>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</si>
  <si>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</si>
  <si>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</si>
  <si>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</si>
  <si>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</si>
  <si>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</si>
  <si>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</si>
  <si>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</si>
  <si>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</si>
  <si>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</si>
  <si>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</si>
  <si>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</si>
  <si>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</si>
  <si>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</si>
  <si>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</si>
  <si>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</si>
  <si>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</si>
  <si>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</si>
  <si>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</si>
  <si>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</si>
  <si>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</si>
  <si>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</si>
  <si>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</si>
  <si>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</si>
  <si>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</si>
  <si>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</si>
  <si>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</si>
  <si>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</si>
  <si>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</si>
  <si>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</si>
  <si>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</si>
  <si>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</si>
  <si>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</si>
  <si>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</si>
  <si>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</si>
  <si>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</si>
  <si>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</si>
  <si>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</si>
  <si>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</si>
  <si>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</si>
  <si>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</si>
  <si>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</si>
  <si>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</si>
  <si>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</si>
  <si>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</si>
  <si>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</si>
  <si>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</si>
  <si>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</si>
  <si>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</si>
  <si>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</si>
  <si>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</si>
  <si>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</si>
  <si>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</si>
  <si>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</si>
  <si>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</si>
  <si>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</si>
  <si>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</si>
  <si>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</si>
  <si>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</si>
  <si>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</si>
  <si>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</si>
  <si>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</si>
  <si>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</si>
  <si>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</si>
  <si>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</si>
  <si>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</si>
  <si>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</si>
  <si>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</si>
  <si>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</si>
  <si>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</si>
  <si>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</si>
  <si>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</si>
  <si>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</si>
  <si>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</si>
  <si>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</si>
  <si>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</si>
  <si>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</si>
  <si>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</si>
  <si>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</si>
  <si>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</si>
  <si>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</si>
  <si>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</si>
  <si>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</si>
  <si>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</si>
  <si>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</si>
  <si>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</si>
  <si>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</si>
  <si>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</si>
  <si>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</si>
  <si>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</si>
  <si>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</si>
  <si>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</si>
  <si>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</si>
  <si>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</si>
  <si>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</si>
  <si>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</si>
  <si>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</si>
  <si>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</si>
  <si>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</si>
  <si>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</si>
  <si>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</si>
  <si>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</si>
  <si>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</si>
  <si>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</si>
  <si>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</si>
  <si>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</si>
  <si>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</si>
  <si>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</si>
  <si>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</si>
  <si>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</si>
  <si>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</si>
  <si>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</si>
  <si>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</si>
  <si>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</si>
  <si>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</si>
  <si>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</si>
  <si>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</si>
  <si>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</si>
  <si>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</si>
  <si>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</si>
  <si>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</si>
  <si>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</si>
  <si>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</si>
  <si>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</si>
  <si>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</si>
  <si>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</si>
  <si>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</si>
  <si>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</si>
  <si>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</si>
  <si>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</si>
  <si>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</si>
  <si>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</si>
  <si>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</si>
  <si>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</si>
  <si>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</si>
  <si>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</si>
  <si>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</si>
  <si>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</si>
  <si>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</si>
  <si>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</si>
  <si>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</si>
  <si>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</si>
  <si>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</si>
  <si>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</si>
  <si>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</si>
  <si>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</si>
  <si>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</si>
  <si>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</si>
  <si>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</si>
  <si>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</si>
  <si>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</si>
  <si>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</si>
  <si>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</si>
  <si>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</si>
  <si>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</si>
  <si>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</si>
  <si>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</si>
  <si>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</si>
  <si>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</si>
  <si>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</si>
  <si>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</si>
  <si>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</si>
  <si>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</si>
  <si>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</si>
  <si>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</si>
  <si>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</si>
  <si>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</si>
  <si>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</si>
  <si>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</si>
  <si>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</si>
  <si>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</si>
  <si>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</si>
  <si>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</si>
  <si>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</si>
  <si>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</si>
  <si>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</si>
  <si>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</si>
  <si>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</si>
  <si>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</si>
  <si>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</si>
  <si>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</si>
  <si>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</si>
  <si>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</si>
  <si>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</si>
  <si>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</si>
  <si>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</si>
  <si>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</si>
  <si>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</si>
  <si>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</si>
  <si>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</si>
  <si>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</si>
  <si>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</si>
  <si>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</si>
  <si>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</si>
  <si>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</si>
  <si>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</si>
  <si>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</si>
  <si>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</si>
  <si>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</si>
  <si>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</si>
  <si>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</si>
  <si>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</si>
  <si>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</si>
  <si>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</si>
  <si>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</si>
  <si>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</si>
  <si>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</si>
  <si>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</si>
  <si>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</si>
  <si>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</si>
  <si>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</si>
  <si>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</si>
  <si>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</si>
  <si>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</si>
  <si>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</si>
  <si>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</si>
  <si>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</si>
  <si>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</si>
  <si>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</si>
  <si>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</si>
  <si>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</si>
  <si>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</si>
  <si>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</si>
  <si>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</si>
  <si>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</si>
  <si>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</si>
  <si>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</si>
  <si>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</si>
  <si>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</si>
  <si>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</si>
  <si>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</si>
  <si>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</si>
  <si>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</si>
  <si>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</si>
  <si>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</si>
  <si>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</si>
  <si>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</si>
  <si>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</si>
  <si>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</si>
  <si>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</si>
  <si>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</si>
  <si>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</si>
  <si>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</si>
  <si>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</si>
  <si>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</si>
  <si>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</si>
  <si>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</si>
  <si>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</si>
  <si>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</si>
  <si>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</si>
  <si>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</si>
  <si>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</si>
  <si>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</si>
  <si>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</si>
  <si>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</si>
  <si>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</si>
  <si>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</si>
  <si>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</si>
  <si>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</si>
  <si>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</si>
  <si>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</si>
  <si>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</si>
  <si>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</si>
  <si>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</si>
  <si>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</si>
  <si>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</si>
  <si>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</si>
  <si>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</si>
  <si>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</si>
  <si>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</si>
  <si>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</si>
  <si>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</si>
  <si>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</si>
  <si>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</si>
  <si>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</si>
  <si>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</si>
  <si>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</si>
  <si>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</si>
  <si>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</si>
  <si>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</si>
  <si>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</si>
  <si>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</si>
  <si>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</si>
  <si>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</si>
  <si>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</si>
  <si>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</si>
  <si>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</si>
  <si>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</si>
  <si>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</si>
  <si>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</si>
  <si>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</si>
  <si>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</si>
  <si>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</si>
  <si>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</si>
  <si>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</si>
  <si>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</si>
  <si>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</si>
  <si>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</si>
  <si>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</si>
  <si>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</si>
  <si>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</si>
  <si>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</si>
  <si>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</si>
  <si>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</si>
  <si>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</si>
  <si>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</si>
  <si>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</si>
  <si>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</si>
  <si>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</si>
  <si>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</si>
  <si>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</si>
  <si>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</si>
  <si>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</si>
  <si>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</si>
  <si>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</si>
  <si>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</si>
  <si>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</si>
  <si>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</si>
  <si>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</si>
  <si>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</si>
  <si>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</si>
  <si>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</si>
  <si>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</si>
  <si>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</si>
  <si>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</si>
  <si>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</si>
  <si>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</si>
  <si>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</si>
  <si>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</si>
  <si>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</si>
  <si>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</si>
  <si>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</si>
  <si>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</si>
  <si>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</si>
  <si>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</si>
  <si>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</si>
  <si>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</si>
  <si>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</si>
  <si>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</si>
  <si>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</si>
  <si>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</si>
  <si>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</si>
  <si>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</si>
  <si>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</si>
  <si>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</si>
  <si>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</si>
  <si>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</si>
  <si>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</si>
  <si>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</si>
  <si>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</si>
  <si>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</si>
  <si>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</si>
  <si>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</si>
  <si>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</si>
  <si>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</si>
  <si>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</si>
  <si>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</si>
  <si>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</si>
  <si>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</si>
  <si>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</si>
  <si>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</si>
  <si>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</si>
  <si>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</si>
  <si>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</si>
  <si>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</si>
  <si>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</si>
  <si>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</si>
  <si>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</si>
  <si>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</si>
  <si>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</si>
  <si>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</si>
  <si>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</si>
  <si>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</si>
  <si>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</si>
  <si>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</si>
  <si>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</si>
  <si>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</si>
  <si>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</si>
  <si>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</si>
  <si>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</si>
  <si>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</si>
  <si>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</si>
  <si>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</si>
  <si>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</si>
  <si>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</si>
  <si>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</si>
  <si>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</si>
  <si>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</si>
  <si>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</si>
  <si>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</si>
  <si>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</si>
  <si>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</si>
  <si>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</si>
  <si>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</si>
  <si>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</si>
  <si>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</si>
  <si>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</si>
  <si>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</si>
  <si>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</si>
  <si>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</si>
  <si>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</si>
  <si>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</si>
  <si>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</si>
  <si>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</si>
  <si>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</si>
  <si>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</si>
  <si>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</si>
  <si>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</si>
  <si>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</si>
  <si>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</si>
  <si>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</si>
  <si>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</si>
  <si>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</si>
  <si>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</si>
  <si>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</si>
  <si>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</si>
  <si>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</si>
  <si>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</si>
  <si>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</si>
  <si>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</si>
  <si>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</si>
  <si>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</si>
  <si>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</si>
  <si>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</si>
  <si>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</si>
  <si>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</si>
  <si>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</si>
  <si>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</si>
  <si>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</si>
  <si>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</si>
  <si>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</si>
  <si>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</si>
  <si>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</si>
  <si>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</si>
  <si>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</si>
  <si>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</si>
  <si>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</si>
  <si>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</si>
  <si>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</si>
  <si>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</si>
  <si>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</si>
  <si>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</si>
  <si>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</si>
  <si>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</si>
  <si>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</si>
  <si>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</si>
  <si>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</si>
  <si>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</si>
  <si>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</si>
  <si>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</si>
  <si>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</si>
  <si>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</si>
  <si>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</si>
  <si>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</si>
  <si>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</si>
  <si>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</si>
  <si>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</si>
  <si>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</si>
  <si>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</si>
  <si>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</si>
  <si>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</si>
  <si>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</si>
  <si>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</si>
  <si>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</si>
  <si>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</si>
  <si>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</si>
  <si>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</si>
  <si>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</si>
  <si>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</si>
  <si>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</si>
  <si>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</si>
  <si>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</si>
  <si>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</si>
  <si>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</si>
  <si>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</si>
  <si>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</si>
  <si>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</si>
  <si>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</si>
  <si>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</si>
  <si>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</si>
  <si>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</si>
  <si>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</si>
  <si>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</si>
  <si>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</si>
  <si>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</si>
  <si>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</si>
  <si>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</si>
  <si>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</si>
  <si>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</si>
  <si>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</si>
  <si>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</si>
  <si>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</si>
  <si>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</si>
  <si>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</si>
  <si>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</si>
  <si>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</si>
  <si>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</si>
  <si>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</si>
  <si>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</si>
  <si>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</si>
  <si>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</si>
  <si>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</si>
  <si>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</si>
  <si>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</si>
  <si>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</si>
  <si>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</si>
  <si>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</si>
  <si>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</si>
  <si>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</si>
  <si>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</si>
  <si>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</si>
  <si>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</si>
  <si>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</si>
  <si>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</si>
  <si>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</si>
  <si>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</si>
  <si>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</si>
  <si>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</si>
  <si>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</si>
  <si>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</si>
  <si>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</si>
  <si>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</si>
  <si>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</si>
  <si>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</si>
  <si>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</si>
  <si>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</si>
  <si>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</si>
  <si>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</si>
  <si>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</si>
  <si>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</si>
  <si>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</si>
  <si>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</si>
  <si>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</si>
  <si>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</si>
  <si>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</si>
  <si>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</si>
  <si>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</si>
  <si>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</si>
  <si>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</si>
  <si>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</si>
  <si>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</si>
  <si>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</si>
  <si>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</si>
  <si>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</si>
  <si>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</si>
  <si>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</si>
  <si>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</si>
  <si>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</si>
  <si>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</si>
  <si>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</si>
  <si>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</si>
  <si>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</si>
  <si>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</si>
  <si>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</si>
  <si>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</si>
  <si>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</si>
  <si>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</si>
  <si>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</si>
  <si>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</si>
  <si>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</si>
  <si>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</si>
  <si>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</si>
  <si>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</si>
  <si>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</si>
  <si>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</si>
  <si>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</si>
  <si>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</si>
  <si>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</si>
  <si>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</si>
  <si>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</si>
  <si>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</si>
  <si>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</si>
  <si>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</si>
  <si>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</si>
  <si>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</si>
  <si>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</si>
  <si>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</si>
  <si>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</si>
  <si>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</si>
  <si>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</si>
  <si>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</si>
  <si>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</si>
  <si>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</si>
  <si>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</si>
  <si>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</si>
  <si>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</si>
  <si>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</si>
  <si>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</si>
  <si>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</si>
  <si>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</si>
  <si>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</si>
  <si>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</si>
  <si>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</si>
  <si>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</si>
  <si>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</si>
  <si>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</si>
  <si>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</si>
  <si>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</si>
  <si>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</si>
  <si>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</si>
  <si>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</si>
  <si>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</si>
  <si>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</si>
  <si>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</si>
  <si>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</si>
  <si>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</si>
  <si>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</si>
  <si>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</si>
  <si>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</si>
  <si>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</si>
  <si>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</si>
  <si>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</si>
  <si>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</si>
  <si>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</si>
  <si>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</si>
  <si>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</si>
  <si>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</si>
  <si>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</si>
  <si>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</si>
  <si>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</si>
  <si>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</si>
  <si>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</si>
  <si>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</si>
  <si>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</si>
  <si>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</si>
  <si>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</si>
  <si>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</si>
  <si>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</si>
  <si>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</si>
  <si>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</si>
  <si>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</si>
  <si>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</si>
  <si>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</si>
  <si>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</si>
  <si>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</si>
  <si>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</si>
  <si>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</si>
  <si>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</si>
  <si>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</si>
  <si>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</si>
  <si>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</si>
  <si>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</si>
  <si>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</si>
  <si>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</si>
  <si>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</si>
  <si>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</si>
  <si>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</si>
  <si>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</si>
  <si>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</si>
  <si>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</si>
  <si>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</si>
  <si>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</si>
  <si>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</si>
  <si>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</si>
  <si>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</si>
  <si>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</si>
  <si>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</si>
  <si>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</si>
  <si>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</si>
  <si>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</si>
  <si>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</si>
  <si>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</si>
  <si>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</si>
  <si>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</si>
  <si>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</si>
  <si>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</si>
  <si>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</si>
  <si>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</si>
  <si>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</si>
  <si>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</si>
  <si>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</si>
  <si>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</si>
  <si>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</si>
  <si>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</si>
  <si>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</si>
  <si>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</si>
  <si>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</si>
  <si>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</si>
  <si>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</si>
  <si>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</si>
  <si>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</si>
  <si>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</si>
  <si>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</si>
  <si>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</si>
  <si>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</si>
  <si>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</si>
  <si>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</si>
  <si>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</si>
  <si>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</si>
  <si>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</si>
  <si>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</si>
  <si>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</si>
  <si>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</si>
  <si>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</si>
  <si>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</si>
  <si>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</si>
  <si>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</si>
  <si>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</si>
  <si>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</si>
  <si>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</si>
  <si>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</si>
  <si>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</si>
  <si>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</si>
  <si>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</si>
  <si>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</si>
  <si>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</si>
  <si>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</si>
  <si>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</si>
  <si>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</si>
  <si>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</si>
  <si>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</si>
  <si>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</si>
  <si>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</si>
  <si>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</si>
  <si>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</si>
  <si>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</si>
  <si>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</si>
  <si>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</si>
  <si>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</si>
  <si>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</si>
  <si>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</si>
  <si>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</si>
  <si>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</si>
  <si>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</si>
  <si>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</si>
  <si>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</si>
  <si>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</si>
  <si>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</si>
  <si>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</si>
  <si>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</si>
  <si>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</si>
  <si>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</si>
  <si>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</si>
  <si>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</si>
  <si>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</si>
  <si>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</si>
  <si>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</si>
  <si>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</si>
  <si>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</si>
  <si>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</si>
  <si>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</si>
  <si>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</si>
  <si>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</si>
  <si>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</si>
  <si>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</si>
  <si>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</si>
  <si>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</si>
  <si>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</si>
  <si>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</si>
  <si>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</si>
  <si>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</si>
  <si>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</si>
  <si>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</si>
  <si>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</si>
  <si>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</si>
  <si>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</si>
  <si>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</si>
  <si>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</si>
  <si>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</si>
  <si>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</si>
  <si>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</si>
  <si>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</si>
  <si>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</si>
  <si>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</si>
  <si>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</si>
  <si>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</si>
  <si>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</si>
  <si>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</si>
  <si>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</si>
  <si>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</si>
  <si>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</si>
  <si>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</si>
  <si>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</si>
  <si>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</si>
  <si>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</si>
  <si>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</si>
  <si>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</si>
  <si>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</si>
  <si>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</si>
  <si>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</si>
  <si>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</si>
  <si>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</si>
  <si>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</si>
  <si>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</si>
  <si>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</si>
  <si>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</si>
  <si>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</si>
  <si>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</si>
  <si>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</si>
  <si>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</si>
  <si>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</si>
  <si>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</si>
  <si>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</si>
  <si>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</si>
  <si>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</si>
  <si>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</si>
  <si>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</si>
  <si>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</si>
  <si>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</si>
  <si>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</si>
  <si>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</si>
  <si>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</si>
  <si>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</si>
  <si>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</si>
  <si>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</si>
  <si>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</si>
  <si>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</si>
  <si>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</si>
  <si>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</si>
  <si>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</si>
  <si>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</si>
  <si>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</si>
  <si>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</si>
  <si>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</si>
  <si>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</si>
  <si>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</si>
  <si>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</si>
  <si>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</si>
  <si>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</si>
  <si>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</si>
  <si>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</si>
  <si>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</si>
  <si>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</si>
  <si>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</si>
  <si>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</si>
  <si>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</si>
  <si>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</si>
  <si>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</si>
  <si>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</si>
  <si>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</si>
  <si>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</si>
  <si>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</si>
  <si>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</si>
  <si>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</si>
  <si>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</si>
  <si>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</si>
  <si>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</si>
  <si>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</si>
  <si>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</si>
  <si>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</si>
  <si>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</si>
  <si>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</si>
  <si>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</si>
  <si>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</si>
  <si>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</si>
  <si>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</si>
  <si>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</si>
  <si>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</si>
  <si>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</si>
  <si>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</si>
  <si>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</si>
  <si>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</si>
  <si>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</si>
  <si>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</si>
  <si>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</si>
  <si>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</si>
  <si>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</si>
  <si>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</si>
  <si>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</si>
  <si>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</si>
  <si>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</si>
  <si>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</si>
  <si>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</si>
  <si>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</si>
  <si>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</si>
  <si>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</si>
  <si>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</si>
  <si>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</si>
  <si>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</si>
  <si>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</si>
  <si>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</si>
  <si>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</si>
  <si>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</si>
  <si>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</si>
  <si>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</si>
  <si>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</si>
  <si>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</si>
  <si>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</si>
  <si>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</si>
  <si>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</si>
  <si>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</si>
  <si>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</si>
  <si>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</si>
  <si>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</si>
  <si>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</si>
  <si>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</si>
  <si>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</si>
  <si>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</si>
  <si>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</si>
  <si>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</si>
  <si>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</si>
  <si>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</si>
  <si>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</si>
  <si>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</si>
  <si>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</si>
  <si>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</si>
  <si>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</si>
  <si>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</si>
  <si>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</si>
  <si>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</si>
  <si>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</si>
  <si>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</si>
  <si>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</si>
  <si>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</si>
  <si>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</si>
  <si>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</si>
  <si>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</si>
  <si>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</si>
  <si>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</si>
  <si>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</si>
  <si>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</si>
  <si>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</si>
  <si>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</si>
  <si>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</si>
  <si>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</si>
  <si>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</si>
  <si>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</si>
  <si>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</si>
  <si>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</si>
  <si>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</si>
  <si>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</si>
  <si>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</si>
  <si>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</si>
  <si>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</si>
  <si>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</si>
  <si>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</si>
  <si>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</si>
  <si>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</si>
  <si>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</si>
  <si>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</si>
  <si>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</si>
  <si>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</si>
  <si>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</si>
  <si>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</si>
  <si>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</si>
  <si>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</si>
  <si>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</si>
  <si>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</si>
  <si>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</si>
  <si>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</si>
  <si>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</si>
  <si>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</si>
  <si>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</si>
  <si>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</si>
  <si>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</si>
  <si>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</si>
  <si>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</si>
  <si>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</si>
  <si>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</si>
  <si>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</si>
  <si>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</si>
  <si>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</si>
  <si>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</si>
  <si>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</si>
  <si>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</si>
  <si>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</si>
  <si>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</si>
  <si>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</si>
  <si>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</si>
  <si>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</si>
  <si>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</si>
  <si>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</si>
  <si>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</si>
  <si>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</si>
  <si>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</si>
  <si>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</si>
  <si>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</si>
  <si>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</si>
  <si>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</si>
  <si>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</si>
  <si>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</si>
  <si>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</si>
  <si>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</si>
  <si>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</si>
  <si>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</si>
  <si>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</si>
  <si>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</si>
  <si>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</si>
  <si>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</si>
  <si>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</si>
  <si>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</si>
  <si>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</si>
  <si>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</si>
  <si>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</si>
  <si>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</si>
  <si>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</si>
  <si>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</si>
  <si>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</si>
  <si>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</si>
  <si>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</si>
  <si>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</si>
  <si>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</si>
  <si>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</si>
  <si>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</si>
  <si>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</si>
  <si>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</si>
  <si>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</si>
  <si>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</si>
  <si>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</si>
  <si>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</si>
  <si>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</si>
  <si>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</si>
  <si>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</si>
  <si>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</si>
  <si>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</si>
  <si>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</si>
  <si>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</si>
  <si>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</si>
  <si>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</si>
  <si>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</si>
  <si>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</si>
  <si>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</si>
  <si>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</si>
  <si>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</si>
  <si>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</si>
  <si>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</si>
  <si>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</si>
  <si>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</si>
  <si>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</si>
  <si>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</si>
  <si>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</si>
  <si>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</si>
  <si>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</si>
  <si>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</si>
  <si>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</si>
  <si>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</si>
  <si>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</si>
  <si>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</si>
  <si>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</si>
  <si>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</si>
  <si>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</si>
  <si>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</si>
  <si>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</si>
  <si>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</si>
  <si>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</si>
  <si>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</si>
  <si>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</si>
  <si>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</si>
  <si>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</si>
  <si>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</si>
  <si>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</si>
  <si>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</si>
  <si>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</si>
  <si>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</si>
  <si>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</si>
  <si>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</si>
  <si>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</si>
  <si>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</si>
  <si>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</si>
  <si>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</si>
  <si>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</si>
  <si>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</si>
  <si>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</si>
  <si>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</si>
  <si>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</si>
  <si>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</si>
  <si>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</si>
  <si>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</si>
  <si>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</si>
  <si>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</si>
  <si>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</si>
  <si>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</si>
  <si>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</si>
  <si>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</si>
  <si>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</si>
  <si>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</si>
  <si>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</si>
  <si>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</si>
  <si>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</si>
  <si>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</si>
  <si>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</si>
  <si>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</si>
  <si>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</si>
  <si>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</si>
  <si>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</si>
  <si>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</si>
  <si>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</si>
  <si>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</si>
  <si>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</si>
  <si>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</si>
  <si>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</si>
  <si>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</si>
  <si>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</si>
  <si>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</si>
  <si>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</si>
  <si>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</si>
  <si>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</si>
  <si>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</si>
  <si>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</si>
  <si>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</si>
  <si>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</si>
  <si>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</si>
  <si>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</si>
  <si>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</si>
  <si>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</si>
  <si>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</si>
  <si>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</si>
  <si>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</si>
  <si>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</si>
  <si>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</si>
  <si>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</si>
  <si>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</si>
  <si>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</si>
  <si>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</si>
  <si>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</si>
  <si>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</si>
  <si>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</si>
  <si>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</si>
  <si>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</si>
  <si>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</si>
  <si>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</si>
  <si>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</si>
  <si>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</si>
  <si>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</si>
  <si>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</si>
  <si>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</si>
  <si>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</si>
  <si>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</si>
  <si>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</si>
  <si>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</si>
  <si>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</si>
  <si>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</si>
  <si>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</si>
  <si>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</si>
  <si>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</si>
  <si>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</si>
  <si>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</si>
  <si>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</si>
  <si>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</si>
  <si>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</si>
  <si>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</si>
  <si>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</si>
  <si>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</si>
  <si>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</si>
  <si>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</si>
  <si>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</si>
  <si>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</si>
  <si>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</si>
  <si>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</si>
  <si>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</si>
  <si>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</si>
  <si>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</si>
  <si>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</si>
  <si>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</si>
  <si>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</si>
  <si>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</si>
  <si>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</si>
  <si>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</si>
  <si>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</si>
  <si>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</si>
  <si>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</si>
  <si>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</si>
  <si>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</si>
  <si>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</si>
  <si>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</si>
  <si>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</si>
  <si>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</si>
  <si>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</si>
  <si>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</si>
  <si>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</si>
  <si>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</si>
  <si>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</si>
  <si>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</si>
  <si>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</si>
  <si>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</si>
  <si>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</si>
  <si>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</si>
  <si>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</si>
  <si>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</si>
  <si>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</si>
  <si>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</si>
  <si>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</si>
  <si>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</si>
  <si>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</si>
  <si>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</si>
  <si>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</si>
  <si>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</si>
  <si>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</si>
  <si>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</si>
  <si>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</si>
  <si>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</si>
  <si>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</si>
  <si>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</si>
  <si>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</si>
  <si>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</si>
  <si>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</si>
  <si>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</si>
  <si>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</si>
  <si>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</si>
  <si>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</si>
  <si>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</si>
  <si>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</si>
  <si>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</si>
  <si>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</si>
  <si>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</si>
  <si>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</si>
  <si>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</si>
  <si>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</si>
  <si>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</si>
  <si>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</si>
  <si>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</si>
  <si>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</si>
  <si>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</si>
  <si>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</si>
  <si>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</si>
  <si>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</si>
  <si>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</si>
  <si>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</si>
  <si>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</si>
  <si>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</si>
  <si>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</si>
  <si>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</si>
  <si>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</si>
  <si>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</si>
  <si>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</si>
  <si>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</si>
  <si>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</si>
  <si>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</si>
  <si>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</si>
  <si>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</si>
  <si>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</si>
  <si>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</si>
  <si>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</si>
  <si>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</si>
  <si>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</si>
  <si>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</si>
  <si>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</si>
  <si>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</si>
  <si>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</si>
  <si>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</si>
  <si>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</si>
  <si>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</si>
  <si>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</si>
  <si>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</si>
  <si>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</si>
  <si>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</si>
  <si>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</si>
  <si>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</si>
  <si>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</si>
  <si>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</si>
  <si>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</si>
  <si>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</si>
  <si>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</si>
  <si>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</si>
  <si>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</si>
  <si>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</si>
  <si>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</si>
  <si>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</si>
  <si>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</si>
  <si>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</si>
  <si>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</si>
  <si>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</si>
  <si>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</si>
  <si>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</si>
  <si>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</si>
  <si>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</si>
  <si>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</si>
  <si>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</si>
  <si>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</si>
  <si>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</si>
  <si>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</si>
  <si>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</si>
  <si>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</si>
  <si>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</si>
  <si>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</si>
  <si>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</si>
  <si>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</si>
  <si>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</si>
  <si>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</si>
  <si>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</si>
  <si>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</si>
  <si>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</si>
  <si>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</si>
  <si>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</si>
  <si>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</si>
  <si>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</si>
  <si>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</si>
  <si>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</si>
  <si>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</si>
  <si>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</si>
  <si>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</si>
  <si>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</si>
  <si>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</si>
  <si>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</si>
  <si>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</si>
  <si>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</si>
  <si>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</si>
  <si>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</si>
  <si>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</si>
  <si>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</si>
  <si>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</si>
  <si>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</si>
  <si>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</si>
  <si>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</si>
  <si>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</si>
  <si>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</si>
  <si>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</si>
  <si>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</si>
  <si>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</si>
  <si>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</si>
  <si>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</si>
  <si>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</si>
  <si>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</si>
  <si>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</si>
  <si>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</si>
  <si>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</si>
  <si>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</si>
  <si>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</si>
  <si>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</si>
  <si>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</si>
  <si>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</si>
  <si>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</si>
  <si>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</si>
  <si>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</si>
  <si>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</si>
  <si>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</si>
  <si>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</si>
  <si>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</si>
  <si>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</si>
  <si>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</si>
  <si>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</si>
  <si>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</si>
  <si>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</si>
  <si>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</si>
  <si>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</si>
  <si>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</si>
  <si>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</si>
  <si>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</si>
  <si>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</si>
  <si>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</si>
  <si>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</si>
  <si>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</si>
  <si>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</si>
  <si>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</si>
  <si>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</si>
  <si>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</si>
  <si>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</si>
  <si>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</si>
  <si>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</si>
  <si>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</si>
  <si>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</si>
  <si>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</si>
  <si>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</si>
  <si>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</si>
  <si>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</si>
  <si>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</si>
  <si>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</si>
  <si>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</si>
  <si>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</si>
  <si>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</si>
  <si>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</si>
  <si>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</si>
  <si>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</si>
  <si>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</si>
  <si>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</si>
  <si>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</si>
  <si>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</si>
  <si>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</si>
  <si>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</si>
  <si>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</si>
  <si>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</si>
  <si>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</si>
  <si>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</si>
  <si>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</si>
  <si>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</si>
  <si>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</si>
  <si>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</si>
  <si>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</si>
  <si>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</si>
  <si>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</si>
  <si>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</si>
  <si>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</si>
  <si>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</si>
  <si>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</si>
  <si>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</si>
  <si>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</si>
  <si>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</si>
  <si>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</si>
  <si>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</si>
  <si>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</si>
  <si>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</si>
  <si>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</si>
  <si>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</si>
  <si>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</si>
  <si>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</si>
  <si>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</si>
  <si>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</si>
  <si>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</si>
  <si>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</si>
  <si>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</si>
  <si>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</si>
  <si>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</si>
  <si>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</si>
  <si>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</si>
  <si>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</si>
  <si>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</si>
  <si>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</si>
  <si>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</si>
  <si>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</si>
  <si>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</si>
  <si>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</si>
  <si>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</si>
  <si>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</si>
  <si>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</si>
  <si>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</si>
  <si>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</si>
  <si>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</si>
  <si>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</si>
  <si>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</si>
  <si>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</si>
  <si>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</si>
  <si>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</si>
  <si>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</si>
  <si>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</si>
  <si>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</si>
  <si>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</si>
  <si>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</si>
  <si>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</si>
  <si>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</si>
  <si>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</si>
  <si>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</si>
  <si>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</si>
  <si>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</si>
  <si>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</si>
  <si>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</si>
  <si>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</si>
  <si>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</si>
  <si>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</si>
  <si>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</si>
  <si>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</si>
  <si>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</si>
  <si>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</si>
  <si>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</si>
  <si>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</si>
  <si>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</si>
  <si>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</si>
  <si>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</si>
  <si>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</si>
  <si>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</si>
  <si>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</si>
  <si>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</si>
  <si>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</si>
  <si>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</si>
  <si>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</si>
  <si>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</si>
  <si>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</si>
  <si>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</si>
  <si>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</si>
  <si>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</si>
  <si>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</si>
  <si>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</si>
  <si>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</si>
  <si>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</si>
  <si>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</si>
  <si>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</si>
  <si>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</si>
  <si>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</si>
  <si>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</si>
  <si>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</si>
  <si>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</si>
  <si>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</si>
  <si>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</si>
  <si>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</si>
  <si>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</si>
  <si>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</si>
  <si>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</si>
  <si>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</si>
  <si>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</si>
  <si>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</si>
  <si>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</si>
  <si>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</si>
  <si>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</si>
  <si>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</si>
  <si>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</si>
  <si>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</si>
  <si>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</si>
  <si>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</si>
  <si>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</si>
  <si>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</si>
  <si>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</si>
  <si>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</si>
  <si>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</si>
  <si>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</si>
  <si>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</si>
  <si>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</si>
  <si>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</si>
  <si>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</si>
  <si>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</si>
  <si>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</si>
  <si>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</si>
  <si>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</si>
  <si>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</si>
  <si>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</si>
  <si>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</si>
  <si>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</si>
  <si>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</si>
  <si>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</si>
  <si>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</si>
  <si>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</si>
  <si>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</si>
  <si>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</si>
  <si>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</si>
  <si>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</si>
  <si>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</si>
  <si>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</si>
  <si>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</si>
  <si>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</si>
  <si>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</si>
  <si>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</si>
  <si>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</si>
  <si>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</si>
  <si>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</si>
  <si>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</si>
  <si>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</si>
  <si>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</si>
  <si>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</si>
  <si>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</si>
  <si>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</si>
  <si>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</si>
  <si>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</si>
  <si>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</si>
  <si>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</si>
  <si>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</si>
  <si>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</si>
  <si>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</si>
  <si>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</si>
  <si>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</si>
  <si>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</si>
  <si>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</si>
  <si>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</si>
  <si>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</si>
  <si>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</si>
  <si>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</si>
  <si>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</si>
  <si>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</si>
  <si>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</si>
  <si>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</si>
  <si>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</si>
  <si>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</si>
  <si>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</si>
  <si>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</si>
  <si>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22,04</t>
  </si>
  <si>
    <t>18,75</t>
  </si>
  <si>
    <t>Ломбард "GoldFinMarket"</t>
  </si>
  <si>
    <t>21,02</t>
  </si>
  <si>
    <t>МФО "TAS FINANCE GROUP" (ТАС ФИНАНС ГРУПП)</t>
  </si>
  <si>
    <t>21,49</t>
  </si>
  <si>
    <t>16,14</t>
  </si>
  <si>
    <t>17,03</t>
  </si>
  <si>
    <t>17,18</t>
  </si>
  <si>
    <t>17,38</t>
  </si>
  <si>
    <t>17,48</t>
  </si>
  <si>
    <t>17,60</t>
  </si>
  <si>
    <t>11,29</t>
  </si>
  <si>
    <t>11,24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</si>
  <si>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</si>
  <si>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</si>
  <si>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</si>
  <si>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</si>
  <si>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</si>
  <si>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</si>
  <si>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</si>
  <si>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</si>
  <si>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</si>
  <si>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</si>
  <si>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</si>
  <si>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</si>
  <si>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297 (1)</t>
  </si>
  <si>
    <t>61 (0)</t>
  </si>
  <si>
    <t>11,62</t>
  </si>
  <si>
    <t>1 381 (4)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</si>
  <si>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</si>
  <si>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</si>
  <si>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</si>
  <si>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</si>
  <si>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</si>
  <si>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</si>
  <si>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</si>
  <si>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</si>
  <si>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</si>
  <si>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</si>
  <si>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</si>
  <si>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211 (1)</t>
  </si>
  <si>
    <t>4,90</t>
  </si>
  <si>
    <t>KZ2C00014744</t>
  </si>
  <si>
    <t>Расчетная цена на 28.08.25</t>
  </si>
  <si>
    <t>Расчетная грязная цена 28.08.25</t>
  </si>
  <si>
    <t>7,87</t>
  </si>
  <si>
    <t>838 (2)</t>
  </si>
  <si>
    <t>631 (2)</t>
  </si>
  <si>
    <t>4,97</t>
  </si>
  <si>
    <t>1 659 (5)</t>
  </si>
  <si>
    <t>5,99</t>
  </si>
  <si>
    <t>205 (1)</t>
  </si>
  <si>
    <t>970 (3)</t>
  </si>
  <si>
    <t>12CSECfe</t>
  </si>
  <si>
    <t>13CSECtf</t>
  </si>
  <si>
    <t>14EABRb40</t>
  </si>
  <si>
    <t>5,91</t>
  </si>
  <si>
    <t>202 (1)</t>
  </si>
  <si>
    <t>15EABRb42</t>
  </si>
  <si>
    <t>911 (3)</t>
  </si>
  <si>
    <t>16EABRb53</t>
  </si>
  <si>
    <t>942 (3)</t>
  </si>
  <si>
    <t>17FFINgw</t>
  </si>
  <si>
    <t>18FHJIag</t>
  </si>
  <si>
    <t>19FHJIpc</t>
  </si>
  <si>
    <t>20HCBNb13</t>
  </si>
  <si>
    <t>899 (2)</t>
  </si>
  <si>
    <t>21HCBNb17</t>
  </si>
  <si>
    <t>1 756 (5)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</si>
  <si>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</si>
  <si>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</si>
  <si>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</si>
  <si>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</si>
  <si>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</si>
  <si>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</si>
  <si>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</si>
  <si>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</si>
  <si>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</si>
  <si>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</si>
  <si>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 (0)</t>
  </si>
  <si>
    <t>32KMGZ</t>
  </si>
  <si>
    <t>33KMGZe12</t>
  </si>
  <si>
    <t>6,57</t>
  </si>
  <si>
    <t>7 791 (22)</t>
  </si>
  <si>
    <t>34KMGZe14</t>
  </si>
  <si>
    <t>1 676 (5)</t>
  </si>
  <si>
    <t>35KMGZe15</t>
  </si>
  <si>
    <t>6,68</t>
  </si>
  <si>
    <t>8 336 (23)</t>
  </si>
  <si>
    <t>36KMGZe16</t>
  </si>
  <si>
    <t>5,32</t>
  </si>
  <si>
    <t>2 746 (8)</t>
  </si>
  <si>
    <t>37KSPI</t>
  </si>
  <si>
    <t>38KSPId</t>
  </si>
  <si>
    <t>39KZAP</t>
  </si>
  <si>
    <t>40KZTCb3</t>
  </si>
  <si>
    <t>919 (3)</t>
  </si>
  <si>
    <t>41KZTK</t>
  </si>
  <si>
    <t>42KZTKp</t>
  </si>
  <si>
    <t>43KZTO</t>
  </si>
  <si>
    <t>44KZ_23_3504</t>
  </si>
  <si>
    <t>3 461 (10)</t>
  </si>
  <si>
    <t>45MFLGb19</t>
  </si>
  <si>
    <t>46MFLGb8</t>
  </si>
  <si>
    <t>538 (1)</t>
  </si>
  <si>
    <t>47MFMCb2</t>
  </si>
  <si>
    <t>436 (1)</t>
  </si>
  <si>
    <t>48MFMOb10</t>
  </si>
  <si>
    <t>24,28</t>
  </si>
  <si>
    <t>434 (1)</t>
  </si>
  <si>
    <t>49MFMOb17</t>
  </si>
  <si>
    <t>54,67</t>
  </si>
  <si>
    <t>173 (0)</t>
  </si>
  <si>
    <t>50MFMOb25</t>
  </si>
  <si>
    <t>703 (2)</t>
  </si>
  <si>
    <t>51MFMOb26</t>
  </si>
  <si>
    <t>14,26</t>
  </si>
  <si>
    <t>618 (2)</t>
  </si>
  <si>
    <t>52MFMOb28</t>
  </si>
  <si>
    <t>15,59</t>
  </si>
  <si>
    <t>652 (2)</t>
  </si>
  <si>
    <t>53MFOKb16</t>
  </si>
  <si>
    <t>22,44</t>
  </si>
  <si>
    <t>76 (0)</t>
  </si>
  <si>
    <t>54MFOKb18</t>
  </si>
  <si>
    <t>21,60</t>
  </si>
  <si>
    <t>238 (1)</t>
  </si>
  <si>
    <t>55MFOKb19</t>
  </si>
  <si>
    <t>10,02</t>
  </si>
  <si>
    <t>560 (2)</t>
  </si>
  <si>
    <t>56MFOKb20</t>
  </si>
  <si>
    <t>22,72</t>
  </si>
  <si>
    <t>707 (2)</t>
  </si>
  <si>
    <t>57MFOKb21</t>
  </si>
  <si>
    <t>20,13</t>
  </si>
  <si>
    <t>870 (2)</t>
  </si>
  <si>
    <t>58MFOKb22</t>
  </si>
  <si>
    <t>22,43</t>
  </si>
  <si>
    <t>413 (1)</t>
  </si>
  <si>
    <t>59MFOKb24</t>
  </si>
  <si>
    <t>21,07</t>
  </si>
  <si>
    <t>914 (3)</t>
  </si>
  <si>
    <t>60MFOKb25</t>
  </si>
  <si>
    <t>22,16</t>
  </si>
  <si>
    <t>933 (3)</t>
  </si>
  <si>
    <t>61MFOKb26</t>
  </si>
  <si>
    <t>20,55</t>
  </si>
  <si>
    <t>1 012 (3)</t>
  </si>
  <si>
    <t>62MFRFb12</t>
  </si>
  <si>
    <t>163,12</t>
  </si>
  <si>
    <t>51 (0)</t>
  </si>
  <si>
    <t>63MFRFb16</t>
  </si>
  <si>
    <t>34,03</t>
  </si>
  <si>
    <t>930 (3)</t>
  </si>
  <si>
    <t>64MFRFb18</t>
  </si>
  <si>
    <t>24,15</t>
  </si>
  <si>
    <t>684 (2)</t>
  </si>
  <si>
    <t>65MFRFb19</t>
  </si>
  <si>
    <t>1 018 (3)</t>
  </si>
  <si>
    <t>66MFRFb21</t>
  </si>
  <si>
    <t>700 (2)</t>
  </si>
  <si>
    <t>67MFSCb4</t>
  </si>
  <si>
    <t>20,78</t>
  </si>
  <si>
    <t>68MFSCb5</t>
  </si>
  <si>
    <t>10,68</t>
  </si>
  <si>
    <t>597 (2)</t>
  </si>
  <si>
    <t>69MFTSb1</t>
  </si>
  <si>
    <t>106 (0)</t>
  </si>
  <si>
    <t>70MFTSb2</t>
  </si>
  <si>
    <t>21,68</t>
  </si>
  <si>
    <t>321 (1)</t>
  </si>
  <si>
    <t>71MFTSb3</t>
  </si>
  <si>
    <t>677 (2)</t>
  </si>
  <si>
    <t>72MKM012_0159</t>
  </si>
  <si>
    <t>15,15</t>
  </si>
  <si>
    <t>57 (0)</t>
  </si>
  <si>
    <t>73MKM012_0160</t>
  </si>
  <si>
    <t>16,02</t>
  </si>
  <si>
    <t>162 (0)</t>
  </si>
  <si>
    <t>74MKM012_0161</t>
  </si>
  <si>
    <t>16,66</t>
  </si>
  <si>
    <t>260 (1)</t>
  </si>
  <si>
    <t>75MOM048_0052</t>
  </si>
  <si>
    <t>143 (0)</t>
  </si>
  <si>
    <t>76MOM048_0053</t>
  </si>
  <si>
    <t>16,44</t>
  </si>
  <si>
    <t>296 (1)</t>
  </si>
  <si>
    <t>77MOM048_0054</t>
  </si>
  <si>
    <t>16,59</t>
  </si>
  <si>
    <t>378 (1)</t>
  </si>
  <si>
    <t>78MOM048_0056</t>
  </si>
  <si>
    <t>16,40</t>
  </si>
  <si>
    <t>1 419 (4)</t>
  </si>
  <si>
    <t>79MOM060_0052</t>
  </si>
  <si>
    <t>16,53</t>
  </si>
  <si>
    <t>336 (1)</t>
  </si>
  <si>
    <t>80MOM060_0054</t>
  </si>
  <si>
    <t>16,61</t>
  </si>
  <si>
    <t>800 (2)</t>
  </si>
  <si>
    <t>81MTC048_0001</t>
  </si>
  <si>
    <t>16,64</t>
  </si>
  <si>
    <t>1 432 (4)</t>
  </si>
  <si>
    <t>82MTM048_0001</t>
  </si>
  <si>
    <t>371 (1)</t>
  </si>
  <si>
    <t>83MTM060_0001</t>
  </si>
  <si>
    <t>766 (2)</t>
  </si>
  <si>
    <t>84MTM072_0001</t>
  </si>
  <si>
    <t>1 160 (3)</t>
  </si>
  <si>
    <t>85MTM084_0001</t>
  </si>
  <si>
    <t>1 625 (5)</t>
  </si>
  <si>
    <t>86MTM096_0001</t>
  </si>
  <si>
    <t>1 935 (5)</t>
  </si>
  <si>
    <t>87MUJ144_0005</t>
  </si>
  <si>
    <t>89 (0)</t>
  </si>
  <si>
    <t>88MUJ156_0004</t>
  </si>
  <si>
    <t>392 (1)</t>
  </si>
  <si>
    <t>89MUJ168_0004</t>
  </si>
  <si>
    <t>90MUJ168_0005</t>
  </si>
  <si>
    <t>360 (1)</t>
  </si>
  <si>
    <t>91MUJ180_0007</t>
  </si>
  <si>
    <t>11,23</t>
  </si>
  <si>
    <t>60 (0)</t>
  </si>
  <si>
    <t>92MUJ180_0008</t>
  </si>
  <si>
    <t>1 185 (3)</t>
  </si>
  <si>
    <t>93MUJ192_0002</t>
  </si>
  <si>
    <t>94MUJ192_0003</t>
  </si>
  <si>
    <t>270 (1)</t>
  </si>
  <si>
    <t>95MUJ192_0004</t>
  </si>
  <si>
    <t>1 616 (4)</t>
  </si>
  <si>
    <t>96MUJ204_0001</t>
  </si>
  <si>
    <t>97MUJ204_0002</t>
  </si>
  <si>
    <t>332 (1)</t>
  </si>
  <si>
    <t>98MUJ204_0003</t>
  </si>
  <si>
    <t>601 (2)</t>
  </si>
  <si>
    <t>99MUJ204_0004</t>
  </si>
  <si>
    <t>691 (2)</t>
  </si>
  <si>
    <t>100MUJ204_0005</t>
  </si>
  <si>
    <t>1 260 (4)</t>
  </si>
  <si>
    <t>101MUJ204_0006</t>
  </si>
  <si>
    <t>1 380 (4)</t>
  </si>
  <si>
    <t>102MUJ216_0001</t>
  </si>
  <si>
    <t>661 (2)</t>
  </si>
  <si>
    <t>103MUJ216_0002</t>
  </si>
  <si>
    <t>808 (2)</t>
  </si>
  <si>
    <t>104MUJ216_0003</t>
  </si>
  <si>
    <t>897 (2)</t>
  </si>
  <si>
    <t>105MUJ216_0004</t>
  </si>
  <si>
    <t>1 439 (4)</t>
  </si>
  <si>
    <t>106MUJ216_0005</t>
  </si>
  <si>
    <t>1 712 (5)</t>
  </si>
  <si>
    <t>107MUJ228_0001</t>
  </si>
  <si>
    <t>1 079 (3)</t>
  </si>
  <si>
    <t>108MUJ228_0002</t>
  </si>
  <si>
    <t>1 202 (3)</t>
  </si>
  <si>
    <t>109MUJ228_0003</t>
  </si>
  <si>
    <t>110MUJ228_0004</t>
  </si>
  <si>
    <t>1 590 (4)</t>
  </si>
  <si>
    <t>111MUJ228_0005</t>
  </si>
  <si>
    <t>1 831 (5)</t>
  </si>
  <si>
    <t>112MUJ228_0006</t>
  </si>
  <si>
    <t>2 189 (6)</t>
  </si>
  <si>
    <t>113MUJ240_0001</t>
  </si>
  <si>
    <t>2 281 (6)</t>
  </si>
  <si>
    <t>114MUM072_0013</t>
  </si>
  <si>
    <t>17,31</t>
  </si>
  <si>
    <t>621 (2)</t>
  </si>
  <si>
    <t>115MUM072_0014</t>
  </si>
  <si>
    <t>17,10</t>
  </si>
  <si>
    <t>1 265 (4)</t>
  </si>
  <si>
    <t>116MUM072_0015</t>
  </si>
  <si>
    <t>1 629 (5)</t>
  </si>
  <si>
    <t>117MUM084_0018</t>
  </si>
  <si>
    <t>17,24</t>
  </si>
  <si>
    <t>944 (3)</t>
  </si>
  <si>
    <t>118MUM084_0019</t>
  </si>
  <si>
    <t>1 974 (5)</t>
  </si>
  <si>
    <t>119MUM084_0020</t>
  </si>
  <si>
    <t>16,85</t>
  </si>
  <si>
    <t>2 348 (7)</t>
  </si>
  <si>
    <t>120MUM096_0011</t>
  </si>
  <si>
    <t>17,15</t>
  </si>
  <si>
    <t>1 139 (3)</t>
  </si>
  <si>
    <t>121MUM096_0012</t>
  </si>
  <si>
    <t>1 410 (4)</t>
  </si>
  <si>
    <t>122MUM096_0013</t>
  </si>
  <si>
    <t>1 596 (4)</t>
  </si>
  <si>
    <t>123MUM096_0014</t>
  </si>
  <si>
    <t>2 054 (6)</t>
  </si>
  <si>
    <t>124MUM096_0015</t>
  </si>
  <si>
    <t>2 797 (8)</t>
  </si>
  <si>
    <t>125MUM108_0012</t>
  </si>
  <si>
    <t>17,14</t>
  </si>
  <si>
    <t>305 (1)</t>
  </si>
  <si>
    <t>126MUM108_0013</t>
  </si>
  <si>
    <t>17,09</t>
  </si>
  <si>
    <t>1 293 (4)</t>
  </si>
  <si>
    <t>127MUM108_0014</t>
  </si>
  <si>
    <t>2 421 (7)</t>
  </si>
  <si>
    <t>128MUM108_0015</t>
  </si>
  <si>
    <t>16,78</t>
  </si>
  <si>
    <t>3 068 (9)</t>
  </si>
  <si>
    <t>129MUM120_0017</t>
  </si>
  <si>
    <t>548 (2)</t>
  </si>
  <si>
    <t>130MUM120_0018</t>
  </si>
  <si>
    <t>665 (2)</t>
  </si>
  <si>
    <t>131MUM120_0019</t>
  </si>
  <si>
    <t>1 999 (6)</t>
  </si>
  <si>
    <t>132MUM120_0020</t>
  </si>
  <si>
    <t>3 405 (9)</t>
  </si>
  <si>
    <t>133MUM132_0007</t>
  </si>
  <si>
    <t>16,82</t>
  </si>
  <si>
    <t>2 488 (7)</t>
  </si>
  <si>
    <t>134MUM144_0009</t>
  </si>
  <si>
    <t>2 875 (8)</t>
  </si>
  <si>
    <t>135MUM156_0005</t>
  </si>
  <si>
    <t>17,33</t>
  </si>
  <si>
    <t>136MUM156_0006</t>
  </si>
  <si>
    <t>2 052 (6)</t>
  </si>
  <si>
    <t>137MUM156_0007</t>
  </si>
  <si>
    <t>3 049 (8)</t>
  </si>
  <si>
    <t>138MUM156_0008</t>
  </si>
  <si>
    <t>16,71</t>
  </si>
  <si>
    <t>4 584 (13)</t>
  </si>
  <si>
    <t>139MUM168_0001</t>
  </si>
  <si>
    <t>35 (0)</t>
  </si>
  <si>
    <t>140MUM168_0002</t>
  </si>
  <si>
    <t>16,51</t>
  </si>
  <si>
    <t>78 (0)</t>
  </si>
  <si>
    <t>141MUM168_0003</t>
  </si>
  <si>
    <t>2 388 (7)</t>
  </si>
  <si>
    <t>142MUM168_0005</t>
  </si>
  <si>
    <t>16,74</t>
  </si>
  <si>
    <t>3 432 (10)</t>
  </si>
  <si>
    <t>143MUM180_0003</t>
  </si>
  <si>
    <t>16,52</t>
  </si>
  <si>
    <t>86 (0)</t>
  </si>
  <si>
    <t>144MUM180_0004</t>
  </si>
  <si>
    <t>17,23</t>
  </si>
  <si>
    <t>350 (1)</t>
  </si>
  <si>
    <t>145MUM180_0005</t>
  </si>
  <si>
    <t>17,34</t>
  </si>
  <si>
    <t>445 (1)</t>
  </si>
  <si>
    <t>146MUM180_0006</t>
  </si>
  <si>
    <t>569 (2)</t>
  </si>
  <si>
    <t>147MUM180_0007</t>
  </si>
  <si>
    <t>740 (2)</t>
  </si>
  <si>
    <t>148MUM180_0008</t>
  </si>
  <si>
    <t>776 (2)</t>
  </si>
  <si>
    <t>149MUM180_0009</t>
  </si>
  <si>
    <t>1 182 (3)</t>
  </si>
  <si>
    <t>150MUM180_0011</t>
  </si>
  <si>
    <t>1 425 (4)</t>
  </si>
  <si>
    <t>151MUM180_0012</t>
  </si>
  <si>
    <t>17,00</t>
  </si>
  <si>
    <t>152MUM180_0013</t>
  </si>
  <si>
    <t>2 736 (8)</t>
  </si>
  <si>
    <t>153MUM180_0014</t>
  </si>
  <si>
    <t>2 755 (8)</t>
  </si>
  <si>
    <t>154MUM180_0015</t>
  </si>
  <si>
    <t>3 957 (11)</t>
  </si>
  <si>
    <t>155MUM180_0016</t>
  </si>
  <si>
    <t>4 110 (11)</t>
  </si>
  <si>
    <t>156MUM192_0001</t>
  </si>
  <si>
    <t>771 (2)</t>
  </si>
  <si>
    <t>157MUM192_0002</t>
  </si>
  <si>
    <t>950 (3)</t>
  </si>
  <si>
    <t>158MUM192_0003</t>
  </si>
  <si>
    <t>1 102 (3)</t>
  </si>
  <si>
    <t>159MUM216_0001</t>
  </si>
  <si>
    <t>3 932 (11)</t>
  </si>
  <si>
    <t>160MUM216_0002</t>
  </si>
  <si>
    <t>4 123 (11)</t>
  </si>
  <si>
    <t>161MUM240_0001</t>
  </si>
  <si>
    <t>2 396 (7)</t>
  </si>
  <si>
    <t>162MUM240_0002</t>
  </si>
  <si>
    <t>3 134 (9)</t>
  </si>
  <si>
    <t>163MUM240_0004</t>
  </si>
  <si>
    <t>3 391 (9)</t>
  </si>
  <si>
    <t>164MUM300_0001</t>
  </si>
  <si>
    <t>16,68</t>
  </si>
  <si>
    <t>4 792 (13)</t>
  </si>
  <si>
    <t>165MUM300_0002</t>
  </si>
  <si>
    <t>5 007 (14)</t>
  </si>
  <si>
    <t>166MUM300_0003</t>
  </si>
  <si>
    <t>16,69</t>
  </si>
  <si>
    <t>5 218 (14)</t>
  </si>
  <si>
    <t>167MUM360_0001</t>
  </si>
  <si>
    <t>16,67</t>
  </si>
  <si>
    <t>6 868 (19)</t>
  </si>
  <si>
    <t>168MUX072_0003</t>
  </si>
  <si>
    <t>2 013 (6)</t>
  </si>
  <si>
    <t>169NCOMb3</t>
  </si>
  <si>
    <t>223 (1)</t>
  </si>
  <si>
    <t>170NCOMb6</t>
  </si>
  <si>
    <t>263 (1)</t>
  </si>
  <si>
    <t>171NTK028_2866</t>
  </si>
  <si>
    <t>14,79</t>
  </si>
  <si>
    <t>20 (0)</t>
  </si>
  <si>
    <t>172PRKRe1</t>
  </si>
  <si>
    <t>210 (1)</t>
  </si>
  <si>
    <t>173SKKZe1</t>
  </si>
  <si>
    <t>4,75</t>
  </si>
  <si>
    <t>420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</si>
</sst>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4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4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45897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2498</v>
      </c>
      <c r="J5" s="2" t="s">
        <v>2499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28.08.25'!$C$5:$F$162,4,0)</f>
        <v>84.668599999999998</v>
      </c>
      <c r="J6" s="32">
        <f>VLOOKUP(B6,'KASE за 28.08.25'!$C$5:$G$162,5,0)</f>
        <v>86.971400000000003</v>
      </c>
      <c r="K6" s="64">
        <v>40298125</v>
      </c>
      <c r="L6" s="29">
        <f>D6*I6/100+K6</f>
        <v>1521998625</v>
      </c>
      <c r="M6" s="33">
        <f t="shared" ref="M6:M49" si="0">L6/$L$62</f>
        <v>5.7814730909939958E-2</v>
      </c>
      <c r="N6" s="13">
        <f>D6*E6%/360</f>
        <v>266875.00000000006</v>
      </c>
      <c r="O6" s="12">
        <f>K6+N6</f>
        <v>40565000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28.08.25'!$C$5:$F$162,4,0)</f>
        <v>86.286600000000007</v>
      </c>
      <c r="J7" s="32">
        <f>VLOOKUP(B7,'KASE за 28.08.25'!$C$5:$G$162,5,0)</f>
        <v>90.215500000000006</v>
      </c>
      <c r="K7" s="64">
        <v>76613333.333333373</v>
      </c>
      <c r="L7" s="29">
        <f>D7*I7/100+K7</f>
        <v>1759202033.3333335</v>
      </c>
      <c r="M7" s="33">
        <f t="shared" si="0"/>
        <v>6.6825153783161853E-2</v>
      </c>
      <c r="N7" s="13">
        <f t="shared" ref="N7:N15" si="1">D7*E7%/360</f>
        <v>563333.33333333337</v>
      </c>
      <c r="O7" s="12">
        <f t="shared" ref="O7:O41" si="2">K7+N7</f>
        <v>77176666.666666701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28.08.25'!$C$5:$F$162,4,0)</f>
        <v>84.383300000000006</v>
      </c>
      <c r="J8" s="32">
        <f>VLOOKUP(B8,'KASE за 28.08.25'!$C$5:$G$162,5,0)</f>
        <v>88.905500000000004</v>
      </c>
      <c r="K8" s="64">
        <v>62332050</v>
      </c>
      <c r="L8" s="29">
        <f>D8*I8/100+K8</f>
        <v>1225429265.55</v>
      </c>
      <c r="M8" s="33">
        <f t="shared" si="0"/>
        <v>4.6549229462634109E-2</v>
      </c>
      <c r="N8" s="13">
        <f>D8*E8%/360</f>
        <v>421162.5</v>
      </c>
      <c r="O8" s="12">
        <f t="shared" si="2"/>
        <v>62753212.5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28.08.25'!$C$5:$F$162,4,0)</f>
        <v>82.415300000000002</v>
      </c>
      <c r="J9" s="32">
        <f>VLOOKUP(B9,'KASE за 28.08.25'!$C$5:$G$162,5,0)</f>
        <v>83.294499999999999</v>
      </c>
      <c r="K9" s="64">
        <v>7402583.3333333377</v>
      </c>
      <c r="L9" s="29">
        <f>D9*I9/100+K9</f>
        <v>701339409.33333337</v>
      </c>
      <c r="M9" s="33">
        <f t="shared" si="0"/>
        <v>2.6641120800712223E-2</v>
      </c>
      <c r="N9" s="13">
        <f>D9*E9%/360</f>
        <v>246752.77777777781</v>
      </c>
      <c r="O9" s="12">
        <f>K9+N9</f>
        <v>7649336.1111111157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28.08.25'!$C$5:$F$162,4,0)</f>
        <v>77.209000000000003</v>
      </c>
      <c r="J10" s="32">
        <f>VLOOKUP(B10,'KASE за 28.08.25'!$C$5:$G$162,5,0)</f>
        <v>81.815399999999997</v>
      </c>
      <c r="K10" s="64">
        <v>66792638.888889</v>
      </c>
      <c r="L10" s="29">
        <f t="shared" ref="L10:L15" si="3">D10*I10/100+K10</f>
        <v>1186323138.8888891</v>
      </c>
      <c r="M10" s="33">
        <f t="shared" si="0"/>
        <v>4.5063741793522613E-2</v>
      </c>
      <c r="N10" s="13">
        <f>D10*E10%/360</f>
        <v>414861.11111111112</v>
      </c>
      <c r="O10" s="12">
        <f t="shared" si="2"/>
        <v>67207500.000000104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28.08.25'!$C$5:$F$162,4,0)</f>
        <v>67.820400000000006</v>
      </c>
      <c r="J11" s="32">
        <f>VLOOKUP(B11,'KASE за 28.08.25'!$C$5:$G$162,5,0)</f>
        <v>70.918700000000001</v>
      </c>
      <c r="K11" s="64">
        <v>60417500.000000104</v>
      </c>
      <c r="L11" s="29">
        <f t="shared" si="3"/>
        <v>1382915300.0000002</v>
      </c>
      <c r="M11" s="33">
        <f t="shared" si="0"/>
        <v>5.2531503397868641E-2</v>
      </c>
      <c r="N11" s="13">
        <f t="shared" si="1"/>
        <v>457708.33333333326</v>
      </c>
      <c r="O11" s="12">
        <f t="shared" si="2"/>
        <v>60875208.33333344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28.08.25'!$C$5:$F$162,4,0)</f>
        <v>75.780799999999999</v>
      </c>
      <c r="J12" s="32">
        <f>VLOOKUP(B12,'KASE за 28.08.25'!$C$5:$G$162,5,0)</f>
        <v>76.727500000000006</v>
      </c>
      <c r="K12" s="64">
        <v>9296266.666666666</v>
      </c>
      <c r="L12" s="29">
        <f>D12*I12/100+K12</f>
        <v>753463722.66666663</v>
      </c>
      <c r="M12" s="33">
        <f t="shared" si="0"/>
        <v>2.8621118088312962E-2</v>
      </c>
      <c r="N12" s="13">
        <f>D12*E12%/360</f>
        <v>290508.33333333331</v>
      </c>
      <c r="O12" s="12">
        <f t="shared" si="2"/>
        <v>9586775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28.08.25'!$C$5:$F$162,4,0)</f>
        <v>75.780799999999999</v>
      </c>
      <c r="J13" s="32">
        <f>VLOOKUP(B13,'KASE за 28.08.25'!$C$5:$G$162,5,0)</f>
        <v>76.727500000000006</v>
      </c>
      <c r="K13" s="64">
        <v>2366666.6666666665</v>
      </c>
      <c r="L13" s="29">
        <f>D13*I13/100+K13</f>
        <v>191818666.66666666</v>
      </c>
      <c r="M13" s="33">
        <f t="shared" si="0"/>
        <v>7.2864353585318136E-3</v>
      </c>
      <c r="N13" s="13">
        <f>D13*E13%/360</f>
        <v>73958.333333333328</v>
      </c>
      <c r="O13" s="12">
        <f>K13+N13</f>
        <v>2440625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28.08.25'!$C$5:$F$173,4,0)</f>
        <v>61.5334</v>
      </c>
      <c r="J14" s="32">
        <f>VLOOKUP(B14,'KASE за 28.08.25'!$C$5:$G$173,5,0)</f>
        <v>63.909599999999998</v>
      </c>
      <c r="K14" s="64">
        <v>46335250.000000007</v>
      </c>
      <c r="L14" s="29">
        <f t="shared" si="3"/>
        <v>1246236550</v>
      </c>
      <c r="M14" s="33">
        <f t="shared" si="0"/>
        <v>4.733961621573865E-2</v>
      </c>
      <c r="N14" s="13">
        <f t="shared" si="1"/>
        <v>437125.00000000006</v>
      </c>
      <c r="O14" s="12">
        <f t="shared" si="2"/>
        <v>46772375.000000007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28.08.25'!$C$5:$F$173,4,0)</f>
        <v>60.123399999999997</v>
      </c>
      <c r="J15" s="32">
        <f>VLOOKUP(B15,'KASE за 28.08.25'!$C$5:$G$173,5,0)</f>
        <v>64.808499999999995</v>
      </c>
      <c r="K15" s="64">
        <v>91359125</v>
      </c>
      <c r="L15" s="29">
        <f t="shared" si="3"/>
        <v>1263765425</v>
      </c>
      <c r="M15" s="33">
        <f t="shared" si="0"/>
        <v>4.8005469111156988E-2</v>
      </c>
      <c r="N15" s="13">
        <f t="shared" si="1"/>
        <v>437125.00000000006</v>
      </c>
      <c r="O15" s="12">
        <f t="shared" si="2"/>
        <v>91796250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28.08.25'!$C$5:$F$174,4,0)</f>
        <v>56.564399999999999</v>
      </c>
      <c r="J16" s="32">
        <f>VLOOKUP(B16,'KASE за 28.08.25'!$C$5:$G$174,5,0)</f>
        <v>58.458799999999997</v>
      </c>
      <c r="K16" s="64">
        <v>5910647.7222222313</v>
      </c>
      <c r="L16" s="29">
        <f t="shared" ref="L16:L30" si="4">D16*I16/100+K16</f>
        <v>182391010.07822222</v>
      </c>
      <c r="M16" s="33">
        <f t="shared" si="0"/>
        <v>6.9283158308139497E-3</v>
      </c>
      <c r="N16" s="13">
        <f>D16*E16%/360</f>
        <v>47666.513888888891</v>
      </c>
      <c r="O16" s="12">
        <f t="shared" si="2"/>
        <v>5958314.2361111203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28.08.25'!$C$5:$F$174,4,0)</f>
        <v>56.564399999999999</v>
      </c>
      <c r="J17" s="32">
        <f>VLOOKUP(B17,'KASE за 28.08.25'!$C$5:$G$174,5,0)</f>
        <v>58.458799999999997</v>
      </c>
      <c r="K17" s="64">
        <v>9472222.2222222202</v>
      </c>
      <c r="L17" s="29">
        <f t="shared" si="4"/>
        <v>292294222.22222221</v>
      </c>
      <c r="M17" s="33">
        <f t="shared" si="0"/>
        <v>1.1103105828566677E-2</v>
      </c>
      <c r="N17" s="13">
        <f t="shared" ref="N17:N27" si="5">D17*E17%/360</f>
        <v>76388.888888888891</v>
      </c>
      <c r="O17" s="12">
        <f t="shared" si="2"/>
        <v>9548611.1111111082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28.08.25'!$C$5:$F$174,4,0)</f>
        <v>56.564399999999999</v>
      </c>
      <c r="J18" s="32">
        <f>VLOOKUP(B18,'KASE за 28.08.25'!$C$5:$G$174,5,0)</f>
        <v>58.458799999999997</v>
      </c>
      <c r="K18" s="64">
        <v>9472222.2222222202</v>
      </c>
      <c r="L18" s="29">
        <f>D18*I18/100+K18</f>
        <v>292294222.22222221</v>
      </c>
      <c r="M18" s="33">
        <f t="shared" si="0"/>
        <v>1.1103105828566677E-2</v>
      </c>
      <c r="N18" s="13">
        <f>D18*E18%/360</f>
        <v>76388.888888888891</v>
      </c>
      <c r="O18" s="12">
        <f t="shared" si="2"/>
        <v>9548611.1111111082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28.08.25'!$C$5:$F$174,4,0)</f>
        <v>56.564399999999999</v>
      </c>
      <c r="J19" s="32">
        <f>VLOOKUP(B19,'KASE за 28.08.25'!$C$5:$G$174,5,0)</f>
        <v>58.458799999999997</v>
      </c>
      <c r="K19" s="64">
        <v>5683333.3333333293</v>
      </c>
      <c r="L19" s="29">
        <f>D19*I19/100+K19</f>
        <v>175376533.33333334</v>
      </c>
      <c r="M19" s="33">
        <f t="shared" si="0"/>
        <v>6.6618634971400076E-3</v>
      </c>
      <c r="N19" s="13">
        <f>D19*E19%/360</f>
        <v>45833.333333333336</v>
      </c>
      <c r="O19" s="12">
        <f t="shared" si="2"/>
        <v>5729166.6666666623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28.08.25'!$C$5:$F$174,4,0)</f>
        <v>56.564399999999999</v>
      </c>
      <c r="J20" s="32">
        <f>VLOOKUP(B20,'KASE за 28.08.25'!$C$5:$G$174,5,0)</f>
        <v>58.458799999999997</v>
      </c>
      <c r="K20" s="64">
        <v>5683333.3333333293</v>
      </c>
      <c r="L20" s="29">
        <f>D20*I20/100+K20</f>
        <v>175376533.33333334</v>
      </c>
      <c r="M20" s="33">
        <f t="shared" si="0"/>
        <v>6.6618634971400076E-3</v>
      </c>
      <c r="N20" s="13">
        <f>D20*E20%/360</f>
        <v>45833.333333333336</v>
      </c>
      <c r="O20" s="12">
        <f t="shared" si="2"/>
        <v>5729166.6666666623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28.08.25'!$C$5:$F$162,4,0)</f>
        <v>82.415300000000002</v>
      </c>
      <c r="J21" s="32">
        <f>VLOOKUP(B21,'KASE за 28.08.25'!$C$5:$G$162,5,0)</f>
        <v>83.294499999999999</v>
      </c>
      <c r="K21" s="64">
        <v>4395833.3333333358</v>
      </c>
      <c r="L21" s="29">
        <f t="shared" si="4"/>
        <v>416472333.33333331</v>
      </c>
      <c r="M21" s="33">
        <f t="shared" si="0"/>
        <v>1.5820142993297041E-2</v>
      </c>
      <c r="N21" s="13">
        <f>D21*E21%/360</f>
        <v>146527.77777777781</v>
      </c>
      <c r="O21" s="12">
        <f t="shared" si="2"/>
        <v>4542361.1111111138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28.08.25'!$C$5:$F$162,4,0)</f>
        <v>82.415300000000002</v>
      </c>
      <c r="J22" s="32">
        <f>VLOOKUP(B22,'KASE за 28.08.25'!$C$5:$G$162,5,0)</f>
        <v>83.294499999999999</v>
      </c>
      <c r="K22" s="64">
        <v>4865572.0833333312</v>
      </c>
      <c r="L22" s="29">
        <f t="shared" si="4"/>
        <v>460976566.87333333</v>
      </c>
      <c r="M22" s="33">
        <f t="shared" si="0"/>
        <v>1.7510683473560766E-2</v>
      </c>
      <c r="N22" s="13">
        <f t="shared" si="5"/>
        <v>162185.73611111112</v>
      </c>
      <c r="O22" s="12">
        <f t="shared" si="2"/>
        <v>5027757.8194444422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28.08.25'!$C$5:$F$174,4,0)</f>
        <v>75.588399999999993</v>
      </c>
      <c r="J23" s="32">
        <f>VLOOKUP(B23,'KASE за 28.08.25'!$C$5:$G$174,5,0)</f>
        <v>77.394000000000005</v>
      </c>
      <c r="K23" s="64">
        <v>11484326.388888868</v>
      </c>
      <c r="L23" s="29">
        <f t="shared" si="4"/>
        <v>492268124.00888884</v>
      </c>
      <c r="M23" s="33">
        <f t="shared" si="0"/>
        <v>1.8699326436720572E-2</v>
      </c>
      <c r="N23" s="13">
        <f t="shared" si="5"/>
        <v>88340.972222222219</v>
      </c>
      <c r="O23" s="12">
        <f t="shared" si="2"/>
        <v>11572667.36111109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28.08.25'!$C$5:$F$173,4,0)</f>
        <v>55.868299999999998</v>
      </c>
      <c r="J24" s="32">
        <f>VLOOKUP(B24,'KASE за 28.08.25'!$C$5:$G$173,5,0)</f>
        <v>56.633699999999997</v>
      </c>
      <c r="K24" s="64">
        <v>5350920.758333331</v>
      </c>
      <c r="L24" s="29">
        <f>D24*I24/100+K24</f>
        <v>395918384.4963333</v>
      </c>
      <c r="M24" s="33">
        <f t="shared" si="0"/>
        <v>1.5039379461958222E-2</v>
      </c>
      <c r="N24" s="13">
        <f t="shared" si="5"/>
        <v>162149.11388888888</v>
      </c>
      <c r="O24" s="12">
        <f t="shared" si="2"/>
        <v>5513069.8722222196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28.08.25'!$C$5:$F$173,4,0)</f>
        <v>55.868299999999998</v>
      </c>
      <c r="J25" s="32">
        <f>VLOOKUP(B25,'KASE за 28.08.25'!$C$5:$G$173,5,0)</f>
        <v>56.633699999999997</v>
      </c>
      <c r="K25" s="64">
        <v>2174342.0874999985</v>
      </c>
      <c r="L25" s="29">
        <f>D25*I25/100+K25</f>
        <v>160881097.9465</v>
      </c>
      <c r="M25" s="33">
        <f t="shared" si="0"/>
        <v>6.1112390205165868E-3</v>
      </c>
      <c r="N25" s="13">
        <f>D25*E25%/360</f>
        <v>65889.15416666666</v>
      </c>
      <c r="O25" s="12">
        <f t="shared" si="2"/>
        <v>2240231.2416666653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28.08.25'!$C$5:$F$162,4,0)</f>
        <v>72.356499999999997</v>
      </c>
      <c r="J26" s="32">
        <f>VLOOKUP(B26,'KASE за 28.08.25'!$C$5:$G$162,5,0)</f>
        <v>76.708500000000001</v>
      </c>
      <c r="K26" s="64">
        <v>21759999.999999642</v>
      </c>
      <c r="L26" s="29">
        <f t="shared" si="4"/>
        <v>383542499.99999964</v>
      </c>
      <c r="M26" s="33">
        <f t="shared" si="0"/>
        <v>1.4569268372384781E-2</v>
      </c>
      <c r="N26" s="13">
        <f t="shared" si="5"/>
        <v>106666.66666666667</v>
      </c>
      <c r="O26" s="12">
        <f t="shared" si="2"/>
        <v>21866666.66666631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28.08.25'!$C$5:$F$162,4,0)</f>
        <v>72.356499999999997</v>
      </c>
      <c r="J27" s="32">
        <f>VLOOKUP(B27,'KASE за 28.08.25'!$C$5:$G$162,5,0)</f>
        <v>76.708500000000001</v>
      </c>
      <c r="K27" s="64">
        <v>21759999.999999642</v>
      </c>
      <c r="L27" s="29">
        <f t="shared" si="4"/>
        <v>383542499.99999964</v>
      </c>
      <c r="M27" s="33">
        <f t="shared" si="0"/>
        <v>1.4569268372384781E-2</v>
      </c>
      <c r="N27" s="13">
        <f t="shared" si="5"/>
        <v>106666.66666666667</v>
      </c>
      <c r="O27" s="12">
        <f t="shared" si="2"/>
        <v>21866666.66666631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28.08.25'!$C$5:$F$162,4,0)</f>
        <v>72.356499999999997</v>
      </c>
      <c r="J28" s="32">
        <f>VLOOKUP(B28,'KASE за 28.08.25'!$C$5:$G$162,5,0)</f>
        <v>76.708500000000001</v>
      </c>
      <c r="K28" s="64">
        <v>21759999.999999642</v>
      </c>
      <c r="L28" s="29">
        <f>D28*I28/100+K28</f>
        <v>383542499.99999964</v>
      </c>
      <c r="M28" s="33">
        <f t="shared" si="0"/>
        <v>1.4569268372384781E-2</v>
      </c>
      <c r="N28" s="13">
        <f>D28*E28%/360</f>
        <v>106666.66666666667</v>
      </c>
      <c r="O28" s="12">
        <f t="shared" si="2"/>
        <v>21866666.66666631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28.08.25'!$C$4:$G$963,4,0)</f>
        <v>93.285639764423422</v>
      </c>
      <c r="J29" s="32">
        <f>VLOOKUP(B29,'Риск цены за 28.08.25'!$C$4:$G$963,5,0)</f>
        <v>107.38703976442342</v>
      </c>
      <c r="K29" s="64">
        <v>239723611.11111656</v>
      </c>
      <c r="L29" s="29">
        <f>D29*I29/100+K29</f>
        <v>1825579487.1063147</v>
      </c>
      <c r="M29" s="33">
        <f t="shared" si="0"/>
        <v>6.934657171701307E-2</v>
      </c>
      <c r="N29" s="13">
        <f t="shared" ref="N29:N35" si="7">D29*E29%/360</f>
        <v>675277.77777777787</v>
      </c>
      <c r="O29" s="12">
        <f t="shared" si="2"/>
        <v>240398888.88889435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28.08.25'!$C$5:$F$162,4,0)</f>
        <v>83.022999999999996</v>
      </c>
      <c r="J30" s="32">
        <f>VLOOKUP(B30,'KASE за 28.08.25'!$C$5:$G$162,5,0)</f>
        <v>89.222999999999999</v>
      </c>
      <c r="K30" s="64">
        <v>30999999.999999762</v>
      </c>
      <c r="L30" s="29">
        <f t="shared" si="4"/>
        <v>446114999.99999976</v>
      </c>
      <c r="M30" s="33">
        <f t="shared" si="0"/>
        <v>1.6946151104366373E-2</v>
      </c>
      <c r="N30" s="13">
        <f t="shared" si="7"/>
        <v>166666.66666666666</v>
      </c>
      <c r="O30" s="12">
        <f t="shared" si="2"/>
        <v>31166666.666666429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28.08.25'!$C$5:$F$162,4,0)</f>
        <v>84.878500000000003</v>
      </c>
      <c r="J31" s="32">
        <f>VLOOKUP(B31,'KASE за 28.08.25'!$C$5:$G$162,5,0)</f>
        <v>90.578500000000005</v>
      </c>
      <c r="K31" s="64">
        <v>17100000</v>
      </c>
      <c r="L31" s="29">
        <f t="shared" ref="L31:L46" si="9">D31*I31/100+K31</f>
        <v>271735500</v>
      </c>
      <c r="M31" s="33">
        <f t="shared" si="0"/>
        <v>1.0322160975130966E-2</v>
      </c>
      <c r="N31" s="13">
        <f t="shared" si="7"/>
        <v>100000</v>
      </c>
      <c r="O31" s="12">
        <f t="shared" si="2"/>
        <v>17200000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28.08.25'!$C$5:$F$162,4,0)</f>
        <v>84.878500000000003</v>
      </c>
      <c r="J32" s="32">
        <f>VLOOKUP(B32,'KASE за 28.08.25'!$C$5:$G$162,5,0)</f>
        <v>90.578500000000005</v>
      </c>
      <c r="K32" s="64">
        <v>16449003</v>
      </c>
      <c r="L32" s="29">
        <f t="shared" si="9"/>
        <v>261390529.51499999</v>
      </c>
      <c r="M32" s="33">
        <f t="shared" si="0"/>
        <v>9.9291963068077298E-3</v>
      </c>
      <c r="N32" s="13">
        <f t="shared" si="7"/>
        <v>96193</v>
      </c>
      <c r="O32" s="12">
        <f t="shared" si="2"/>
        <v>16545196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28.08.25'!$C$4:$G$963,4,0)</f>
        <v>98.056536843672347</v>
      </c>
      <c r="J33" s="32">
        <f>VLOOKUP(B33,'Риск цены за 28.08.25'!$C$4:$G$963,5,0)</f>
        <v>101.52903684367234</v>
      </c>
      <c r="K33" s="64">
        <v>10417500</v>
      </c>
      <c r="L33" s="29">
        <f t="shared" si="9"/>
        <v>304587110.53101707</v>
      </c>
      <c r="M33" s="33">
        <f t="shared" si="0"/>
        <v>1.157006421999027E-2</v>
      </c>
      <c r="N33" s="13">
        <f t="shared" si="7"/>
        <v>115750</v>
      </c>
      <c r="O33" s="12">
        <f t="shared" si="2"/>
        <v>10533250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28.08.25'!$C$5:$F$162,4,0)</f>
        <v>70.447999999999993</v>
      </c>
      <c r="J34" s="32">
        <f>VLOOKUP(B34,'KASE за 28.08.25'!$C$5:$G$162,5,0)</f>
        <v>72.98</v>
      </c>
      <c r="K34" s="64">
        <v>177240.00000000026</v>
      </c>
      <c r="L34" s="29">
        <f t="shared" si="9"/>
        <v>5108599.9999999991</v>
      </c>
      <c r="M34" s="33">
        <f t="shared" si="0"/>
        <v>1.9405558551442134E-4</v>
      </c>
      <c r="N34" s="13">
        <f t="shared" si="7"/>
        <v>1641.1111111111109</v>
      </c>
      <c r="O34" s="12">
        <f t="shared" si="2"/>
        <v>178881.11111111139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28.08.25'!$C$5:$F$162,4,0)</f>
        <v>88.838899999999995</v>
      </c>
      <c r="J35" s="32">
        <f>VLOOKUP(B35,'KASE за 28.08.25'!$C$5:$G$162,5,0)</f>
        <v>92.688900000000004</v>
      </c>
      <c r="K35" s="64">
        <v>384999.99999999919</v>
      </c>
      <c r="L35" s="29">
        <f t="shared" si="9"/>
        <v>9268890</v>
      </c>
      <c r="M35" s="33">
        <f t="shared" si="0"/>
        <v>3.5208861058191388E-4</v>
      </c>
      <c r="N35" s="13">
        <f t="shared" si="7"/>
        <v>3888.8888888888896</v>
      </c>
      <c r="O35" s="12">
        <f t="shared" si="2"/>
        <v>388888.88888888806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28.08.25'!$C$5:$F$174,4,0)</f>
        <v>60.048200000000001</v>
      </c>
      <c r="J36" s="32">
        <f>VLOOKUP(B36,'KASE за 28.08.25'!$C$5:$G$174,5,0)</f>
        <v>64.808999999999997</v>
      </c>
      <c r="K36" s="64">
        <v>14282500</v>
      </c>
      <c r="L36" s="29">
        <f t="shared" si="9"/>
        <v>194427100</v>
      </c>
      <c r="M36" s="33">
        <f t="shared" si="0"/>
        <v>7.38551946333065E-3</v>
      </c>
      <c r="N36" s="13">
        <f t="shared" ref="N36:N60" si="10">D36*E36%/360</f>
        <v>72500</v>
      </c>
      <c r="O36" s="12">
        <f t="shared" si="2"/>
        <v>14355000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28.08.25'!$C$5:$F$174,4,0)</f>
        <v>60.048200000000001</v>
      </c>
      <c r="J37" s="32">
        <f>VLOOKUP(B37,'KASE за 28.08.25'!$C$5:$G$174,5,0)</f>
        <v>64.808999999999997</v>
      </c>
      <c r="K37" s="64">
        <v>9521666.6666663121</v>
      </c>
      <c r="L37" s="29">
        <f t="shared" si="9"/>
        <v>129618066.66666631</v>
      </c>
      <c r="M37" s="33">
        <f t="shared" si="0"/>
        <v>4.9236796422204195E-3</v>
      </c>
      <c r="N37" s="13">
        <f t="shared" si="10"/>
        <v>48333.333333333336</v>
      </c>
      <c r="O37" s="12">
        <f t="shared" si="2"/>
        <v>9569999.9999996461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28.08.25'!$C$5:$F$162,4,0)</f>
        <v>82.054900000000004</v>
      </c>
      <c r="J38" s="32">
        <f>VLOOKUP(B38,'KASE за 28.08.25'!$C$5:$G$162,5,0)</f>
        <v>88.288200000000003</v>
      </c>
      <c r="K38" s="64">
        <v>16393666.666666867</v>
      </c>
      <c r="L38" s="29">
        <f t="shared" si="9"/>
        <v>232198053.66666687</v>
      </c>
      <c r="M38" s="33">
        <f t="shared" si="0"/>
        <v>8.8202891711220439E-3</v>
      </c>
      <c r="N38" s="13">
        <f t="shared" si="10"/>
        <v>80361.111111111109</v>
      </c>
      <c r="O38" s="12">
        <f t="shared" si="2"/>
        <v>16474027.777777979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28.08.25'!$C$5:$F$162,4,0)</f>
        <v>95.229399999999998</v>
      </c>
      <c r="J39" s="32">
        <f>VLOOKUP(B39,'KASE за 28.08.25'!$C$5:$G$162,5,0)</f>
        <v>102.6669</v>
      </c>
      <c r="K39" s="64">
        <v>25361875</v>
      </c>
      <c r="L39" s="29">
        <f t="shared" si="9"/>
        <v>350094129</v>
      </c>
      <c r="M39" s="33">
        <f t="shared" si="0"/>
        <v>1.3298696548615348E-2</v>
      </c>
      <c r="N39" s="13">
        <f t="shared" si="10"/>
        <v>144925</v>
      </c>
      <c r="O39" s="12">
        <f t="shared" si="2"/>
        <v>25506800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28.08.25'!$C$5:$F$162,4,0)</f>
        <v>84.535600000000002</v>
      </c>
      <c r="J40" s="32">
        <f>VLOOKUP(B40,'KASE за 28.08.25'!$C$5:$G$162,5,0)</f>
        <v>93.289699999999996</v>
      </c>
      <c r="K40" s="64">
        <v>7241990.5191666959</v>
      </c>
      <c r="L40" s="29">
        <f t="shared" si="9"/>
        <v>77175756.331166685</v>
      </c>
      <c r="M40" s="33">
        <f t="shared" si="0"/>
        <v>2.9316029014530135E-3</v>
      </c>
      <c r="N40" s="13">
        <f t="shared" si="10"/>
        <v>24059.769166666669</v>
      </c>
      <c r="O40" s="12">
        <f t="shared" si="2"/>
        <v>7266050.2883333629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28.08.25'!$C$5:$F$162,4,0)</f>
        <v>74.514099999999999</v>
      </c>
      <c r="J41" s="32">
        <f>VLOOKUP(B41,'KASE за 28.08.25'!$C$5:$G$162,5,0)</f>
        <v>74.834100000000007</v>
      </c>
      <c r="K41" s="110">
        <v>728000.00000000012</v>
      </c>
      <c r="L41" s="29">
        <f t="shared" si="9"/>
        <v>170247577.5</v>
      </c>
      <c r="M41" s="33">
        <f t="shared" si="0"/>
        <v>6.4670346737216323E-3</v>
      </c>
      <c r="N41" s="13">
        <f t="shared" si="10"/>
        <v>48533.333333333336</v>
      </c>
      <c r="O41" s="12">
        <f t="shared" si="2"/>
        <v>776533.33333333349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28.08.25'!$C$5:$F$162,4,0)</f>
        <v>76.442300000000003</v>
      </c>
      <c r="J42" s="32">
        <f>VLOOKUP(B42,'KASE за 28.08.25'!$C$5:$G$162,5,0)</f>
        <v>81.616600000000005</v>
      </c>
      <c r="K42" s="64">
        <v>25871666.666655421</v>
      </c>
      <c r="L42" s="29">
        <f t="shared" si="9"/>
        <v>408083166.66665542</v>
      </c>
      <c r="M42" s="33">
        <f t="shared" si="0"/>
        <v>1.5501471605934507E-2</v>
      </c>
      <c r="N42" s="13">
        <f t="shared" si="10"/>
        <v>100277.77777777778</v>
      </c>
      <c r="O42" s="12">
        <f t="shared" ref="O42:O60" si="11">K42+N42</f>
        <v>25971944.444433197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28.08.25'!$C$5:$F$162,4,0)</f>
        <v>95.229399999999998</v>
      </c>
      <c r="J43" s="32">
        <f>VLOOKUP(B43,'KASE за 28.08.25'!$C$5:$G$162,5,0)</f>
        <v>102.6669</v>
      </c>
      <c r="K43" s="64">
        <v>19263125</v>
      </c>
      <c r="L43" s="29">
        <f t="shared" si="9"/>
        <v>265907271</v>
      </c>
      <c r="M43" s="33">
        <f t="shared" si="0"/>
        <v>1.0100769519329547E-2</v>
      </c>
      <c r="N43" s="13">
        <f t="shared" si="10"/>
        <v>110075</v>
      </c>
      <c r="O43" s="12">
        <f t="shared" si="11"/>
        <v>19373200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28.08.25'!$C$4:$G$963,4,0)</f>
        <v>99.427248495794615</v>
      </c>
      <c r="J44" s="32">
        <f>VLOOKUP(B44,'Риск цены за 28.08.25'!$C$4:$G$963,5,0)</f>
        <v>105.82894849579461</v>
      </c>
      <c r="K44" s="64">
        <v>12803333.333333356</v>
      </c>
      <c r="L44" s="29">
        <f t="shared" si="9"/>
        <v>211657830.32492259</v>
      </c>
      <c r="M44" s="33">
        <f t="shared" si="0"/>
        <v>8.040047017267923E-3</v>
      </c>
      <c r="N44" s="13">
        <f t="shared" si="10"/>
        <v>92777.777777777766</v>
      </c>
      <c r="O44" s="12">
        <f t="shared" si="11"/>
        <v>12896111.111111134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28.08.25'!$C$5:$F$162,4,0)</f>
        <v>79.868399999999994</v>
      </c>
      <c r="J45" s="84">
        <f>VLOOKUP(B45,'KASE за 28.08.25'!$C$5:$G$162,5,0)</f>
        <v>84.417599999999993</v>
      </c>
      <c r="K45" s="106">
        <v>22745833.333333477</v>
      </c>
      <c r="L45" s="29">
        <f t="shared" si="9"/>
        <v>422087833.33333349</v>
      </c>
      <c r="M45" s="85">
        <f t="shared" si="0"/>
        <v>1.603345371256578E-2</v>
      </c>
      <c r="N45" s="13">
        <f t="shared" si="10"/>
        <v>73611.111111111109</v>
      </c>
      <c r="O45" s="12">
        <f t="shared" si="11"/>
        <v>22819444.444444589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28.08.25'!$C$5:$F$162,4,0)</f>
        <v>82.054900000000004</v>
      </c>
      <c r="J46" s="84">
        <f>VLOOKUP(B46,'KASE за 28.08.25'!$C$5:$G$162,5,0)</f>
        <v>88.288200000000003</v>
      </c>
      <c r="K46" s="106">
        <v>45939666.666666821</v>
      </c>
      <c r="L46" s="74">
        <f t="shared" si="9"/>
        <v>650684279.66666687</v>
      </c>
      <c r="M46" s="85">
        <f t="shared" si="0"/>
        <v>2.4716932011851496E-2</v>
      </c>
      <c r="N46" s="13">
        <f t="shared" si="10"/>
        <v>225194.44444444444</v>
      </c>
      <c r="O46" s="12">
        <f t="shared" si="11"/>
        <v>46164861.111111268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28.08.25'!$C$5:$F$162,4,0)</f>
        <v>77.209000000000003</v>
      </c>
      <c r="J47" s="84">
        <f>VLOOKUP(B47,'KASE за 28.08.25'!$C$5:$G$162,5,0)</f>
        <v>81.815399999999997</v>
      </c>
      <c r="K47" s="64">
        <v>276383.33333333296</v>
      </c>
      <c r="L47" s="74">
        <f t="shared" ref="L47:L60" si="12">D47*I47/100+K47</f>
        <v>4908923.333333333</v>
      </c>
      <c r="M47" s="85">
        <f t="shared" si="0"/>
        <v>1.8647065569733491E-4</v>
      </c>
      <c r="N47" s="13">
        <f t="shared" si="10"/>
        <v>1716.6666666666667</v>
      </c>
      <c r="O47" s="12">
        <f t="shared" si="11"/>
        <v>278099.99999999965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28.08.25'!$C$5:$F$162,4,0)</f>
        <v>77.209000000000003</v>
      </c>
      <c r="J48" s="84">
        <f>VLOOKUP(B48,'KASE за 28.08.25'!$C$5:$G$162,5,0)</f>
        <v>81.815399999999997</v>
      </c>
      <c r="K48" s="106">
        <v>276383.33333333296</v>
      </c>
      <c r="L48" s="74">
        <f t="shared" si="12"/>
        <v>4908923.333333333</v>
      </c>
      <c r="M48" s="85">
        <f t="shared" si="0"/>
        <v>1.8647065569733491E-4</v>
      </c>
      <c r="N48" s="13">
        <f t="shared" si="10"/>
        <v>1716.6666666666667</v>
      </c>
      <c r="O48" s="12">
        <f t="shared" si="11"/>
        <v>278099.99999999965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26680555.555555616</v>
      </c>
      <c r="L49" s="74">
        <f t="shared" si="12"/>
        <v>526680555.55555564</v>
      </c>
      <c r="M49" s="85">
        <f t="shared" si="0"/>
        <v>2.0006519122145811E-2</v>
      </c>
      <c r="N49" s="13">
        <f t="shared" si="10"/>
        <v>236111.11111111112</v>
      </c>
      <c r="O49" s="12">
        <f t="shared" si="11"/>
        <v>26916666.666666728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28.08.25'!$C$5:$F$165,4,0)</f>
        <v>70.447999999999993</v>
      </c>
      <c r="J50" s="84">
        <f>VLOOKUP(B50,'KASE за 28.08.25'!$C$5:$G$165,5,0)</f>
        <v>72.98</v>
      </c>
      <c r="K50" s="108">
        <v>12659999.999999985</v>
      </c>
      <c r="L50" s="74">
        <f t="shared" si="12"/>
        <v>364900000</v>
      </c>
      <c r="M50" s="85">
        <f t="shared" ref="M50:M61" si="13">L50/$L$62</f>
        <v>1.3861113251030099E-2</v>
      </c>
      <c r="N50" s="13">
        <f t="shared" si="10"/>
        <v>117222.2222222222</v>
      </c>
      <c r="O50" s="12">
        <f t="shared" si="11"/>
        <v>12777222.222222207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28.08.25'!$C$5:$F$165,4,0)</f>
        <v>74.514099999999999</v>
      </c>
      <c r="J51" s="84">
        <f>VLOOKUP(B51,'KASE за 28.08.25'!$C$5:$G$165,5,0)</f>
        <v>74.834100000000007</v>
      </c>
      <c r="K51" s="111">
        <v>1600000.0000000002</v>
      </c>
      <c r="L51" s="74">
        <f t="shared" si="12"/>
        <v>374170500</v>
      </c>
      <c r="M51" s="85">
        <f t="shared" si="13"/>
        <v>1.4213263019168422E-2</v>
      </c>
      <c r="N51" s="13">
        <f t="shared" si="10"/>
        <v>106666.66666666667</v>
      </c>
      <c r="O51" s="12">
        <f t="shared" si="11"/>
        <v>1706666.666666667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28.08.25'!$C$5:$F$165,4,0)</f>
        <v>75.588399999999993</v>
      </c>
      <c r="J52" s="84">
        <f>VLOOKUP(B52,'KASE за 28.08.25'!$C$5:$G$165,5,0)</f>
        <v>77.394000000000005</v>
      </c>
      <c r="K52" s="108">
        <v>9027777.77777775</v>
      </c>
      <c r="L52" s="74">
        <f t="shared" si="12"/>
        <v>386969777.77777773</v>
      </c>
      <c r="M52" s="85">
        <f t="shared" si="13"/>
        <v>1.4699457151284538E-2</v>
      </c>
      <c r="N52" s="13">
        <f t="shared" si="10"/>
        <v>69444.444444444438</v>
      </c>
      <c r="O52" s="12">
        <f t="shared" si="11"/>
        <v>9097222.2222221941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28.08.25'!$C$5:$F$165,4,0)</f>
        <v>82.415300000000002</v>
      </c>
      <c r="J53" s="84">
        <f>VLOOKUP(B53,'KASE за 28.08.25'!$C$5:$G$165,5,0)</f>
        <v>83.294499999999999</v>
      </c>
      <c r="K53" s="108">
        <v>1758333.3333333326</v>
      </c>
      <c r="L53" s="74">
        <f t="shared" si="12"/>
        <v>166588933.33333334</v>
      </c>
      <c r="M53" s="85">
        <f t="shared" si="13"/>
        <v>6.3280571973188173E-3</v>
      </c>
      <c r="N53" s="13">
        <f t="shared" si="10"/>
        <v>58611.111111111124</v>
      </c>
      <c r="O53" s="12">
        <f t="shared" si="11"/>
        <v>1816944.4444444436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28.08.25'!$C$5:$F$165,4,0)</f>
        <v>84.878500000000003</v>
      </c>
      <c r="J54" s="84">
        <f>VLOOKUP(B54,'KASE за 28.08.25'!$C$5:$G$165,5,0)</f>
        <v>90.578500000000005</v>
      </c>
      <c r="K54" s="108">
        <v>28500000.000000078</v>
      </c>
      <c r="L54" s="74">
        <f>D54*I54/100+K54</f>
        <v>452892500.00000006</v>
      </c>
      <c r="M54" s="85">
        <f t="shared" si="13"/>
        <v>1.7203601625218279E-2</v>
      </c>
      <c r="N54" s="13">
        <f t="shared" si="10"/>
        <v>166666.66666666666</v>
      </c>
      <c r="O54" s="12">
        <f t="shared" si="11"/>
        <v>28666666.666666746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28.08.25'!$C$5:$F$165,4,0)</f>
        <v>84.878500000000003</v>
      </c>
      <c r="J55" s="84">
        <f>VLOOKUP(B55,'KASE за 28.08.25'!$C$5:$G$165,5,0)</f>
        <v>90.578500000000005</v>
      </c>
      <c r="K55" s="108">
        <v>28500000.000000078</v>
      </c>
      <c r="L55" s="74">
        <f t="shared" si="12"/>
        <v>452892500.00000006</v>
      </c>
      <c r="M55" s="85">
        <f t="shared" si="13"/>
        <v>1.7203601625218279E-2</v>
      </c>
      <c r="N55" s="13">
        <f t="shared" si="10"/>
        <v>166666.66666666666</v>
      </c>
      <c r="O55" s="12">
        <f t="shared" si="11"/>
        <v>28666666.666666746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28.08.25'!$C$5:$F$165,4,0)</f>
        <v>84.878500000000003</v>
      </c>
      <c r="J56" s="32">
        <f>VLOOKUP(B56,'KASE за 28.08.25'!$C$5:$G$165,5,0)</f>
        <v>90.578500000000005</v>
      </c>
      <c r="K56" s="107">
        <v>23450996.999999952</v>
      </c>
      <c r="L56" s="74">
        <f t="shared" si="12"/>
        <v>372658970.48499995</v>
      </c>
      <c r="M56" s="85">
        <f t="shared" si="13"/>
        <v>1.4155845968497855E-2</v>
      </c>
      <c r="N56" s="13">
        <f t="shared" si="10"/>
        <v>137140.33333333334</v>
      </c>
      <c r="O56" s="12">
        <f t="shared" si="11"/>
        <v>23588137.333333284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28.08.25'!$C$5:$F$174,4,0)</f>
        <v>89.958799999999997</v>
      </c>
      <c r="J57" s="32">
        <f>VLOOKUP(B57,'KASE за 28.08.25'!$C$5:$G$174,5,0)</f>
        <v>93.290300000000002</v>
      </c>
      <c r="K57" s="107">
        <v>7620503.3236111132</v>
      </c>
      <c r="L57" s="74">
        <f>D57*I57/100+K57</f>
        <v>213391362.85561112</v>
      </c>
      <c r="M57" s="85">
        <f t="shared" si="13"/>
        <v>8.1058970877864716E-3</v>
      </c>
      <c r="N57" s="13">
        <f t="shared" si="10"/>
        <v>91813.29305555555</v>
      </c>
      <c r="O57" s="12">
        <f t="shared" si="11"/>
        <v>7712316.616666669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28.08.25'!$C$5:$F$174,4,0)</f>
        <v>70.447999999999993</v>
      </c>
      <c r="J58" s="84">
        <f>VLOOKUP(B58,'KASE за 28.08.25'!$C$5:$G$174,5,0)</f>
        <v>72.98</v>
      </c>
      <c r="K58" s="108">
        <v>12659999.999999993</v>
      </c>
      <c r="L58" s="74">
        <f t="shared" si="12"/>
        <v>364900000</v>
      </c>
      <c r="M58" s="85">
        <f t="shared" si="13"/>
        <v>1.3861113251030099E-2</v>
      </c>
      <c r="N58" s="13">
        <f t="shared" si="10"/>
        <v>117222.2222222222</v>
      </c>
      <c r="O58" s="12">
        <f t="shared" si="11"/>
        <v>12777222.222222215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28.08.25'!$C$5:$F$174,4,0)</f>
        <v>89.958799999999997</v>
      </c>
      <c r="J59" s="84">
        <f>VLOOKUP(B59,'KASE за 28.08.25'!$C$5:$G$174,5,0)</f>
        <v>93.290300000000002</v>
      </c>
      <c r="K59" s="108">
        <v>16657638.888888882</v>
      </c>
      <c r="L59" s="74">
        <f t="shared" si="12"/>
        <v>466451638.8888889</v>
      </c>
      <c r="M59" s="85">
        <f t="shared" si="13"/>
        <v>1.7718659887003246E-2</v>
      </c>
      <c r="N59" s="13">
        <f t="shared" si="10"/>
        <v>200694.44444444444</v>
      </c>
      <c r="O59" s="12">
        <f t="shared" si="11"/>
        <v>16858333.333333328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28.08.25'!$C$5:$F$174,4,0)</f>
        <v>55.868299999999998</v>
      </c>
      <c r="J60" s="84">
        <f>VLOOKUP(B60,'KASE за 28.08.25'!$C$5:$G$174,5,0)</f>
        <v>56.633699999999997</v>
      </c>
      <c r="K60" s="108">
        <v>128903.82083333326</v>
      </c>
      <c r="L60" s="74">
        <f t="shared" si="12"/>
        <v>9537684.2238333318</v>
      </c>
      <c r="M60" s="85">
        <f t="shared" si="13"/>
        <v>3.6229904406444757E-4</v>
      </c>
      <c r="N60" s="13">
        <f t="shared" si="10"/>
        <v>3906.1763888888881</v>
      </c>
      <c r="O60" s="12">
        <f t="shared" si="11"/>
        <v>132809.99722222215</v>
      </c>
      <c r="Q60" s="3"/>
      <c r="R60" s="12"/>
    </row>
    <row r="61" spans="1:18" ht="15.75" thickBot="1" x14ac:dyDescent="0.3">
      <c r="A61" s="83" t="s">
        <v>824</v>
      </c>
      <c r="B61" s="82" t="s">
        <v>2497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259722.22222222222</v>
      </c>
      <c r="L61" s="74">
        <f>D61*I61/100+K61</f>
        <v>500259722.22222221</v>
      </c>
      <c r="M61" s="85">
        <f t="shared" si="13"/>
        <v>1.9002895765007074E-2</v>
      </c>
      <c r="N61" s="13">
        <f t="shared" ref="N61" si="15">D61*E61%/360</f>
        <v>259722.22222222222</v>
      </c>
      <c r="O61" s="12">
        <f t="shared" ref="O61" si="16">K61+N61</f>
        <v>519444.44444444444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1278449168.9261041</v>
      </c>
      <c r="L62" s="112">
        <f>SUM(L6:L61)</f>
        <v>26325446837.603912</v>
      </c>
      <c r="M62" s="109">
        <f>SUM(M6:M61)</f>
        <v>1</v>
      </c>
      <c r="N62" s="13">
        <v>26325446837.603912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303403.06</v>
      </c>
      <c r="C65" s="8">
        <v>303403.06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137</v>
      </c>
      <c r="C69" s="57">
        <v>32100</v>
      </c>
      <c r="D69" s="58" t="s">
        <v>240</v>
      </c>
      <c r="E69" s="46">
        <v>45896</v>
      </c>
      <c r="F69" s="46">
        <v>45897</v>
      </c>
      <c r="G69" s="59">
        <v>935.14099999999996</v>
      </c>
      <c r="H69" s="59">
        <v>935.543238629283</v>
      </c>
      <c r="I69" s="57">
        <v>30018026.100000001</v>
      </c>
      <c r="J69" s="57">
        <v>30030937.960000001</v>
      </c>
      <c r="K69" s="60">
        <v>15.699996010064099</v>
      </c>
      <c r="L69" s="18">
        <f t="shared" ref="L69:L76" si="17">IF(($B$1-E69)=0,0,(J69-I69)/(F69-E69)*($B$1-E69))</f>
        <v>12911.859999999404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204</v>
      </c>
      <c r="C70" s="57">
        <v>595900</v>
      </c>
      <c r="D70" s="58" t="s">
        <v>240</v>
      </c>
      <c r="E70" s="46">
        <v>45896</v>
      </c>
      <c r="F70" s="46">
        <v>45897</v>
      </c>
      <c r="G70" s="59">
        <v>847.54499999999996</v>
      </c>
      <c r="H70" s="59">
        <v>847.90654645074699</v>
      </c>
      <c r="I70" s="57">
        <v>505052065.5</v>
      </c>
      <c r="J70" s="57">
        <v>505267511.02999997</v>
      </c>
      <c r="K70" s="60">
        <v>15.570200346007701</v>
      </c>
      <c r="L70" s="18">
        <f t="shared" si="17"/>
        <v>215445.52999997139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6</v>
      </c>
      <c r="C71" s="57">
        <v>671840</v>
      </c>
      <c r="D71" s="58" t="s">
        <v>240</v>
      </c>
      <c r="E71" s="46">
        <v>45896</v>
      </c>
      <c r="F71" s="46">
        <v>45897</v>
      </c>
      <c r="G71" s="59">
        <v>905.03200000000004</v>
      </c>
      <c r="H71" s="59">
        <v>905.41806681650405</v>
      </c>
      <c r="I71" s="57">
        <v>608036698.88</v>
      </c>
      <c r="J71" s="57">
        <v>608296074.00999999</v>
      </c>
      <c r="K71" s="60">
        <v>15.5701000654048</v>
      </c>
      <c r="L71" s="18">
        <f>IF(($B$1-E71)=0,0,(J71-I71)/(F71-E71)*($B$1-E71))</f>
        <v>259375.12999999523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400</v>
      </c>
      <c r="B72" s="56" t="s">
        <v>6</v>
      </c>
      <c r="C72" s="57">
        <v>14365</v>
      </c>
      <c r="D72" s="58" t="s">
        <v>240</v>
      </c>
      <c r="E72" s="46">
        <v>45896</v>
      </c>
      <c r="F72" s="46">
        <v>45897</v>
      </c>
      <c r="G72" s="59">
        <v>905.03200000000004</v>
      </c>
      <c r="H72" s="59">
        <v>905.41806682909896</v>
      </c>
      <c r="I72" s="57">
        <v>13000784.68</v>
      </c>
      <c r="J72" s="57">
        <v>13006330.529999999</v>
      </c>
      <c r="K72" s="60">
        <v>15.570100573344799</v>
      </c>
      <c r="L72" s="18">
        <f t="shared" si="17"/>
        <v>5545.8499999996275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408</v>
      </c>
      <c r="C73" s="57">
        <v>222720</v>
      </c>
      <c r="D73" s="58" t="s">
        <v>240</v>
      </c>
      <c r="E73" s="46">
        <v>45897</v>
      </c>
      <c r="F73" s="46">
        <v>45898</v>
      </c>
      <c r="G73" s="59">
        <v>1078.261</v>
      </c>
      <c r="H73" s="59">
        <v>1078.7336682830501</v>
      </c>
      <c r="I73" s="57">
        <v>240150289.91999999</v>
      </c>
      <c r="J73" s="57">
        <v>240255562.59999999</v>
      </c>
      <c r="K73" s="60">
        <v>16.0002006296974</v>
      </c>
      <c r="L73" s="18">
        <f t="shared" si="17"/>
        <v>0</v>
      </c>
      <c r="M73" s="18">
        <f>IF((F73=$B$1),0,(I73+L73))</f>
        <v>240150289.91999999</v>
      </c>
      <c r="N73" s="16"/>
    </row>
    <row r="74" spans="1:17" s="17" customFormat="1" ht="15" customHeight="1" x14ac:dyDescent="0.25">
      <c r="A74" s="55" t="s">
        <v>400</v>
      </c>
      <c r="B74" s="56" t="s">
        <v>181</v>
      </c>
      <c r="C74" s="57">
        <v>445014</v>
      </c>
      <c r="D74" s="58" t="s">
        <v>240</v>
      </c>
      <c r="E74" s="46">
        <v>45897</v>
      </c>
      <c r="F74" s="46">
        <v>45898</v>
      </c>
      <c r="G74" s="59">
        <v>903.90099999101199</v>
      </c>
      <c r="H74" s="59">
        <v>904.29723552517498</v>
      </c>
      <c r="I74" s="57">
        <v>402248599.61000001</v>
      </c>
      <c r="J74" s="57">
        <v>402424929.97000003</v>
      </c>
      <c r="K74" s="60">
        <v>16.000200239951301</v>
      </c>
      <c r="L74" s="18">
        <f t="shared" si="17"/>
        <v>0</v>
      </c>
      <c r="M74" s="18">
        <f t="shared" si="18"/>
        <v>402248599.61000001</v>
      </c>
      <c r="N74" s="16"/>
    </row>
    <row r="75" spans="1:17" s="17" customFormat="1" ht="15" customHeight="1" x14ac:dyDescent="0.25">
      <c r="A75" s="55" t="s">
        <v>400</v>
      </c>
      <c r="B75" s="56" t="s">
        <v>204</v>
      </c>
      <c r="C75" s="57">
        <v>601980</v>
      </c>
      <c r="D75" s="58" t="s">
        <v>240</v>
      </c>
      <c r="E75" s="46">
        <v>45897</v>
      </c>
      <c r="F75" s="46">
        <v>45898</v>
      </c>
      <c r="G75" s="59">
        <v>844.17600000000004</v>
      </c>
      <c r="H75" s="59">
        <v>844.54605206152996</v>
      </c>
      <c r="I75" s="57">
        <v>508177068.48000002</v>
      </c>
      <c r="J75" s="57">
        <v>508399832.42000002</v>
      </c>
      <c r="K75" s="60">
        <v>16.000099796553499</v>
      </c>
      <c r="L75" s="18">
        <f t="shared" si="17"/>
        <v>0</v>
      </c>
      <c r="M75" s="18">
        <f t="shared" si="18"/>
        <v>508177068.48000002</v>
      </c>
      <c r="N75" s="16"/>
    </row>
    <row r="76" spans="1:17" s="17" customFormat="1" ht="15" customHeight="1" x14ac:dyDescent="0.25">
      <c r="A76" s="55" t="s">
        <v>400</v>
      </c>
      <c r="B76" s="56" t="s">
        <v>204</v>
      </c>
      <c r="C76" s="57">
        <v>8295</v>
      </c>
      <c r="D76" s="58" t="s">
        <v>240</v>
      </c>
      <c r="E76" s="46">
        <v>45897</v>
      </c>
      <c r="F76" s="46">
        <v>45898</v>
      </c>
      <c r="G76" s="59">
        <v>844.17600000000004</v>
      </c>
      <c r="H76" s="59">
        <v>844.54605183845695</v>
      </c>
      <c r="I76" s="57">
        <v>7002439.9199999999</v>
      </c>
      <c r="J76" s="57">
        <v>7005509.5</v>
      </c>
      <c r="K76" s="60">
        <v>16.000090151434001</v>
      </c>
      <c r="L76" s="18">
        <f t="shared" si="17"/>
        <v>0</v>
      </c>
      <c r="M76" s="18">
        <f t="shared" si="18"/>
        <v>7002439.9199999999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1" t="s">
        <v>14</v>
      </c>
      <c r="B78" s="70"/>
      <c r="C78" s="69">
        <f>SUM(C69:C76)</f>
        <v>2592214</v>
      </c>
      <c r="D78" s="80"/>
      <c r="E78" s="79"/>
      <c r="F78" s="80"/>
      <c r="G78" s="78"/>
      <c r="H78" s="80"/>
      <c r="I78" s="69">
        <f>SUM(I69:I76)</f>
        <v>2313685973.0900002</v>
      </c>
      <c r="J78" s="69">
        <f>SUM(J69:J76)</f>
        <v>2314686688.02</v>
      </c>
      <c r="K78" s="77"/>
      <c r="L78" s="69">
        <f>SUM(L69:L76)</f>
        <v>493278.36999996565</v>
      </c>
      <c r="M78" s="69">
        <f>SUM(M69:M76)</f>
        <v>1157578397.9300001</v>
      </c>
      <c r="N78" s="127">
        <v>1157578397.9300001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381</v>
      </c>
      <c r="L81" s="10"/>
      <c r="M81" s="11"/>
    </row>
    <row r="82" spans="1:14" ht="22.5" x14ac:dyDescent="0.25">
      <c r="A82" s="103" t="s">
        <v>16</v>
      </c>
      <c r="B82" s="103" t="s">
        <v>251</v>
      </c>
      <c r="C82" s="103" t="s">
        <v>245</v>
      </c>
      <c r="D82" s="103" t="s">
        <v>252</v>
      </c>
      <c r="E82" s="103" t="s">
        <v>244</v>
      </c>
      <c r="F82" s="103" t="s">
        <v>253</v>
      </c>
      <c r="G82" s="103" t="s">
        <v>254</v>
      </c>
      <c r="L82" s="10"/>
      <c r="M82" s="11"/>
    </row>
    <row r="83" spans="1:14" x14ac:dyDescent="0.25">
      <c r="A83" s="28"/>
      <c r="B83" s="28"/>
      <c r="C83" s="102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104"/>
      <c r="C84" s="104"/>
      <c r="D84" s="104"/>
      <c r="E84" s="104"/>
      <c r="F84" s="104"/>
      <c r="G84" s="105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255</v>
      </c>
      <c r="B86" s="35">
        <f>L62+B65+M78+G84</f>
        <v>27483328638.593914</v>
      </c>
      <c r="C86" s="127">
        <v>27483328638.593914</v>
      </c>
      <c r="D86" s="3">
        <f>B86-C86</f>
        <v>0</v>
      </c>
      <c r="L86" s="10"/>
      <c r="M86" s="10"/>
    </row>
    <row r="87" spans="1:14" x14ac:dyDescent="0.25">
      <c r="L87" s="10"/>
    </row>
    <row r="88" spans="1:14" x14ac:dyDescent="0.25">
      <c r="B88" s="38"/>
      <c r="G88" s="8"/>
    </row>
    <row r="89" spans="1:14" ht="15.75" x14ac:dyDescent="0.25">
      <c r="A89" s="19"/>
      <c r="B89" s="95"/>
    </row>
    <row r="90" spans="1:14" x14ac:dyDescent="0.25">
      <c r="A90" s="6" t="s">
        <v>379</v>
      </c>
      <c r="L90" s="13"/>
      <c r="N90"/>
    </row>
    <row r="91" spans="1:14" ht="15.75" x14ac:dyDescent="0.25">
      <c r="A91" s="20" t="s">
        <v>256</v>
      </c>
      <c r="B91" s="21">
        <f>4020961.36-4020961.36</f>
        <v>0</v>
      </c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0" t="s">
        <v>258</v>
      </c>
      <c r="B93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+4000</f>
        <v>73999.999999999942</v>
      </c>
      <c r="C93" s="8"/>
      <c r="F93" s="8"/>
      <c r="K93" s="13"/>
      <c r="N93"/>
    </row>
    <row r="94" spans="1:14" ht="15.75" x14ac:dyDescent="0.25">
      <c r="A94" s="20" t="s">
        <v>259</v>
      </c>
      <c r="B94" s="22"/>
      <c r="K94" s="13"/>
      <c r="N94"/>
    </row>
    <row r="95" spans="1:14" ht="15.75" x14ac:dyDescent="0.25">
      <c r="A95" s="24" t="s">
        <v>382</v>
      </c>
      <c r="B95" s="21">
        <f>365447.82+31954.05</f>
        <v>397401.87</v>
      </c>
      <c r="C95" s="8"/>
      <c r="D95" s="8"/>
      <c r="K95" s="13"/>
      <c r="N95"/>
    </row>
    <row r="96" spans="1:14" ht="15.75" x14ac:dyDescent="0.25">
      <c r="A96" s="20" t="s">
        <v>260</v>
      </c>
      <c r="B96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</f>
        <v>167778.71</v>
      </c>
      <c r="K96" s="13"/>
      <c r="N96"/>
    </row>
    <row r="97" spans="1:14" ht="15.75" x14ac:dyDescent="0.25">
      <c r="A97" s="20" t="s">
        <v>261</v>
      </c>
      <c r="B97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+868.18</f>
        <v>107520.46</v>
      </c>
      <c r="K97" s="13"/>
      <c r="N97"/>
    </row>
    <row r="98" spans="1:14" ht="15.75" x14ac:dyDescent="0.25">
      <c r="A98" s="20" t="s">
        <v>262</v>
      </c>
      <c r="B98" s="22"/>
      <c r="K98" s="13"/>
      <c r="N98"/>
    </row>
    <row r="99" spans="1:14" ht="17.25" customHeight="1" x14ac:dyDescent="0.25">
      <c r="A99" s="24" t="s">
        <v>263</v>
      </c>
      <c r="B99" s="22"/>
      <c r="K99" s="13"/>
      <c r="N99"/>
    </row>
    <row r="100" spans="1:14" ht="15.75" x14ac:dyDescent="0.25">
      <c r="A100" s="24" t="s">
        <v>264</v>
      </c>
      <c r="B100" s="22"/>
      <c r="K100" s="13"/>
      <c r="N100"/>
    </row>
    <row r="101" spans="1:14" ht="15.75" x14ac:dyDescent="0.25">
      <c r="A101" s="26" t="s">
        <v>380</v>
      </c>
      <c r="B101" s="25">
        <f>SUM(B91:B100)</f>
        <v>746701.03999999992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344</v>
      </c>
      <c r="C3" s="125" t="s">
        <v>0</v>
      </c>
      <c r="D3" s="125" t="s">
        <v>17</v>
      </c>
      <c r="E3" s="125" t="s">
        <v>339</v>
      </c>
      <c r="F3" s="125" t="s">
        <v>340</v>
      </c>
      <c r="G3" s="125" t="s">
        <v>341</v>
      </c>
      <c r="H3" s="125" t="s">
        <v>2106</v>
      </c>
      <c r="I3" s="125" t="s">
        <v>342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747.12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101.64400000000001</v>
      </c>
      <c r="H8" s="62" t="s">
        <v>2500</v>
      </c>
      <c r="I8" s="62" t="s">
        <v>2501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1467.59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99.889799999999994</v>
      </c>
      <c r="G11" s="62">
        <v>104.7106</v>
      </c>
      <c r="H11" s="62" t="s">
        <v>2437</v>
      </c>
      <c r="I11" s="62" t="s">
        <v>2502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102.66759999999999</v>
      </c>
      <c r="G12" s="62">
        <v>104.8707</v>
      </c>
      <c r="H12" s="62" t="s">
        <v>2503</v>
      </c>
      <c r="I12" s="62" t="s">
        <v>2504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100.002</v>
      </c>
      <c r="G13" s="62">
        <v>102.5853</v>
      </c>
      <c r="H13" s="62" t="s">
        <v>2505</v>
      </c>
      <c r="I13" s="62" t="s">
        <v>2506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101.1528</v>
      </c>
      <c r="G14" s="62">
        <v>102.8181</v>
      </c>
      <c r="H14" s="62" t="s">
        <v>2348</v>
      </c>
      <c r="I14" s="62" t="s">
        <v>2507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4674.88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2508</v>
      </c>
      <c r="C16" s="62" t="s">
        <v>38</v>
      </c>
      <c r="D16" s="62" t="s">
        <v>2354</v>
      </c>
      <c r="E16" s="62" t="s">
        <v>237</v>
      </c>
      <c r="F16" s="63">
        <v>5879159.8399999999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2509</v>
      </c>
      <c r="C17" s="62" t="s">
        <v>41</v>
      </c>
      <c r="D17" s="62" t="s">
        <v>2354</v>
      </c>
      <c r="E17" s="62" t="s">
        <v>237</v>
      </c>
      <c r="F17" s="63">
        <v>1742312.87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2510</v>
      </c>
      <c r="C18" s="62" t="s">
        <v>44</v>
      </c>
      <c r="D18" s="62" t="s">
        <v>2359</v>
      </c>
      <c r="E18" s="62" t="s">
        <v>42</v>
      </c>
      <c r="F18" s="62">
        <v>99.894999999999996</v>
      </c>
      <c r="G18" s="62">
        <v>102.4054</v>
      </c>
      <c r="H18" s="62" t="s">
        <v>2511</v>
      </c>
      <c r="I18" s="62" t="s">
        <v>2512</v>
      </c>
      <c r="J18" s="62" t="s">
        <v>271</v>
      </c>
    </row>
    <row r="19" spans="1:10" ht="15" x14ac:dyDescent="0.25">
      <c r="A19" s="40">
        <v>15</v>
      </c>
      <c r="B19" s="62" t="s">
        <v>2513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100.1336</v>
      </c>
      <c r="H19" s="62" t="s">
        <v>2430</v>
      </c>
      <c r="I19" s="62" t="s">
        <v>2514</v>
      </c>
      <c r="J19" s="62" t="s">
        <v>271</v>
      </c>
    </row>
    <row r="20" spans="1:10" ht="15" x14ac:dyDescent="0.25">
      <c r="A20" s="40">
        <v>16</v>
      </c>
      <c r="B20" s="62" t="s">
        <v>2515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107.3836</v>
      </c>
      <c r="H20" s="62" t="s">
        <v>2423</v>
      </c>
      <c r="I20" s="62" t="s">
        <v>2516</v>
      </c>
      <c r="J20" s="62" t="s">
        <v>271</v>
      </c>
    </row>
    <row r="21" spans="1:10" ht="15" x14ac:dyDescent="0.25">
      <c r="A21" s="40">
        <v>17</v>
      </c>
      <c r="B21" s="62" t="s">
        <v>2517</v>
      </c>
      <c r="C21" s="62" t="s">
        <v>46</v>
      </c>
      <c r="D21" s="62" t="s">
        <v>2354</v>
      </c>
      <c r="E21" s="62" t="s">
        <v>2360</v>
      </c>
      <c r="F21" s="63">
        <v>5494.71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2518</v>
      </c>
      <c r="C22" s="62" t="s">
        <v>994</v>
      </c>
      <c r="D22" s="62" t="s">
        <v>2354</v>
      </c>
      <c r="E22" s="62" t="s">
        <v>2411</v>
      </c>
      <c r="F22" s="63">
        <v>1036.4000000000001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2519</v>
      </c>
      <c r="C23" s="62" t="s">
        <v>1000</v>
      </c>
      <c r="D23" s="62" t="s">
        <v>2354</v>
      </c>
      <c r="E23" s="62" t="s">
        <v>2411</v>
      </c>
      <c r="F23" s="63">
        <v>1163.07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2520</v>
      </c>
      <c r="C24" s="62" t="s">
        <v>2060</v>
      </c>
      <c r="D24" s="62" t="s">
        <v>2352</v>
      </c>
      <c r="E24" s="62" t="s">
        <v>2361</v>
      </c>
      <c r="F24" s="62">
        <v>99.805400000000006</v>
      </c>
      <c r="G24" s="62">
        <v>99.855800000000002</v>
      </c>
      <c r="H24" s="62" t="s">
        <v>2412</v>
      </c>
      <c r="I24" s="62" t="s">
        <v>2521</v>
      </c>
      <c r="J24" s="62" t="s">
        <v>271</v>
      </c>
    </row>
    <row r="25" spans="1:10" ht="15" x14ac:dyDescent="0.25">
      <c r="A25" s="40">
        <v>21</v>
      </c>
      <c r="B25" s="62" t="s">
        <v>2522</v>
      </c>
      <c r="C25" s="62" t="s">
        <v>2343</v>
      </c>
      <c r="D25" s="62" t="s">
        <v>2352</v>
      </c>
      <c r="E25" s="62" t="s">
        <v>2361</v>
      </c>
      <c r="F25" s="62">
        <v>101.0196</v>
      </c>
      <c r="G25" s="62">
        <v>103.354</v>
      </c>
      <c r="H25" s="62" t="s">
        <v>2455</v>
      </c>
      <c r="I25" s="62" t="s">
        <v>2523</v>
      </c>
      <c r="J25" s="62" t="s">
        <v>271</v>
      </c>
    </row>
    <row r="26" spans="1:10" ht="15" x14ac:dyDescent="0.25">
      <c r="A26" s="40">
        <v>22</v>
      </c>
      <c r="B26" s="62" t="s">
        <v>2524</v>
      </c>
      <c r="C26" s="62" t="s">
        <v>56</v>
      </c>
      <c r="D26" s="62" t="s">
        <v>2354</v>
      </c>
      <c r="E26" s="62" t="s">
        <v>2362</v>
      </c>
      <c r="F26" s="63">
        <v>53053.39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2525</v>
      </c>
      <c r="C27" s="62" t="s">
        <v>58</v>
      </c>
      <c r="D27" s="62" t="s">
        <v>2354</v>
      </c>
      <c r="E27" s="62" t="s">
        <v>2362</v>
      </c>
      <c r="F27" s="63">
        <v>73779.44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2526</v>
      </c>
      <c r="C28" s="62" t="s">
        <v>60</v>
      </c>
      <c r="D28" s="62" t="s">
        <v>2354</v>
      </c>
      <c r="E28" s="62" t="s">
        <v>2362</v>
      </c>
      <c r="F28" s="63">
        <v>72830.25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2527</v>
      </c>
      <c r="C29" s="62" t="s">
        <v>62</v>
      </c>
      <c r="D29" s="62" t="s">
        <v>2354</v>
      </c>
      <c r="E29" s="62" t="s">
        <v>2362</v>
      </c>
      <c r="F29" s="63">
        <v>579656.82999999996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2528</v>
      </c>
      <c r="C30" s="62" t="s">
        <v>64</v>
      </c>
      <c r="D30" s="62" t="s">
        <v>19</v>
      </c>
      <c r="E30" s="62" t="s">
        <v>2363</v>
      </c>
      <c r="F30" s="62">
        <v>365.22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2529</v>
      </c>
      <c r="C31" s="62" t="s">
        <v>370</v>
      </c>
      <c r="D31" s="62" t="s">
        <v>2350</v>
      </c>
      <c r="E31" s="62" t="s">
        <v>2363</v>
      </c>
      <c r="F31" s="62">
        <v>26.53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2530</v>
      </c>
      <c r="C32" s="62" t="s">
        <v>67</v>
      </c>
      <c r="D32" s="62" t="s">
        <v>19</v>
      </c>
      <c r="E32" s="62" t="s">
        <v>2364</v>
      </c>
      <c r="F32" s="63">
        <v>9397.67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2531</v>
      </c>
      <c r="C33" s="62" t="s">
        <v>80</v>
      </c>
      <c r="D33" s="62" t="s">
        <v>19</v>
      </c>
      <c r="E33" s="62" t="s">
        <v>2365</v>
      </c>
      <c r="F33" s="63">
        <v>3373.25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2532</v>
      </c>
      <c r="C34" s="62" t="s">
        <v>83</v>
      </c>
      <c r="D34" s="62" t="s">
        <v>19</v>
      </c>
      <c r="E34" s="62" t="s">
        <v>2366</v>
      </c>
      <c r="F34" s="63">
        <v>1440.58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2533</v>
      </c>
      <c r="C35" s="62" t="s">
        <v>275</v>
      </c>
      <c r="D35" s="62" t="s">
        <v>2352</v>
      </c>
      <c r="E35" s="62" t="s">
        <v>2438</v>
      </c>
      <c r="F35" s="62">
        <v>99.9572</v>
      </c>
      <c r="G35" s="62">
        <v>107.224</v>
      </c>
      <c r="H35" s="62" t="s">
        <v>2479</v>
      </c>
      <c r="I35" s="62" t="s">
        <v>2534</v>
      </c>
      <c r="J35" s="62" t="s">
        <v>271</v>
      </c>
    </row>
    <row r="36" spans="1:10" ht="15" x14ac:dyDescent="0.25">
      <c r="A36" s="40">
        <v>32</v>
      </c>
      <c r="B36" s="62" t="s">
        <v>2535</v>
      </c>
      <c r="C36" s="62" t="s">
        <v>86</v>
      </c>
      <c r="D36" s="62" t="s">
        <v>19</v>
      </c>
      <c r="E36" s="62" t="s">
        <v>2367</v>
      </c>
      <c r="F36" s="63">
        <v>19802.150000000001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2536</v>
      </c>
      <c r="C37" s="62" t="s">
        <v>89</v>
      </c>
      <c r="D37" s="62" t="s">
        <v>2352</v>
      </c>
      <c r="E37" s="62" t="s">
        <v>2367</v>
      </c>
      <c r="F37" s="62">
        <v>90.552199999999999</v>
      </c>
      <c r="G37" s="62">
        <v>92.6126</v>
      </c>
      <c r="H37" s="62" t="s">
        <v>2537</v>
      </c>
      <c r="I37" s="62" t="s">
        <v>2538</v>
      </c>
      <c r="J37" s="62" t="s">
        <v>271</v>
      </c>
    </row>
    <row r="38" spans="1:10" ht="15" x14ac:dyDescent="0.25">
      <c r="A38" s="40">
        <v>34</v>
      </c>
      <c r="B38" s="62" t="s">
        <v>2539</v>
      </c>
      <c r="C38" s="62" t="s">
        <v>91</v>
      </c>
      <c r="D38" s="62" t="s">
        <v>2352</v>
      </c>
      <c r="E38" s="62" t="s">
        <v>2367</v>
      </c>
      <c r="F38" s="62">
        <v>101.9581</v>
      </c>
      <c r="G38" s="62">
        <v>103.8095</v>
      </c>
      <c r="H38" s="62" t="s">
        <v>2496</v>
      </c>
      <c r="I38" s="62" t="s">
        <v>2540</v>
      </c>
      <c r="J38" s="62" t="s">
        <v>271</v>
      </c>
    </row>
    <row r="39" spans="1:10" ht="15" x14ac:dyDescent="0.25">
      <c r="A39" s="40">
        <v>35</v>
      </c>
      <c r="B39" s="62" t="s">
        <v>2541</v>
      </c>
      <c r="C39" s="62" t="s">
        <v>93</v>
      </c>
      <c r="D39" s="62" t="s">
        <v>2352</v>
      </c>
      <c r="E39" s="62" t="s">
        <v>2367</v>
      </c>
      <c r="F39" s="62">
        <v>96.389499999999998</v>
      </c>
      <c r="G39" s="62">
        <v>98.585300000000004</v>
      </c>
      <c r="H39" s="62" t="s">
        <v>2542</v>
      </c>
      <c r="I39" s="62" t="s">
        <v>2543</v>
      </c>
      <c r="J39" s="62" t="s">
        <v>271</v>
      </c>
    </row>
    <row r="40" spans="1:10" ht="15" x14ac:dyDescent="0.25">
      <c r="A40" s="40">
        <v>36</v>
      </c>
      <c r="B40" s="62" t="s">
        <v>2544</v>
      </c>
      <c r="C40" s="62" t="s">
        <v>95</v>
      </c>
      <c r="D40" s="62" t="s">
        <v>2352</v>
      </c>
      <c r="E40" s="62" t="s">
        <v>2367</v>
      </c>
      <c r="F40" s="62">
        <v>88.724699999999999</v>
      </c>
      <c r="G40" s="62">
        <v>90.027500000000003</v>
      </c>
      <c r="H40" s="62" t="s">
        <v>2545</v>
      </c>
      <c r="I40" s="62" t="s">
        <v>2546</v>
      </c>
      <c r="J40" s="62" t="s">
        <v>271</v>
      </c>
    </row>
    <row r="41" spans="1:10" ht="15" x14ac:dyDescent="0.25">
      <c r="A41" s="40">
        <v>37</v>
      </c>
      <c r="B41" s="62" t="s">
        <v>2547</v>
      </c>
      <c r="C41" s="62" t="s">
        <v>97</v>
      </c>
      <c r="D41" s="62" t="s">
        <v>19</v>
      </c>
      <c r="E41" s="62" t="s">
        <v>2368</v>
      </c>
      <c r="F41" s="63">
        <v>50083.72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2548</v>
      </c>
      <c r="C42" s="62" t="s">
        <v>100</v>
      </c>
      <c r="D42" s="62" t="s">
        <v>2350</v>
      </c>
      <c r="E42" s="62" t="s">
        <v>2368</v>
      </c>
      <c r="F42" s="62">
        <v>93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2549</v>
      </c>
      <c r="C43" s="62" t="s">
        <v>102</v>
      </c>
      <c r="D43" s="62" t="s">
        <v>19</v>
      </c>
      <c r="E43" s="62" t="s">
        <v>2369</v>
      </c>
      <c r="F43" s="63">
        <v>24121.01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2550</v>
      </c>
      <c r="C44" s="62" t="s">
        <v>2086</v>
      </c>
      <c r="D44" s="62" t="s">
        <v>2352</v>
      </c>
      <c r="E44" s="62" t="s">
        <v>2370</v>
      </c>
      <c r="F44" s="62">
        <v>102.8455</v>
      </c>
      <c r="G44" s="62">
        <v>112.6844</v>
      </c>
      <c r="H44" s="62" t="s">
        <v>2424</v>
      </c>
      <c r="I44" s="62" t="s">
        <v>2551</v>
      </c>
      <c r="J44" s="62" t="s">
        <v>271</v>
      </c>
    </row>
    <row r="45" spans="1:10" ht="15" x14ac:dyDescent="0.25">
      <c r="A45" s="40">
        <v>41</v>
      </c>
      <c r="B45" s="62" t="s">
        <v>2552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2553</v>
      </c>
      <c r="C46" s="62" t="s">
        <v>107</v>
      </c>
      <c r="D46" s="62" t="s">
        <v>19</v>
      </c>
      <c r="E46" s="62" t="s">
        <v>2371</v>
      </c>
      <c r="F46" s="63">
        <v>33417.620000000003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2554</v>
      </c>
      <c r="C47" s="62" t="s">
        <v>109</v>
      </c>
      <c r="D47" s="62" t="s">
        <v>19</v>
      </c>
      <c r="E47" s="62" t="s">
        <v>2372</v>
      </c>
      <c r="F47" s="62">
        <v>807.17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2555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99.320099999999996</v>
      </c>
      <c r="H48" s="62" t="s">
        <v>2474</v>
      </c>
      <c r="I48" s="62" t="s">
        <v>2556</v>
      </c>
      <c r="J48" s="62" t="s">
        <v>271</v>
      </c>
    </row>
    <row r="49" spans="1:10" ht="15" x14ac:dyDescent="0.25">
      <c r="A49" s="40">
        <v>45</v>
      </c>
      <c r="B49" s="62" t="s">
        <v>2557</v>
      </c>
      <c r="C49" s="62" t="s">
        <v>2471</v>
      </c>
      <c r="D49" s="62" t="s">
        <v>2352</v>
      </c>
      <c r="E49" s="62" t="s">
        <v>2456</v>
      </c>
      <c r="F49" s="63">
        <v>1000</v>
      </c>
      <c r="G49" s="63">
        <v>1000</v>
      </c>
      <c r="H49" s="62" t="s">
        <v>343</v>
      </c>
      <c r="I49" s="62" t="s">
        <v>343</v>
      </c>
      <c r="J49" s="62" t="s">
        <v>2392</v>
      </c>
    </row>
    <row r="50" spans="1:10" ht="15" x14ac:dyDescent="0.25">
      <c r="A50" s="40">
        <v>46</v>
      </c>
      <c r="B50" s="62" t="s">
        <v>2558</v>
      </c>
      <c r="C50" s="62" t="s">
        <v>2048</v>
      </c>
      <c r="D50" s="62" t="s">
        <v>2352</v>
      </c>
      <c r="E50" s="62" t="s">
        <v>2456</v>
      </c>
      <c r="F50" s="62">
        <v>98.72</v>
      </c>
      <c r="G50" s="62">
        <v>98.831100000000006</v>
      </c>
      <c r="H50" s="62" t="s">
        <v>2457</v>
      </c>
      <c r="I50" s="62" t="s">
        <v>2559</v>
      </c>
      <c r="J50" s="62" t="s">
        <v>271</v>
      </c>
    </row>
    <row r="51" spans="1:10" ht="15" x14ac:dyDescent="0.25">
      <c r="A51" s="40">
        <v>47</v>
      </c>
      <c r="B51" s="62" t="s">
        <v>2560</v>
      </c>
      <c r="C51" s="62" t="s">
        <v>1398</v>
      </c>
      <c r="D51" s="62" t="s">
        <v>2352</v>
      </c>
      <c r="E51" s="62" t="s">
        <v>2383</v>
      </c>
      <c r="F51" s="62">
        <v>98.861699999999999</v>
      </c>
      <c r="G51" s="62">
        <v>103.9173</v>
      </c>
      <c r="H51" s="62" t="s">
        <v>2384</v>
      </c>
      <c r="I51" s="62" t="s">
        <v>2561</v>
      </c>
      <c r="J51" s="62" t="s">
        <v>271</v>
      </c>
    </row>
    <row r="52" spans="1:10" ht="15" x14ac:dyDescent="0.25">
      <c r="A52" s="40">
        <v>48</v>
      </c>
      <c r="B52" s="62" t="s">
        <v>2562</v>
      </c>
      <c r="C52" s="62" t="s">
        <v>427</v>
      </c>
      <c r="D52" s="62" t="s">
        <v>2352</v>
      </c>
      <c r="E52" s="62" t="s">
        <v>2375</v>
      </c>
      <c r="F52" s="62">
        <v>87.475700000000003</v>
      </c>
      <c r="G52" s="62">
        <v>88.009</v>
      </c>
      <c r="H52" s="62" t="s">
        <v>2563</v>
      </c>
      <c r="I52" s="62" t="s">
        <v>2564</v>
      </c>
      <c r="J52" s="62" t="s">
        <v>271</v>
      </c>
    </row>
    <row r="53" spans="1:10" ht="15" x14ac:dyDescent="0.25">
      <c r="A53" s="40">
        <v>49</v>
      </c>
      <c r="B53" s="62" t="s">
        <v>2565</v>
      </c>
      <c r="C53" s="62" t="s">
        <v>2044</v>
      </c>
      <c r="D53" s="62" t="s">
        <v>2352</v>
      </c>
      <c r="E53" s="62" t="s">
        <v>2375</v>
      </c>
      <c r="F53" s="62">
        <v>82.3125</v>
      </c>
      <c r="G53" s="62">
        <v>82.5458</v>
      </c>
      <c r="H53" s="62" t="s">
        <v>2566</v>
      </c>
      <c r="I53" s="62" t="s">
        <v>2567</v>
      </c>
      <c r="J53" s="62" t="s">
        <v>271</v>
      </c>
    </row>
    <row r="54" spans="1:10" ht="15" x14ac:dyDescent="0.25">
      <c r="A54" s="40">
        <v>50</v>
      </c>
      <c r="B54" s="62" t="s">
        <v>2568</v>
      </c>
      <c r="C54" s="62" t="s">
        <v>2250</v>
      </c>
      <c r="D54" s="62" t="s">
        <v>2352</v>
      </c>
      <c r="E54" s="62" t="s">
        <v>2375</v>
      </c>
      <c r="F54" s="62">
        <v>99.998999999999995</v>
      </c>
      <c r="G54" s="62">
        <v>101.03789999999999</v>
      </c>
      <c r="H54" s="62" t="s">
        <v>2425</v>
      </c>
      <c r="I54" s="62" t="s">
        <v>2569</v>
      </c>
      <c r="J54" s="62" t="s">
        <v>271</v>
      </c>
    </row>
    <row r="55" spans="1:10" ht="15" x14ac:dyDescent="0.25">
      <c r="A55" s="40">
        <v>51</v>
      </c>
      <c r="B55" s="62" t="s">
        <v>2570</v>
      </c>
      <c r="C55" s="62" t="s">
        <v>2189</v>
      </c>
      <c r="D55" s="62" t="s">
        <v>2352</v>
      </c>
      <c r="E55" s="62" t="s">
        <v>2375</v>
      </c>
      <c r="F55" s="62">
        <v>96.576700000000002</v>
      </c>
      <c r="G55" s="62">
        <v>96.976699999999994</v>
      </c>
      <c r="H55" s="62" t="s">
        <v>2571</v>
      </c>
      <c r="I55" s="62" t="s">
        <v>2572</v>
      </c>
      <c r="J55" s="62" t="s">
        <v>271</v>
      </c>
    </row>
    <row r="56" spans="1:10" ht="15" x14ac:dyDescent="0.25">
      <c r="A56" s="40">
        <v>52</v>
      </c>
      <c r="B56" s="62" t="s">
        <v>2573</v>
      </c>
      <c r="C56" s="62" t="s">
        <v>2254</v>
      </c>
      <c r="D56" s="62" t="s">
        <v>2352</v>
      </c>
      <c r="E56" s="62" t="s">
        <v>2375</v>
      </c>
      <c r="F56" s="62">
        <v>94.368799999999993</v>
      </c>
      <c r="G56" s="62">
        <v>94.635499999999993</v>
      </c>
      <c r="H56" s="62" t="s">
        <v>2574</v>
      </c>
      <c r="I56" s="62" t="s">
        <v>2575</v>
      </c>
      <c r="J56" s="62" t="s">
        <v>271</v>
      </c>
    </row>
    <row r="57" spans="1:10" ht="15" x14ac:dyDescent="0.25">
      <c r="A57" s="40">
        <v>53</v>
      </c>
      <c r="B57" s="62" t="s">
        <v>2576</v>
      </c>
      <c r="C57" s="62" t="s">
        <v>114</v>
      </c>
      <c r="D57" s="62" t="s">
        <v>2352</v>
      </c>
      <c r="E57" s="62" t="s">
        <v>2376</v>
      </c>
      <c r="F57" s="62">
        <v>100.1696</v>
      </c>
      <c r="G57" s="62">
        <v>101.0753</v>
      </c>
      <c r="H57" s="62" t="s">
        <v>2577</v>
      </c>
      <c r="I57" s="62" t="s">
        <v>2578</v>
      </c>
      <c r="J57" s="62" t="s">
        <v>271</v>
      </c>
    </row>
    <row r="58" spans="1:10" ht="15" x14ac:dyDescent="0.25">
      <c r="A58" s="40">
        <v>54</v>
      </c>
      <c r="B58" s="62" t="s">
        <v>2579</v>
      </c>
      <c r="C58" s="62" t="s">
        <v>116</v>
      </c>
      <c r="D58" s="62" t="s">
        <v>2352</v>
      </c>
      <c r="E58" s="62" t="s">
        <v>2376</v>
      </c>
      <c r="F58" s="62">
        <v>99.022900000000007</v>
      </c>
      <c r="G58" s="62">
        <v>99.134</v>
      </c>
      <c r="H58" s="62" t="s">
        <v>2580</v>
      </c>
      <c r="I58" s="62" t="s">
        <v>2581</v>
      </c>
      <c r="J58" s="62" t="s">
        <v>271</v>
      </c>
    </row>
    <row r="59" spans="1:10" ht="15" x14ac:dyDescent="0.25">
      <c r="A59" s="40">
        <v>55</v>
      </c>
      <c r="B59" s="62" t="s">
        <v>2582</v>
      </c>
      <c r="C59" s="62" t="s">
        <v>1411</v>
      </c>
      <c r="D59" s="62" t="s">
        <v>2352</v>
      </c>
      <c r="E59" s="62" t="s">
        <v>2376</v>
      </c>
      <c r="F59" s="62">
        <v>99.966499999999996</v>
      </c>
      <c r="G59" s="62">
        <v>100.2443</v>
      </c>
      <c r="H59" s="62" t="s">
        <v>2583</v>
      </c>
      <c r="I59" s="62" t="s">
        <v>2584</v>
      </c>
      <c r="J59" s="62" t="s">
        <v>271</v>
      </c>
    </row>
    <row r="60" spans="1:10" ht="15" x14ac:dyDescent="0.25">
      <c r="A60" s="40">
        <v>56</v>
      </c>
      <c r="B60" s="62" t="s">
        <v>2585</v>
      </c>
      <c r="C60" s="62" t="s">
        <v>357</v>
      </c>
      <c r="D60" s="62" t="s">
        <v>2352</v>
      </c>
      <c r="E60" s="62" t="s">
        <v>2376</v>
      </c>
      <c r="F60" s="62">
        <v>99.933000000000007</v>
      </c>
      <c r="G60" s="62">
        <v>100.752</v>
      </c>
      <c r="H60" s="62" t="s">
        <v>2586</v>
      </c>
      <c r="I60" s="62" t="s">
        <v>2587</v>
      </c>
      <c r="J60" s="62" t="s">
        <v>271</v>
      </c>
    </row>
    <row r="61" spans="1:10" ht="15" x14ac:dyDescent="0.25">
      <c r="A61" s="40">
        <v>57</v>
      </c>
      <c r="B61" s="62" t="s">
        <v>2588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97.843699999999998</v>
      </c>
      <c r="H61" s="62" t="s">
        <v>2589</v>
      </c>
      <c r="I61" s="62" t="s">
        <v>2590</v>
      </c>
      <c r="J61" s="62" t="s">
        <v>271</v>
      </c>
    </row>
    <row r="62" spans="1:10" ht="15" x14ac:dyDescent="0.25">
      <c r="A62" s="40">
        <v>58</v>
      </c>
      <c r="B62" s="62" t="s">
        <v>2591</v>
      </c>
      <c r="C62" s="62" t="s">
        <v>390</v>
      </c>
      <c r="D62" s="62" t="s">
        <v>2352</v>
      </c>
      <c r="E62" s="62" t="s">
        <v>2376</v>
      </c>
      <c r="F62" s="62">
        <v>96.559799999999996</v>
      </c>
      <c r="G62" s="62">
        <v>96.929199999999994</v>
      </c>
      <c r="H62" s="62" t="s">
        <v>2592</v>
      </c>
      <c r="I62" s="62" t="s">
        <v>2593</v>
      </c>
      <c r="J62" s="62" t="s">
        <v>271</v>
      </c>
    </row>
    <row r="63" spans="1:10" ht="15" x14ac:dyDescent="0.25">
      <c r="A63" s="40">
        <v>59</v>
      </c>
      <c r="B63" s="62" t="s">
        <v>2594</v>
      </c>
      <c r="C63" s="62" t="s">
        <v>2074</v>
      </c>
      <c r="D63" s="62" t="s">
        <v>2352</v>
      </c>
      <c r="E63" s="62" t="s">
        <v>2376</v>
      </c>
      <c r="F63" s="62">
        <v>99.859899999999996</v>
      </c>
      <c r="G63" s="62">
        <v>100.7932</v>
      </c>
      <c r="H63" s="62" t="s">
        <v>2595</v>
      </c>
      <c r="I63" s="62" t="s">
        <v>2596</v>
      </c>
      <c r="J63" s="62" t="s">
        <v>271</v>
      </c>
    </row>
    <row r="64" spans="1:10" ht="15" x14ac:dyDescent="0.25">
      <c r="A64" s="40">
        <v>60</v>
      </c>
      <c r="B64" s="62" t="s">
        <v>2597</v>
      </c>
      <c r="C64" s="62" t="s">
        <v>2119</v>
      </c>
      <c r="D64" s="62" t="s">
        <v>2352</v>
      </c>
      <c r="E64" s="62" t="s">
        <v>2376</v>
      </c>
      <c r="F64" s="62">
        <v>100.6739</v>
      </c>
      <c r="G64" s="62">
        <v>102.4239</v>
      </c>
      <c r="H64" s="62" t="s">
        <v>2598</v>
      </c>
      <c r="I64" s="62" t="s">
        <v>2599</v>
      </c>
      <c r="J64" s="62" t="s">
        <v>271</v>
      </c>
    </row>
    <row r="65" spans="1:10" ht="15" x14ac:dyDescent="0.25">
      <c r="A65" s="40">
        <v>61</v>
      </c>
      <c r="B65" s="62" t="s">
        <v>2600</v>
      </c>
      <c r="C65" s="62" t="s">
        <v>2121</v>
      </c>
      <c r="D65" s="62" t="s">
        <v>2352</v>
      </c>
      <c r="E65" s="62" t="s">
        <v>2376</v>
      </c>
      <c r="F65" s="62">
        <v>102.3279</v>
      </c>
      <c r="G65" s="62">
        <v>102.809</v>
      </c>
      <c r="H65" s="62" t="s">
        <v>2601</v>
      </c>
      <c r="I65" s="62" t="s">
        <v>2602</v>
      </c>
      <c r="J65" s="62" t="s">
        <v>271</v>
      </c>
    </row>
    <row r="66" spans="1:10" ht="15" x14ac:dyDescent="0.25">
      <c r="A66" s="40">
        <v>62</v>
      </c>
      <c r="B66" s="62" t="s">
        <v>2603</v>
      </c>
      <c r="C66" s="62" t="s">
        <v>385</v>
      </c>
      <c r="D66" s="62" t="s">
        <v>2352</v>
      </c>
      <c r="E66" s="62" t="s">
        <v>2377</v>
      </c>
      <c r="F66" s="62">
        <v>83.004099999999994</v>
      </c>
      <c r="G66" s="62">
        <v>83.5291</v>
      </c>
      <c r="H66" s="62" t="s">
        <v>2604</v>
      </c>
      <c r="I66" s="62" t="s">
        <v>2605</v>
      </c>
      <c r="J66" s="62" t="s">
        <v>271</v>
      </c>
    </row>
    <row r="67" spans="1:10" ht="15" x14ac:dyDescent="0.25">
      <c r="A67" s="40">
        <v>63</v>
      </c>
      <c r="B67" s="62" t="s">
        <v>2606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77.797600000000003</v>
      </c>
      <c r="H67" s="62" t="s">
        <v>2607</v>
      </c>
      <c r="I67" s="62" t="s">
        <v>2608</v>
      </c>
      <c r="J67" s="62" t="s">
        <v>271</v>
      </c>
    </row>
    <row r="68" spans="1:10" ht="15" x14ac:dyDescent="0.25">
      <c r="A68" s="40">
        <v>64</v>
      </c>
      <c r="B68" s="62" t="s">
        <v>2609</v>
      </c>
      <c r="C68" s="62" t="s">
        <v>2347</v>
      </c>
      <c r="D68" s="62" t="s">
        <v>2352</v>
      </c>
      <c r="E68" s="62" t="s">
        <v>2377</v>
      </c>
      <c r="F68" s="62">
        <v>96.747</v>
      </c>
      <c r="G68" s="62">
        <v>97.113699999999994</v>
      </c>
      <c r="H68" s="62" t="s">
        <v>2610</v>
      </c>
      <c r="I68" s="62" t="s">
        <v>2611</v>
      </c>
      <c r="J68" s="62" t="s">
        <v>271</v>
      </c>
    </row>
    <row r="69" spans="1:10" ht="15" x14ac:dyDescent="0.25">
      <c r="A69" s="40">
        <v>65</v>
      </c>
      <c r="B69" s="62" t="s">
        <v>2612</v>
      </c>
      <c r="C69" s="62" t="s">
        <v>2277</v>
      </c>
      <c r="D69" s="62" t="s">
        <v>2352</v>
      </c>
      <c r="E69" s="62" t="s">
        <v>2377</v>
      </c>
      <c r="F69" s="62">
        <v>97.8232</v>
      </c>
      <c r="G69" s="62">
        <v>97.939899999999994</v>
      </c>
      <c r="H69" s="62" t="s">
        <v>2454</v>
      </c>
      <c r="I69" s="62" t="s">
        <v>2613</v>
      </c>
      <c r="J69" s="62" t="s">
        <v>271</v>
      </c>
    </row>
    <row r="70" spans="1:10" ht="15" x14ac:dyDescent="0.25">
      <c r="A70" s="40">
        <v>66</v>
      </c>
      <c r="B70" s="62" t="s">
        <v>2614</v>
      </c>
      <c r="C70" s="62" t="s">
        <v>2429</v>
      </c>
      <c r="D70" s="62" t="s">
        <v>2352</v>
      </c>
      <c r="E70" s="62" t="s">
        <v>2377</v>
      </c>
      <c r="F70" s="62">
        <v>99.996099999999998</v>
      </c>
      <c r="G70" s="62">
        <v>101.2183</v>
      </c>
      <c r="H70" s="62" t="s">
        <v>2425</v>
      </c>
      <c r="I70" s="62" t="s">
        <v>2615</v>
      </c>
      <c r="J70" s="62" t="s">
        <v>271</v>
      </c>
    </row>
    <row r="71" spans="1:10" ht="15" x14ac:dyDescent="0.25">
      <c r="A71" s="40">
        <v>67</v>
      </c>
      <c r="B71" s="62" t="s">
        <v>2616</v>
      </c>
      <c r="C71" s="62" t="s">
        <v>1425</v>
      </c>
      <c r="D71" s="62" t="s">
        <v>2352</v>
      </c>
      <c r="E71" s="62" t="s">
        <v>2475</v>
      </c>
      <c r="F71" s="62">
        <v>100.16679999999999</v>
      </c>
      <c r="G71" s="62">
        <v>100.34180000000001</v>
      </c>
      <c r="H71" s="62" t="s">
        <v>2617</v>
      </c>
      <c r="I71" s="62" t="s">
        <v>2480</v>
      </c>
      <c r="J71" s="62" t="s">
        <v>271</v>
      </c>
    </row>
    <row r="72" spans="1:10" ht="15" x14ac:dyDescent="0.25">
      <c r="A72" s="40">
        <v>68</v>
      </c>
      <c r="B72" s="62" t="s">
        <v>2618</v>
      </c>
      <c r="C72" s="62" t="s">
        <v>2154</v>
      </c>
      <c r="D72" s="62" t="s">
        <v>2352</v>
      </c>
      <c r="E72" s="62" t="s">
        <v>2475</v>
      </c>
      <c r="F72" s="62">
        <v>99.727900000000005</v>
      </c>
      <c r="G72" s="62">
        <v>99.815399999999997</v>
      </c>
      <c r="H72" s="62" t="s">
        <v>2619</v>
      </c>
      <c r="I72" s="62" t="s">
        <v>2620</v>
      </c>
      <c r="J72" s="62" t="s">
        <v>271</v>
      </c>
    </row>
    <row r="73" spans="1:10" ht="15" x14ac:dyDescent="0.25">
      <c r="A73" s="40">
        <v>69</v>
      </c>
      <c r="B73" s="62" t="s">
        <v>2621</v>
      </c>
      <c r="C73" s="62" t="s">
        <v>1445</v>
      </c>
      <c r="D73" s="62" t="s">
        <v>2352</v>
      </c>
      <c r="E73" s="62" t="s">
        <v>2458</v>
      </c>
      <c r="F73" s="62">
        <v>100.1199</v>
      </c>
      <c r="G73" s="62">
        <v>104.6421</v>
      </c>
      <c r="H73" s="62" t="s">
        <v>2459</v>
      </c>
      <c r="I73" s="62" t="s">
        <v>2622</v>
      </c>
      <c r="J73" s="62" t="s">
        <v>271</v>
      </c>
    </row>
    <row r="74" spans="1:10" ht="15" x14ac:dyDescent="0.25">
      <c r="A74" s="40">
        <v>70</v>
      </c>
      <c r="B74" s="62" t="s">
        <v>2623</v>
      </c>
      <c r="C74" s="62" t="s">
        <v>1448</v>
      </c>
      <c r="D74" s="62" t="s">
        <v>2352</v>
      </c>
      <c r="E74" s="62" t="s">
        <v>2458</v>
      </c>
      <c r="F74" s="62">
        <v>99.033799999999999</v>
      </c>
      <c r="G74" s="62">
        <v>101.2546</v>
      </c>
      <c r="H74" s="62" t="s">
        <v>2624</v>
      </c>
      <c r="I74" s="62" t="s">
        <v>2625</v>
      </c>
      <c r="J74" s="62" t="s">
        <v>271</v>
      </c>
    </row>
    <row r="75" spans="1:10" ht="15" x14ac:dyDescent="0.25">
      <c r="A75" s="40">
        <v>71</v>
      </c>
      <c r="B75" s="62" t="s">
        <v>2626</v>
      </c>
      <c r="C75" s="62" t="s">
        <v>2322</v>
      </c>
      <c r="D75" s="62" t="s">
        <v>2352</v>
      </c>
      <c r="E75" s="62" t="s">
        <v>2458</v>
      </c>
      <c r="F75" s="62">
        <v>99.220399999999998</v>
      </c>
      <c r="G75" s="62">
        <v>101.7287</v>
      </c>
      <c r="H75" s="62" t="s">
        <v>2459</v>
      </c>
      <c r="I75" s="62" t="s">
        <v>2627</v>
      </c>
      <c r="J75" s="62" t="s">
        <v>271</v>
      </c>
    </row>
    <row r="76" spans="1:10" ht="15" x14ac:dyDescent="0.25">
      <c r="A76" s="40">
        <v>72</v>
      </c>
      <c r="B76" s="62" t="s">
        <v>2628</v>
      </c>
      <c r="C76" s="62" t="s">
        <v>388</v>
      </c>
      <c r="D76" s="62" t="s">
        <v>2373</v>
      </c>
      <c r="E76" s="62" t="s">
        <v>2374</v>
      </c>
      <c r="F76" s="62">
        <v>97.688199999999995</v>
      </c>
      <c r="G76" s="62">
        <v>97.688199999999995</v>
      </c>
      <c r="H76" s="62" t="s">
        <v>2629</v>
      </c>
      <c r="I76" s="62" t="s">
        <v>2630</v>
      </c>
      <c r="J76" s="62" t="s">
        <v>271</v>
      </c>
    </row>
    <row r="77" spans="1:10" ht="15" x14ac:dyDescent="0.25">
      <c r="A77" s="40">
        <v>73</v>
      </c>
      <c r="B77" s="62" t="s">
        <v>2631</v>
      </c>
      <c r="C77" s="62" t="s">
        <v>2032</v>
      </c>
      <c r="D77" s="62" t="s">
        <v>2373</v>
      </c>
      <c r="E77" s="62" t="s">
        <v>2374</v>
      </c>
      <c r="F77" s="62">
        <v>93.363299999999995</v>
      </c>
      <c r="G77" s="62">
        <v>93.363299999999995</v>
      </c>
      <c r="H77" s="62" t="s">
        <v>2632</v>
      </c>
      <c r="I77" s="62" t="s">
        <v>2633</v>
      </c>
      <c r="J77" s="62" t="s">
        <v>271</v>
      </c>
    </row>
    <row r="78" spans="1:10" ht="15" x14ac:dyDescent="0.25">
      <c r="A78" s="40">
        <v>74</v>
      </c>
      <c r="B78" s="62" t="s">
        <v>2634</v>
      </c>
      <c r="C78" s="62" t="s">
        <v>2185</v>
      </c>
      <c r="D78" s="62" t="s">
        <v>2373</v>
      </c>
      <c r="E78" s="62" t="s">
        <v>2374</v>
      </c>
      <c r="F78" s="62">
        <v>89.391000000000005</v>
      </c>
      <c r="G78" s="62">
        <v>89.391000000000005</v>
      </c>
      <c r="H78" s="62" t="s">
        <v>2635</v>
      </c>
      <c r="I78" s="62" t="s">
        <v>2636</v>
      </c>
      <c r="J78" s="62" t="s">
        <v>271</v>
      </c>
    </row>
    <row r="79" spans="1:10" ht="15" x14ac:dyDescent="0.25">
      <c r="A79" s="40">
        <v>75</v>
      </c>
      <c r="B79" s="62" t="s">
        <v>2637</v>
      </c>
      <c r="C79" s="62" t="s">
        <v>4</v>
      </c>
      <c r="D79" s="62" t="s">
        <v>2373</v>
      </c>
      <c r="E79" s="62" t="s">
        <v>2374</v>
      </c>
      <c r="F79" s="62">
        <v>97.9405</v>
      </c>
      <c r="G79" s="62">
        <v>99.037099999999995</v>
      </c>
      <c r="H79" s="62" t="s">
        <v>2460</v>
      </c>
      <c r="I79" s="62" t="s">
        <v>2638</v>
      </c>
      <c r="J79" s="62" t="s">
        <v>271</v>
      </c>
    </row>
    <row r="80" spans="1:10" ht="15" x14ac:dyDescent="0.25">
      <c r="A80" s="40">
        <v>76</v>
      </c>
      <c r="B80" s="62" t="s">
        <v>2639</v>
      </c>
      <c r="C80" s="62" t="s">
        <v>119</v>
      </c>
      <c r="D80" s="62" t="s">
        <v>2373</v>
      </c>
      <c r="E80" s="62" t="s">
        <v>2374</v>
      </c>
      <c r="F80" s="62">
        <v>97.944299999999998</v>
      </c>
      <c r="G80" s="62">
        <v>100.3887</v>
      </c>
      <c r="H80" s="62" t="s">
        <v>2640</v>
      </c>
      <c r="I80" s="62" t="s">
        <v>2641</v>
      </c>
      <c r="J80" s="62" t="s">
        <v>271</v>
      </c>
    </row>
    <row r="81" spans="1:10" ht="15" x14ac:dyDescent="0.25">
      <c r="A81" s="40">
        <v>77</v>
      </c>
      <c r="B81" s="62" t="s">
        <v>2642</v>
      </c>
      <c r="C81" s="62" t="s">
        <v>121</v>
      </c>
      <c r="D81" s="62" t="s">
        <v>2373</v>
      </c>
      <c r="E81" s="62" t="s">
        <v>2374</v>
      </c>
      <c r="F81" s="62">
        <v>97.477400000000003</v>
      </c>
      <c r="G81" s="62">
        <v>103.7324</v>
      </c>
      <c r="H81" s="62" t="s">
        <v>2643</v>
      </c>
      <c r="I81" s="62" t="s">
        <v>2644</v>
      </c>
      <c r="J81" s="62" t="s">
        <v>271</v>
      </c>
    </row>
    <row r="82" spans="1:10" ht="15" x14ac:dyDescent="0.25">
      <c r="A82" s="40">
        <v>78</v>
      </c>
      <c r="B82" s="62" t="s">
        <v>2645</v>
      </c>
      <c r="C82" s="62" t="s">
        <v>2418</v>
      </c>
      <c r="D82" s="62" t="s">
        <v>2373</v>
      </c>
      <c r="E82" s="62" t="s">
        <v>2374</v>
      </c>
      <c r="F82" s="62">
        <v>101.6932</v>
      </c>
      <c r="G82" s="62">
        <v>102.6855</v>
      </c>
      <c r="H82" s="62" t="s">
        <v>2646</v>
      </c>
      <c r="I82" s="62" t="s">
        <v>2647</v>
      </c>
      <c r="J82" s="62" t="s">
        <v>271</v>
      </c>
    </row>
    <row r="83" spans="1:10" ht="15" x14ac:dyDescent="0.25">
      <c r="A83" s="40">
        <v>79</v>
      </c>
      <c r="B83" s="62" t="s">
        <v>2648</v>
      </c>
      <c r="C83" s="62" t="s">
        <v>123</v>
      </c>
      <c r="D83" s="62" t="s">
        <v>2373</v>
      </c>
      <c r="E83" s="62" t="s">
        <v>2374</v>
      </c>
      <c r="F83" s="62">
        <v>94.947199999999995</v>
      </c>
      <c r="G83" s="62">
        <v>95.647199999999998</v>
      </c>
      <c r="H83" s="62" t="s">
        <v>2649</v>
      </c>
      <c r="I83" s="62" t="s">
        <v>2650</v>
      </c>
      <c r="J83" s="62" t="s">
        <v>271</v>
      </c>
    </row>
    <row r="84" spans="1:10" ht="15" x14ac:dyDescent="0.25">
      <c r="A84" s="40">
        <v>80</v>
      </c>
      <c r="B84" s="62" t="s">
        <v>2651</v>
      </c>
      <c r="C84" s="62" t="s">
        <v>125</v>
      </c>
      <c r="D84" s="62" t="s">
        <v>2373</v>
      </c>
      <c r="E84" s="62" t="s">
        <v>2374</v>
      </c>
      <c r="F84" s="62">
        <v>97.667500000000004</v>
      </c>
      <c r="G84" s="62">
        <v>101.9314</v>
      </c>
      <c r="H84" s="62" t="s">
        <v>2652</v>
      </c>
      <c r="I84" s="62" t="s">
        <v>2653</v>
      </c>
      <c r="J84" s="62" t="s">
        <v>271</v>
      </c>
    </row>
    <row r="85" spans="1:10" ht="15" x14ac:dyDescent="0.25">
      <c r="A85" s="40">
        <v>81</v>
      </c>
      <c r="B85" s="62" t="s">
        <v>2654</v>
      </c>
      <c r="C85" s="62" t="s">
        <v>2385</v>
      </c>
      <c r="D85" s="62" t="s">
        <v>2373</v>
      </c>
      <c r="E85" s="62" t="s">
        <v>2374</v>
      </c>
      <c r="F85" s="62">
        <v>100</v>
      </c>
      <c r="G85" s="62">
        <v>101.3235</v>
      </c>
      <c r="H85" s="62" t="s">
        <v>2655</v>
      </c>
      <c r="I85" s="62" t="s">
        <v>2656</v>
      </c>
      <c r="J85" s="62" t="s">
        <v>271</v>
      </c>
    </row>
    <row r="86" spans="1:10" ht="15" x14ac:dyDescent="0.25">
      <c r="A86" s="40">
        <v>82</v>
      </c>
      <c r="B86" s="62" t="s">
        <v>2657</v>
      </c>
      <c r="C86" s="62" t="s">
        <v>127</v>
      </c>
      <c r="D86" s="62" t="s">
        <v>2373</v>
      </c>
      <c r="E86" s="62" t="s">
        <v>2374</v>
      </c>
      <c r="F86" s="62">
        <v>100</v>
      </c>
      <c r="G86" s="62">
        <v>108.0059</v>
      </c>
      <c r="H86" s="62" t="s">
        <v>2461</v>
      </c>
      <c r="I86" s="62" t="s">
        <v>2658</v>
      </c>
      <c r="J86" s="62" t="s">
        <v>271</v>
      </c>
    </row>
    <row r="87" spans="1:10" ht="15" x14ac:dyDescent="0.25">
      <c r="A87" s="40">
        <v>83</v>
      </c>
      <c r="B87" s="62" t="s">
        <v>2659</v>
      </c>
      <c r="C87" s="62" t="s">
        <v>129</v>
      </c>
      <c r="D87" s="62" t="s">
        <v>2373</v>
      </c>
      <c r="E87" s="62" t="s">
        <v>2374</v>
      </c>
      <c r="F87" s="62">
        <v>100</v>
      </c>
      <c r="G87" s="62">
        <v>106.41</v>
      </c>
      <c r="H87" s="62" t="s">
        <v>2462</v>
      </c>
      <c r="I87" s="62" t="s">
        <v>2660</v>
      </c>
      <c r="J87" s="62" t="s">
        <v>271</v>
      </c>
    </row>
    <row r="88" spans="1:10" ht="15" x14ac:dyDescent="0.25">
      <c r="A88" s="40">
        <v>84</v>
      </c>
      <c r="B88" s="62" t="s">
        <v>2661</v>
      </c>
      <c r="C88" s="62" t="s">
        <v>131</v>
      </c>
      <c r="D88" s="62" t="s">
        <v>2373</v>
      </c>
      <c r="E88" s="62" t="s">
        <v>2374</v>
      </c>
      <c r="F88" s="62">
        <v>100</v>
      </c>
      <c r="G88" s="62">
        <v>104.83920000000001</v>
      </c>
      <c r="H88" s="62" t="s">
        <v>2463</v>
      </c>
      <c r="I88" s="62" t="s">
        <v>2662</v>
      </c>
      <c r="J88" s="62" t="s">
        <v>271</v>
      </c>
    </row>
    <row r="89" spans="1:10" ht="15" x14ac:dyDescent="0.25">
      <c r="A89" s="40">
        <v>85</v>
      </c>
      <c r="B89" s="62" t="s">
        <v>2663</v>
      </c>
      <c r="C89" s="62" t="s">
        <v>133</v>
      </c>
      <c r="D89" s="62" t="s">
        <v>2373</v>
      </c>
      <c r="E89" s="62" t="s">
        <v>2374</v>
      </c>
      <c r="F89" s="62">
        <v>100</v>
      </c>
      <c r="G89" s="62">
        <v>108.49720000000001</v>
      </c>
      <c r="H89" s="62" t="s">
        <v>2464</v>
      </c>
      <c r="I89" s="62" t="s">
        <v>2664</v>
      </c>
      <c r="J89" s="62" t="s">
        <v>271</v>
      </c>
    </row>
    <row r="90" spans="1:10" ht="15" x14ac:dyDescent="0.25">
      <c r="A90" s="40">
        <v>86</v>
      </c>
      <c r="B90" s="62" t="s">
        <v>2665</v>
      </c>
      <c r="C90" s="62" t="s">
        <v>135</v>
      </c>
      <c r="D90" s="62" t="s">
        <v>2373</v>
      </c>
      <c r="E90" s="62" t="s">
        <v>2374</v>
      </c>
      <c r="F90" s="62">
        <v>100</v>
      </c>
      <c r="G90" s="62">
        <v>102.2026</v>
      </c>
      <c r="H90" s="62" t="s">
        <v>2465</v>
      </c>
      <c r="I90" s="62" t="s">
        <v>2666</v>
      </c>
      <c r="J90" s="62" t="s">
        <v>271</v>
      </c>
    </row>
    <row r="91" spans="1:10" ht="15" x14ac:dyDescent="0.25">
      <c r="A91" s="40">
        <v>87</v>
      </c>
      <c r="B91" s="62" t="s">
        <v>2667</v>
      </c>
      <c r="C91" s="62" t="s">
        <v>286</v>
      </c>
      <c r="D91" s="62" t="s">
        <v>2373</v>
      </c>
      <c r="E91" s="62" t="s">
        <v>2374</v>
      </c>
      <c r="F91" s="62">
        <v>100</v>
      </c>
      <c r="G91" s="62">
        <v>108.8813</v>
      </c>
      <c r="H91" s="62" t="s">
        <v>2466</v>
      </c>
      <c r="I91" s="62" t="s">
        <v>2668</v>
      </c>
      <c r="J91" s="62" t="s">
        <v>271</v>
      </c>
    </row>
    <row r="92" spans="1:10" ht="15" x14ac:dyDescent="0.25">
      <c r="A92" s="40">
        <v>88</v>
      </c>
      <c r="B92" s="62" t="s">
        <v>2669</v>
      </c>
      <c r="C92" s="62" t="s">
        <v>288</v>
      </c>
      <c r="D92" s="62" t="s">
        <v>2373</v>
      </c>
      <c r="E92" s="62" t="s">
        <v>2374</v>
      </c>
      <c r="F92" s="62">
        <v>100</v>
      </c>
      <c r="G92" s="62">
        <v>110.74930000000001</v>
      </c>
      <c r="H92" s="62" t="s">
        <v>2291</v>
      </c>
      <c r="I92" s="62" t="s">
        <v>2670</v>
      </c>
      <c r="J92" s="62" t="s">
        <v>271</v>
      </c>
    </row>
    <row r="93" spans="1:10" ht="15" x14ac:dyDescent="0.25">
      <c r="A93" s="40">
        <v>89</v>
      </c>
      <c r="B93" s="62" t="s">
        <v>2671</v>
      </c>
      <c r="C93" s="62" t="s">
        <v>290</v>
      </c>
      <c r="D93" s="62" t="s">
        <v>2373</v>
      </c>
      <c r="E93" s="62" t="s">
        <v>2374</v>
      </c>
      <c r="F93" s="62">
        <v>100</v>
      </c>
      <c r="G93" s="62">
        <v>104.8831</v>
      </c>
      <c r="H93" s="62" t="s">
        <v>2476</v>
      </c>
      <c r="I93" s="62" t="s">
        <v>2495</v>
      </c>
      <c r="J93" s="62" t="s">
        <v>271</v>
      </c>
    </row>
    <row r="94" spans="1:10" ht="15" x14ac:dyDescent="0.25">
      <c r="A94" s="40">
        <v>90</v>
      </c>
      <c r="B94" s="62" t="s">
        <v>2672</v>
      </c>
      <c r="C94" s="62" t="s">
        <v>292</v>
      </c>
      <c r="D94" s="62" t="s">
        <v>2373</v>
      </c>
      <c r="E94" s="62" t="s">
        <v>2374</v>
      </c>
      <c r="F94" s="62">
        <v>100</v>
      </c>
      <c r="G94" s="62">
        <v>100</v>
      </c>
      <c r="H94" s="62" t="s">
        <v>2440</v>
      </c>
      <c r="I94" s="62" t="s">
        <v>2673</v>
      </c>
      <c r="J94" s="62" t="s">
        <v>271</v>
      </c>
    </row>
    <row r="95" spans="1:10" ht="15" x14ac:dyDescent="0.25">
      <c r="A95" s="40">
        <v>91</v>
      </c>
      <c r="B95" s="62" t="s">
        <v>2674</v>
      </c>
      <c r="C95" s="62" t="s">
        <v>294</v>
      </c>
      <c r="D95" s="62" t="s">
        <v>2373</v>
      </c>
      <c r="E95" s="62" t="s">
        <v>2374</v>
      </c>
      <c r="F95" s="62">
        <v>100</v>
      </c>
      <c r="G95" s="62">
        <v>109.8317</v>
      </c>
      <c r="H95" s="62" t="s">
        <v>2675</v>
      </c>
      <c r="I95" s="62" t="s">
        <v>2676</v>
      </c>
      <c r="J95" s="62" t="s">
        <v>271</v>
      </c>
    </row>
    <row r="96" spans="1:10" ht="15" x14ac:dyDescent="0.25">
      <c r="A96" s="40">
        <v>92</v>
      </c>
      <c r="B96" s="62" t="s">
        <v>2677</v>
      </c>
      <c r="C96" s="62" t="s">
        <v>296</v>
      </c>
      <c r="D96" s="62" t="s">
        <v>2373</v>
      </c>
      <c r="E96" s="62" t="s">
        <v>2374</v>
      </c>
      <c r="F96" s="62">
        <v>100</v>
      </c>
      <c r="G96" s="62">
        <v>108.4207</v>
      </c>
      <c r="H96" s="62" t="s">
        <v>2289</v>
      </c>
      <c r="I96" s="62" t="s">
        <v>2678</v>
      </c>
      <c r="J96" s="62" t="s">
        <v>271</v>
      </c>
    </row>
    <row r="97" spans="1:10" ht="15" x14ac:dyDescent="0.25">
      <c r="A97" s="40">
        <v>93</v>
      </c>
      <c r="B97" s="62" t="s">
        <v>2679</v>
      </c>
      <c r="C97" s="62" t="s">
        <v>298</v>
      </c>
      <c r="D97" s="62" t="s">
        <v>2373</v>
      </c>
      <c r="E97" s="62" t="s">
        <v>2374</v>
      </c>
      <c r="F97" s="62">
        <v>100</v>
      </c>
      <c r="G97" s="62">
        <v>109.7989</v>
      </c>
      <c r="H97" s="62" t="s">
        <v>2467</v>
      </c>
      <c r="I97" s="62" t="s">
        <v>2481</v>
      </c>
      <c r="J97" s="62" t="s">
        <v>271</v>
      </c>
    </row>
    <row r="98" spans="1:10" ht="15" x14ac:dyDescent="0.25">
      <c r="A98" s="40">
        <v>94</v>
      </c>
      <c r="B98" s="62" t="s">
        <v>2680</v>
      </c>
      <c r="C98" s="62" t="s">
        <v>300</v>
      </c>
      <c r="D98" s="62" t="s">
        <v>2373</v>
      </c>
      <c r="E98" s="62" t="s">
        <v>2374</v>
      </c>
      <c r="F98" s="62">
        <v>100</v>
      </c>
      <c r="G98" s="62">
        <v>102.9495</v>
      </c>
      <c r="H98" s="62" t="s">
        <v>2482</v>
      </c>
      <c r="I98" s="62" t="s">
        <v>2681</v>
      </c>
      <c r="J98" s="62" t="s">
        <v>271</v>
      </c>
    </row>
    <row r="99" spans="1:10" ht="15" x14ac:dyDescent="0.25">
      <c r="A99" s="40">
        <v>95</v>
      </c>
      <c r="B99" s="62" t="s">
        <v>2682</v>
      </c>
      <c r="C99" s="62" t="s">
        <v>302</v>
      </c>
      <c r="D99" s="62" t="s">
        <v>2373</v>
      </c>
      <c r="E99" s="62" t="s">
        <v>2374</v>
      </c>
      <c r="F99" s="62">
        <v>100</v>
      </c>
      <c r="G99" s="62">
        <v>106.0761</v>
      </c>
      <c r="H99" s="62" t="s">
        <v>2289</v>
      </c>
      <c r="I99" s="62" t="s">
        <v>2683</v>
      </c>
      <c r="J99" s="62" t="s">
        <v>271</v>
      </c>
    </row>
    <row r="100" spans="1:10" ht="15" x14ac:dyDescent="0.25">
      <c r="A100" s="40">
        <v>96</v>
      </c>
      <c r="B100" s="62" t="s">
        <v>2684</v>
      </c>
      <c r="C100" s="62" t="s">
        <v>304</v>
      </c>
      <c r="D100" s="62" t="s">
        <v>2373</v>
      </c>
      <c r="E100" s="62" t="s">
        <v>2374</v>
      </c>
      <c r="F100" s="62">
        <v>100</v>
      </c>
      <c r="G100" s="62">
        <v>102.9495</v>
      </c>
      <c r="H100" s="62" t="s">
        <v>2482</v>
      </c>
      <c r="I100" s="62" t="s">
        <v>2681</v>
      </c>
      <c r="J100" s="62" t="s">
        <v>271</v>
      </c>
    </row>
    <row r="101" spans="1:10" ht="15" x14ac:dyDescent="0.25">
      <c r="A101" s="40">
        <v>97</v>
      </c>
      <c r="B101" s="62" t="s">
        <v>2685</v>
      </c>
      <c r="C101" s="62" t="s">
        <v>306</v>
      </c>
      <c r="D101" s="62" t="s">
        <v>2373</v>
      </c>
      <c r="E101" s="62" t="s">
        <v>2374</v>
      </c>
      <c r="F101" s="62">
        <v>100</v>
      </c>
      <c r="G101" s="62">
        <v>100.91759999999999</v>
      </c>
      <c r="H101" s="62" t="s">
        <v>2291</v>
      </c>
      <c r="I101" s="62" t="s">
        <v>2686</v>
      </c>
      <c r="J101" s="62" t="s">
        <v>271</v>
      </c>
    </row>
    <row r="102" spans="1:10" ht="15" x14ac:dyDescent="0.25">
      <c r="A102" s="40">
        <v>98</v>
      </c>
      <c r="B102" s="62" t="s">
        <v>2687</v>
      </c>
      <c r="C102" s="62" t="s">
        <v>308</v>
      </c>
      <c r="D102" s="62" t="s">
        <v>2373</v>
      </c>
      <c r="E102" s="62" t="s">
        <v>2374</v>
      </c>
      <c r="F102" s="62">
        <v>100</v>
      </c>
      <c r="G102" s="62">
        <v>103.8999</v>
      </c>
      <c r="H102" s="62" t="s">
        <v>2433</v>
      </c>
      <c r="I102" s="62" t="s">
        <v>2688</v>
      </c>
      <c r="J102" s="62" t="s">
        <v>271</v>
      </c>
    </row>
    <row r="103" spans="1:10" ht="15" x14ac:dyDescent="0.25">
      <c r="A103" s="40">
        <v>99</v>
      </c>
      <c r="B103" s="62" t="s">
        <v>2689</v>
      </c>
      <c r="C103" s="62" t="s">
        <v>310</v>
      </c>
      <c r="D103" s="62" t="s">
        <v>2373</v>
      </c>
      <c r="E103" s="62" t="s">
        <v>2374</v>
      </c>
      <c r="F103" s="62">
        <v>100</v>
      </c>
      <c r="G103" s="62">
        <v>100.9504</v>
      </c>
      <c r="H103" s="62" t="s">
        <v>2292</v>
      </c>
      <c r="I103" s="62" t="s">
        <v>2690</v>
      </c>
      <c r="J103" s="62" t="s">
        <v>271</v>
      </c>
    </row>
    <row r="104" spans="1:10" ht="15" x14ac:dyDescent="0.25">
      <c r="A104" s="40">
        <v>100</v>
      </c>
      <c r="B104" s="62" t="s">
        <v>2691</v>
      </c>
      <c r="C104" s="62" t="s">
        <v>312</v>
      </c>
      <c r="D104" s="62" t="s">
        <v>2373</v>
      </c>
      <c r="E104" s="62" t="s">
        <v>2374</v>
      </c>
      <c r="F104" s="62">
        <v>100</v>
      </c>
      <c r="G104" s="62">
        <v>105.899</v>
      </c>
      <c r="H104" s="62" t="s">
        <v>2291</v>
      </c>
      <c r="I104" s="62" t="s">
        <v>2692</v>
      </c>
      <c r="J104" s="62" t="s">
        <v>271</v>
      </c>
    </row>
    <row r="105" spans="1:10" ht="15" x14ac:dyDescent="0.25">
      <c r="A105" s="40">
        <v>101</v>
      </c>
      <c r="B105" s="62" t="s">
        <v>2693</v>
      </c>
      <c r="C105" s="62" t="s">
        <v>314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2292</v>
      </c>
      <c r="I105" s="62" t="s">
        <v>2694</v>
      </c>
      <c r="J105" s="62" t="s">
        <v>271</v>
      </c>
    </row>
    <row r="106" spans="1:10" ht="15" x14ac:dyDescent="0.25">
      <c r="A106" s="40">
        <v>102</v>
      </c>
      <c r="B106" s="62" t="s">
        <v>2695</v>
      </c>
      <c r="C106" s="62" t="s">
        <v>316</v>
      </c>
      <c r="D106" s="62" t="s">
        <v>2373</v>
      </c>
      <c r="E106" s="62" t="s">
        <v>2374</v>
      </c>
      <c r="F106" s="62">
        <v>100</v>
      </c>
      <c r="G106" s="62">
        <v>101.9336</v>
      </c>
      <c r="H106" s="62" t="s">
        <v>2291</v>
      </c>
      <c r="I106" s="62" t="s">
        <v>2696</v>
      </c>
      <c r="J106" s="62" t="s">
        <v>271</v>
      </c>
    </row>
    <row r="107" spans="1:10" ht="15" x14ac:dyDescent="0.25">
      <c r="A107" s="40">
        <v>103</v>
      </c>
      <c r="B107" s="62" t="s">
        <v>2697</v>
      </c>
      <c r="C107" s="62" t="s">
        <v>318</v>
      </c>
      <c r="D107" s="62" t="s">
        <v>2373</v>
      </c>
      <c r="E107" s="62" t="s">
        <v>2374</v>
      </c>
      <c r="F107" s="62">
        <v>100</v>
      </c>
      <c r="G107" s="62">
        <v>108.914</v>
      </c>
      <c r="H107" s="62" t="s">
        <v>2410</v>
      </c>
      <c r="I107" s="62" t="s">
        <v>2698</v>
      </c>
      <c r="J107" s="62" t="s">
        <v>271</v>
      </c>
    </row>
    <row r="108" spans="1:10" ht="15" x14ac:dyDescent="0.25">
      <c r="A108" s="40">
        <v>104</v>
      </c>
      <c r="B108" s="62" t="s">
        <v>2699</v>
      </c>
      <c r="C108" s="62" t="s">
        <v>320</v>
      </c>
      <c r="D108" s="62" t="s">
        <v>2373</v>
      </c>
      <c r="E108" s="62" t="s">
        <v>2374</v>
      </c>
      <c r="F108" s="62">
        <v>100</v>
      </c>
      <c r="G108" s="62">
        <v>105.9973</v>
      </c>
      <c r="H108" s="62" t="s">
        <v>2288</v>
      </c>
      <c r="I108" s="62" t="s">
        <v>2700</v>
      </c>
      <c r="J108" s="62" t="s">
        <v>271</v>
      </c>
    </row>
    <row r="109" spans="1:10" ht="15" x14ac:dyDescent="0.25">
      <c r="A109" s="40">
        <v>105</v>
      </c>
      <c r="B109" s="62" t="s">
        <v>2701</v>
      </c>
      <c r="C109" s="62" t="s">
        <v>322</v>
      </c>
      <c r="D109" s="62" t="s">
        <v>2373</v>
      </c>
      <c r="E109" s="62" t="s">
        <v>2374</v>
      </c>
      <c r="F109" s="62">
        <v>100</v>
      </c>
      <c r="G109" s="62">
        <v>100.03279999999999</v>
      </c>
      <c r="H109" s="62" t="s">
        <v>2440</v>
      </c>
      <c r="I109" s="62" t="s">
        <v>2702</v>
      </c>
      <c r="J109" s="62" t="s">
        <v>271</v>
      </c>
    </row>
    <row r="110" spans="1:10" ht="15" x14ac:dyDescent="0.25">
      <c r="A110" s="40">
        <v>106</v>
      </c>
      <c r="B110" s="62" t="s">
        <v>2703</v>
      </c>
      <c r="C110" s="62" t="s">
        <v>324</v>
      </c>
      <c r="D110" s="62" t="s">
        <v>2373</v>
      </c>
      <c r="E110" s="62" t="s">
        <v>2374</v>
      </c>
      <c r="F110" s="62">
        <v>100</v>
      </c>
      <c r="G110" s="62">
        <v>102.884</v>
      </c>
      <c r="H110" s="62" t="s">
        <v>2294</v>
      </c>
      <c r="I110" s="62" t="s">
        <v>2704</v>
      </c>
      <c r="J110" s="62" t="s">
        <v>271</v>
      </c>
    </row>
    <row r="111" spans="1:10" ht="15" x14ac:dyDescent="0.25">
      <c r="A111" s="40">
        <v>107</v>
      </c>
      <c r="B111" s="62" t="s">
        <v>2705</v>
      </c>
      <c r="C111" s="62" t="s">
        <v>326</v>
      </c>
      <c r="D111" s="62" t="s">
        <v>2373</v>
      </c>
      <c r="E111" s="62" t="s">
        <v>2374</v>
      </c>
      <c r="F111" s="62">
        <v>100</v>
      </c>
      <c r="G111" s="62">
        <v>100.03279999999999</v>
      </c>
      <c r="H111" s="62" t="s">
        <v>2440</v>
      </c>
      <c r="I111" s="62" t="s">
        <v>2706</v>
      </c>
      <c r="J111" s="62" t="s">
        <v>271</v>
      </c>
    </row>
    <row r="112" spans="1:10" ht="15" x14ac:dyDescent="0.25">
      <c r="A112" s="40">
        <v>108</v>
      </c>
      <c r="B112" s="62" t="s">
        <v>2707</v>
      </c>
      <c r="C112" s="62" t="s">
        <v>328</v>
      </c>
      <c r="D112" s="62" t="s">
        <v>2373</v>
      </c>
      <c r="E112" s="62" t="s">
        <v>2374</v>
      </c>
      <c r="F112" s="62">
        <v>100</v>
      </c>
      <c r="G112" s="62">
        <v>107.7998</v>
      </c>
      <c r="H112" s="62" t="s">
        <v>2291</v>
      </c>
      <c r="I112" s="62" t="s">
        <v>2708</v>
      </c>
      <c r="J112" s="62" t="s">
        <v>271</v>
      </c>
    </row>
    <row r="113" spans="1:10" ht="15" x14ac:dyDescent="0.25">
      <c r="A113" s="40">
        <v>109</v>
      </c>
      <c r="B113" s="62" t="s">
        <v>2709</v>
      </c>
      <c r="C113" s="62" t="s">
        <v>330</v>
      </c>
      <c r="D113" s="62" t="s">
        <v>2373</v>
      </c>
      <c r="E113" s="62" t="s">
        <v>2374</v>
      </c>
      <c r="F113" s="62">
        <v>100</v>
      </c>
      <c r="G113" s="62">
        <v>101.9336</v>
      </c>
      <c r="H113" s="62" t="s">
        <v>2292</v>
      </c>
      <c r="I113" s="62" t="s">
        <v>2483</v>
      </c>
      <c r="J113" s="62" t="s">
        <v>271</v>
      </c>
    </row>
    <row r="114" spans="1:10" ht="15" x14ac:dyDescent="0.25">
      <c r="A114" s="40">
        <v>110</v>
      </c>
      <c r="B114" s="62" t="s">
        <v>2710</v>
      </c>
      <c r="C114" s="62" t="s">
        <v>332</v>
      </c>
      <c r="D114" s="62" t="s">
        <v>2373</v>
      </c>
      <c r="E114" s="62" t="s">
        <v>2374</v>
      </c>
      <c r="F114" s="62">
        <v>100</v>
      </c>
      <c r="G114" s="62">
        <v>106.8822</v>
      </c>
      <c r="H114" s="62" t="s">
        <v>2290</v>
      </c>
      <c r="I114" s="62" t="s">
        <v>2711</v>
      </c>
      <c r="J114" s="62" t="s">
        <v>271</v>
      </c>
    </row>
    <row r="115" spans="1:10" ht="15" x14ac:dyDescent="0.25">
      <c r="A115" s="40">
        <v>111</v>
      </c>
      <c r="B115" s="62" t="s">
        <v>2712</v>
      </c>
      <c r="C115" s="62" t="s">
        <v>334</v>
      </c>
      <c r="D115" s="62" t="s">
        <v>2373</v>
      </c>
      <c r="E115" s="62" t="s">
        <v>2374</v>
      </c>
      <c r="F115" s="62">
        <v>100</v>
      </c>
      <c r="G115" s="62">
        <v>110.7821</v>
      </c>
      <c r="H115" s="62" t="s">
        <v>2293</v>
      </c>
      <c r="I115" s="62" t="s">
        <v>2713</v>
      </c>
      <c r="J115" s="62" t="s">
        <v>271</v>
      </c>
    </row>
    <row r="116" spans="1:10" ht="15" x14ac:dyDescent="0.25">
      <c r="A116" s="40">
        <v>112</v>
      </c>
      <c r="B116" s="62" t="s">
        <v>2714</v>
      </c>
      <c r="C116" s="62" t="s">
        <v>336</v>
      </c>
      <c r="D116" s="62" t="s">
        <v>2373</v>
      </c>
      <c r="E116" s="62" t="s">
        <v>2374</v>
      </c>
      <c r="F116" s="62">
        <v>100</v>
      </c>
      <c r="G116" s="62">
        <v>110.8476</v>
      </c>
      <c r="H116" s="62" t="s">
        <v>2409</v>
      </c>
      <c r="I116" s="62" t="s">
        <v>2715</v>
      </c>
      <c r="J116" s="62" t="s">
        <v>271</v>
      </c>
    </row>
    <row r="117" spans="1:10" ht="15" x14ac:dyDescent="0.25">
      <c r="A117" s="40">
        <v>113</v>
      </c>
      <c r="B117" s="62" t="s">
        <v>2716</v>
      </c>
      <c r="C117" s="62" t="s">
        <v>338</v>
      </c>
      <c r="D117" s="62" t="s">
        <v>2373</v>
      </c>
      <c r="E117" s="62" t="s">
        <v>2374</v>
      </c>
      <c r="F117" s="62">
        <v>100</v>
      </c>
      <c r="G117" s="62">
        <v>107.8326</v>
      </c>
      <c r="H117" s="62" t="s">
        <v>2294</v>
      </c>
      <c r="I117" s="62" t="s">
        <v>2717</v>
      </c>
      <c r="J117" s="62" t="s">
        <v>271</v>
      </c>
    </row>
    <row r="118" spans="1:10" ht="15" x14ac:dyDescent="0.25">
      <c r="A118" s="40">
        <v>114</v>
      </c>
      <c r="B118" s="62" t="s">
        <v>2718</v>
      </c>
      <c r="C118" s="62" t="s">
        <v>137</v>
      </c>
      <c r="D118" s="62" t="s">
        <v>2373</v>
      </c>
      <c r="E118" s="62" t="s">
        <v>2374</v>
      </c>
      <c r="F118" s="62">
        <v>90.225800000000007</v>
      </c>
      <c r="G118" s="62">
        <v>93.085800000000006</v>
      </c>
      <c r="H118" s="62" t="s">
        <v>2719</v>
      </c>
      <c r="I118" s="62" t="s">
        <v>2720</v>
      </c>
      <c r="J118" s="62" t="s">
        <v>271</v>
      </c>
    </row>
    <row r="119" spans="1:10" ht="15" x14ac:dyDescent="0.25">
      <c r="A119" s="40">
        <v>115</v>
      </c>
      <c r="B119" s="62" t="s">
        <v>2721</v>
      </c>
      <c r="C119" s="62" t="s">
        <v>139</v>
      </c>
      <c r="D119" s="62" t="s">
        <v>2373</v>
      </c>
      <c r="E119" s="62" t="s">
        <v>2374</v>
      </c>
      <c r="F119" s="62">
        <v>95.229399999999998</v>
      </c>
      <c r="G119" s="62">
        <v>102.6669</v>
      </c>
      <c r="H119" s="62" t="s">
        <v>2722</v>
      </c>
      <c r="I119" s="62" t="s">
        <v>2723</v>
      </c>
      <c r="J119" s="62" t="s">
        <v>271</v>
      </c>
    </row>
    <row r="120" spans="1:10" ht="15" x14ac:dyDescent="0.25">
      <c r="A120" s="40">
        <v>116</v>
      </c>
      <c r="B120" s="62" t="s">
        <v>2724</v>
      </c>
      <c r="C120" s="62" t="s">
        <v>141</v>
      </c>
      <c r="D120" s="62" t="s">
        <v>2373</v>
      </c>
      <c r="E120" s="62" t="s">
        <v>2374</v>
      </c>
      <c r="F120" s="62">
        <v>84.878500000000003</v>
      </c>
      <c r="G120" s="62">
        <v>90.578500000000005</v>
      </c>
      <c r="H120" s="62" t="s">
        <v>2485</v>
      </c>
      <c r="I120" s="62" t="s">
        <v>2725</v>
      </c>
      <c r="J120" s="62" t="s">
        <v>271</v>
      </c>
    </row>
    <row r="121" spans="1:10" ht="15" x14ac:dyDescent="0.25">
      <c r="A121" s="40">
        <v>117</v>
      </c>
      <c r="B121" s="62" t="s">
        <v>2726</v>
      </c>
      <c r="C121" s="62" t="s">
        <v>6</v>
      </c>
      <c r="D121" s="62" t="s">
        <v>2373</v>
      </c>
      <c r="E121" s="62" t="s">
        <v>2374</v>
      </c>
      <c r="F121" s="62">
        <v>86.286600000000007</v>
      </c>
      <c r="G121" s="62">
        <v>90.215500000000006</v>
      </c>
      <c r="H121" s="62" t="s">
        <v>2727</v>
      </c>
      <c r="I121" s="62" t="s">
        <v>2728</v>
      </c>
      <c r="J121" s="62" t="s">
        <v>271</v>
      </c>
    </row>
    <row r="122" spans="1:10" ht="15" x14ac:dyDescent="0.25">
      <c r="A122" s="40">
        <v>118</v>
      </c>
      <c r="B122" s="62" t="s">
        <v>2729</v>
      </c>
      <c r="C122" s="62" t="s">
        <v>144</v>
      </c>
      <c r="D122" s="62" t="s">
        <v>2373</v>
      </c>
      <c r="E122" s="62" t="s">
        <v>2374</v>
      </c>
      <c r="F122" s="62">
        <v>83.022999999999996</v>
      </c>
      <c r="G122" s="62">
        <v>89.222999999999999</v>
      </c>
      <c r="H122" s="62" t="s">
        <v>2489</v>
      </c>
      <c r="I122" s="62" t="s">
        <v>2730</v>
      </c>
      <c r="J122" s="62" t="s">
        <v>271</v>
      </c>
    </row>
    <row r="123" spans="1:10" ht="15" x14ac:dyDescent="0.25">
      <c r="A123" s="40">
        <v>119</v>
      </c>
      <c r="B123" s="62" t="s">
        <v>2731</v>
      </c>
      <c r="C123" s="62" t="s">
        <v>2066</v>
      </c>
      <c r="D123" s="62" t="s">
        <v>2373</v>
      </c>
      <c r="E123" s="62" t="s">
        <v>2374</v>
      </c>
      <c r="F123" s="62">
        <v>91.195800000000006</v>
      </c>
      <c r="G123" s="62">
        <v>98.171400000000006</v>
      </c>
      <c r="H123" s="62" t="s">
        <v>2732</v>
      </c>
      <c r="I123" s="62" t="s">
        <v>2733</v>
      </c>
      <c r="J123" s="62" t="s">
        <v>271</v>
      </c>
    </row>
    <row r="124" spans="1:10" ht="15" x14ac:dyDescent="0.25">
      <c r="A124" s="40">
        <v>120</v>
      </c>
      <c r="B124" s="62" t="s">
        <v>2734</v>
      </c>
      <c r="C124" s="62" t="s">
        <v>146</v>
      </c>
      <c r="D124" s="62" t="s">
        <v>2373</v>
      </c>
      <c r="E124" s="62" t="s">
        <v>2374</v>
      </c>
      <c r="F124" s="62">
        <v>84.535600000000002</v>
      </c>
      <c r="G124" s="62">
        <v>93.289699999999996</v>
      </c>
      <c r="H124" s="62" t="s">
        <v>2735</v>
      </c>
      <c r="I124" s="62" t="s">
        <v>2736</v>
      </c>
      <c r="J124" s="62" t="s">
        <v>271</v>
      </c>
    </row>
    <row r="125" spans="1:10" ht="15" x14ac:dyDescent="0.25">
      <c r="A125" s="40">
        <v>121</v>
      </c>
      <c r="B125" s="62" t="s">
        <v>2737</v>
      </c>
      <c r="C125" s="62" t="s">
        <v>8</v>
      </c>
      <c r="D125" s="62" t="s">
        <v>2373</v>
      </c>
      <c r="E125" s="62" t="s">
        <v>2374</v>
      </c>
      <c r="F125" s="62">
        <v>82.415300000000002</v>
      </c>
      <c r="G125" s="62">
        <v>83.294499999999999</v>
      </c>
      <c r="H125" s="62" t="s">
        <v>2491</v>
      </c>
      <c r="I125" s="62" t="s">
        <v>2738</v>
      </c>
      <c r="J125" s="62" t="s">
        <v>271</v>
      </c>
    </row>
    <row r="126" spans="1:10" ht="15" x14ac:dyDescent="0.25">
      <c r="A126" s="40">
        <v>122</v>
      </c>
      <c r="B126" s="62" t="s">
        <v>2739</v>
      </c>
      <c r="C126" s="62" t="s">
        <v>149</v>
      </c>
      <c r="D126" s="62" t="s">
        <v>2373</v>
      </c>
      <c r="E126" s="62" t="s">
        <v>2374</v>
      </c>
      <c r="F126" s="62">
        <v>82.054900000000004</v>
      </c>
      <c r="G126" s="62">
        <v>88.288200000000003</v>
      </c>
      <c r="H126" s="62" t="s">
        <v>2484</v>
      </c>
      <c r="I126" s="62" t="s">
        <v>2740</v>
      </c>
      <c r="J126" s="62" t="s">
        <v>271</v>
      </c>
    </row>
    <row r="127" spans="1:10" ht="15" x14ac:dyDescent="0.25">
      <c r="A127" s="40">
        <v>123</v>
      </c>
      <c r="B127" s="62" t="s">
        <v>2741</v>
      </c>
      <c r="C127" s="62" t="s">
        <v>151</v>
      </c>
      <c r="D127" s="62" t="s">
        <v>2373</v>
      </c>
      <c r="E127" s="62" t="s">
        <v>2374</v>
      </c>
      <c r="F127" s="62">
        <v>89.685400000000001</v>
      </c>
      <c r="G127" s="62">
        <v>93.807599999999994</v>
      </c>
      <c r="H127" s="62" t="s">
        <v>2487</v>
      </c>
      <c r="I127" s="62" t="s">
        <v>2742</v>
      </c>
      <c r="J127" s="62" t="s">
        <v>271</v>
      </c>
    </row>
    <row r="128" spans="1:10" ht="15" x14ac:dyDescent="0.25">
      <c r="A128" s="40">
        <v>124</v>
      </c>
      <c r="B128" s="62" t="s">
        <v>2743</v>
      </c>
      <c r="C128" s="62" t="s">
        <v>2243</v>
      </c>
      <c r="D128" s="62" t="s">
        <v>2373</v>
      </c>
      <c r="E128" s="62" t="s">
        <v>2374</v>
      </c>
      <c r="F128" s="62">
        <v>89.958799999999997</v>
      </c>
      <c r="G128" s="62">
        <v>93.290300000000002</v>
      </c>
      <c r="H128" s="62" t="s">
        <v>2490</v>
      </c>
      <c r="I128" s="62" t="s">
        <v>2744</v>
      </c>
      <c r="J128" s="62" t="s">
        <v>271</v>
      </c>
    </row>
    <row r="129" spans="1:10" ht="15" x14ac:dyDescent="0.25">
      <c r="A129" s="40">
        <v>125</v>
      </c>
      <c r="B129" s="62" t="s">
        <v>2745</v>
      </c>
      <c r="C129" s="62" t="s">
        <v>153</v>
      </c>
      <c r="D129" s="62" t="s">
        <v>2373</v>
      </c>
      <c r="E129" s="62" t="s">
        <v>2374</v>
      </c>
      <c r="F129" s="62">
        <v>94.0244</v>
      </c>
      <c r="G129" s="62">
        <v>95.414699999999996</v>
      </c>
      <c r="H129" s="62" t="s">
        <v>2746</v>
      </c>
      <c r="I129" s="62" t="s">
        <v>2747</v>
      </c>
      <c r="J129" s="62" t="s">
        <v>271</v>
      </c>
    </row>
    <row r="130" spans="1:10" ht="15" x14ac:dyDescent="0.25">
      <c r="A130" s="40">
        <v>126</v>
      </c>
      <c r="B130" s="62" t="s">
        <v>2748</v>
      </c>
      <c r="C130" s="62" t="s">
        <v>7</v>
      </c>
      <c r="D130" s="62" t="s">
        <v>2373</v>
      </c>
      <c r="E130" s="62" t="s">
        <v>2374</v>
      </c>
      <c r="F130" s="62">
        <v>84.383300000000006</v>
      </c>
      <c r="G130" s="62">
        <v>88.905500000000004</v>
      </c>
      <c r="H130" s="62" t="s">
        <v>2749</v>
      </c>
      <c r="I130" s="62" t="s">
        <v>2750</v>
      </c>
      <c r="J130" s="62" t="s">
        <v>271</v>
      </c>
    </row>
    <row r="131" spans="1:10" ht="15" x14ac:dyDescent="0.25">
      <c r="A131" s="40">
        <v>127</v>
      </c>
      <c r="B131" s="62" t="s">
        <v>2751</v>
      </c>
      <c r="C131" s="62" t="s">
        <v>156</v>
      </c>
      <c r="D131" s="62" t="s">
        <v>2373</v>
      </c>
      <c r="E131" s="62" t="s">
        <v>2374</v>
      </c>
      <c r="F131" s="62">
        <v>88.838899999999995</v>
      </c>
      <c r="G131" s="62">
        <v>92.688900000000004</v>
      </c>
      <c r="H131" s="62" t="s">
        <v>2492</v>
      </c>
      <c r="I131" s="62" t="s">
        <v>2752</v>
      </c>
      <c r="J131" s="62" t="s">
        <v>271</v>
      </c>
    </row>
    <row r="132" spans="1:10" ht="15" x14ac:dyDescent="0.25">
      <c r="A132" s="40">
        <v>128</v>
      </c>
      <c r="B132" s="62" t="s">
        <v>2753</v>
      </c>
      <c r="C132" s="62" t="s">
        <v>2068</v>
      </c>
      <c r="D132" s="62" t="s">
        <v>2373</v>
      </c>
      <c r="E132" s="62" t="s">
        <v>2374</v>
      </c>
      <c r="F132" s="62">
        <v>89.755799999999994</v>
      </c>
      <c r="G132" s="62">
        <v>96.683599999999998</v>
      </c>
      <c r="H132" s="62" t="s">
        <v>2754</v>
      </c>
      <c r="I132" s="62" t="s">
        <v>2755</v>
      </c>
      <c r="J132" s="62" t="s">
        <v>271</v>
      </c>
    </row>
    <row r="133" spans="1:10" ht="15" x14ac:dyDescent="0.25">
      <c r="A133" s="40">
        <v>129</v>
      </c>
      <c r="B133" s="62" t="s">
        <v>2756</v>
      </c>
      <c r="C133" s="62" t="s">
        <v>158</v>
      </c>
      <c r="D133" s="62" t="s">
        <v>2373</v>
      </c>
      <c r="E133" s="62" t="s">
        <v>2374</v>
      </c>
      <c r="F133" s="62">
        <v>89.465999999999994</v>
      </c>
      <c r="G133" s="62">
        <v>93.766000000000005</v>
      </c>
      <c r="H133" s="62" t="s">
        <v>2719</v>
      </c>
      <c r="I133" s="62" t="s">
        <v>2757</v>
      </c>
      <c r="J133" s="62" t="s">
        <v>271</v>
      </c>
    </row>
    <row r="134" spans="1:10" ht="15" x14ac:dyDescent="0.25">
      <c r="A134" s="40">
        <v>130</v>
      </c>
      <c r="B134" s="62" t="s">
        <v>2758</v>
      </c>
      <c r="C134" s="62" t="s">
        <v>160</v>
      </c>
      <c r="D134" s="62" t="s">
        <v>2373</v>
      </c>
      <c r="E134" s="62" t="s">
        <v>2374</v>
      </c>
      <c r="F134" s="62">
        <v>87.634900000000002</v>
      </c>
      <c r="G134" s="62">
        <v>89.009900000000002</v>
      </c>
      <c r="H134" s="62" t="s">
        <v>2479</v>
      </c>
      <c r="I134" s="62" t="s">
        <v>2759</v>
      </c>
      <c r="J134" s="62" t="s">
        <v>271</v>
      </c>
    </row>
    <row r="135" spans="1:10" ht="15" x14ac:dyDescent="0.25">
      <c r="A135" s="40">
        <v>131</v>
      </c>
      <c r="B135" s="62" t="s">
        <v>2760</v>
      </c>
      <c r="C135" s="62" t="s">
        <v>9</v>
      </c>
      <c r="D135" s="62" t="s">
        <v>2373</v>
      </c>
      <c r="E135" s="62" t="s">
        <v>2374</v>
      </c>
      <c r="F135" s="62">
        <v>77.209000000000003</v>
      </c>
      <c r="G135" s="62">
        <v>81.815399999999997</v>
      </c>
      <c r="H135" s="62" t="s">
        <v>2486</v>
      </c>
      <c r="I135" s="62" t="s">
        <v>2761</v>
      </c>
      <c r="J135" s="62" t="s">
        <v>271</v>
      </c>
    </row>
    <row r="136" spans="1:10" ht="15" x14ac:dyDescent="0.25">
      <c r="A136" s="40">
        <v>132</v>
      </c>
      <c r="B136" s="62" t="s">
        <v>2762</v>
      </c>
      <c r="C136" s="62" t="s">
        <v>2041</v>
      </c>
      <c r="D136" s="62" t="s">
        <v>2373</v>
      </c>
      <c r="E136" s="62" t="s">
        <v>2374</v>
      </c>
      <c r="F136" s="62">
        <v>86.997600000000006</v>
      </c>
      <c r="G136" s="62">
        <v>94.5809</v>
      </c>
      <c r="H136" s="62" t="s">
        <v>2754</v>
      </c>
      <c r="I136" s="62" t="s">
        <v>2763</v>
      </c>
      <c r="J136" s="62" t="s">
        <v>271</v>
      </c>
    </row>
    <row r="137" spans="1:10" ht="15" x14ac:dyDescent="0.25">
      <c r="A137" s="40">
        <v>133</v>
      </c>
      <c r="B137" s="62" t="s">
        <v>2764</v>
      </c>
      <c r="C137" s="62" t="s">
        <v>11</v>
      </c>
      <c r="D137" s="62" t="s">
        <v>2373</v>
      </c>
      <c r="E137" s="62" t="s">
        <v>2374</v>
      </c>
      <c r="F137" s="62">
        <v>75.780799999999999</v>
      </c>
      <c r="G137" s="62">
        <v>76.727500000000006</v>
      </c>
      <c r="H137" s="62" t="s">
        <v>2765</v>
      </c>
      <c r="I137" s="62" t="s">
        <v>2766</v>
      </c>
      <c r="J137" s="62" t="s">
        <v>271</v>
      </c>
    </row>
    <row r="138" spans="1:10" ht="15" x14ac:dyDescent="0.25">
      <c r="A138" s="40">
        <v>134</v>
      </c>
      <c r="B138" s="62" t="s">
        <v>2767</v>
      </c>
      <c r="C138" s="62" t="s">
        <v>164</v>
      </c>
      <c r="D138" s="62" t="s">
        <v>2373</v>
      </c>
      <c r="E138" s="62" t="s">
        <v>2374</v>
      </c>
      <c r="F138" s="62">
        <v>74.192499999999995</v>
      </c>
      <c r="G138" s="62">
        <v>74.340999999999994</v>
      </c>
      <c r="H138" s="62" t="s">
        <v>2494</v>
      </c>
      <c r="I138" s="62" t="s">
        <v>2768</v>
      </c>
      <c r="J138" s="62" t="s">
        <v>271</v>
      </c>
    </row>
    <row r="139" spans="1:10" ht="15" x14ac:dyDescent="0.25">
      <c r="A139" s="40">
        <v>135</v>
      </c>
      <c r="B139" s="62" t="s">
        <v>2769</v>
      </c>
      <c r="C139" s="62" t="s">
        <v>166</v>
      </c>
      <c r="D139" s="62" t="s">
        <v>2373</v>
      </c>
      <c r="E139" s="62" t="s">
        <v>2374</v>
      </c>
      <c r="F139" s="62">
        <v>85.612899999999996</v>
      </c>
      <c r="G139" s="62">
        <v>87.023899999999998</v>
      </c>
      <c r="H139" s="62" t="s">
        <v>2770</v>
      </c>
      <c r="I139" s="62" t="s">
        <v>2575</v>
      </c>
      <c r="J139" s="62" t="s">
        <v>271</v>
      </c>
    </row>
    <row r="140" spans="1:10" ht="15" x14ac:dyDescent="0.25">
      <c r="A140" s="40">
        <v>136</v>
      </c>
      <c r="B140" s="62" t="s">
        <v>2771</v>
      </c>
      <c r="C140" s="62" t="s">
        <v>168</v>
      </c>
      <c r="D140" s="62" t="s">
        <v>2373</v>
      </c>
      <c r="E140" s="62" t="s">
        <v>2374</v>
      </c>
      <c r="F140" s="62">
        <v>70.447999999999993</v>
      </c>
      <c r="G140" s="62">
        <v>72.98</v>
      </c>
      <c r="H140" s="62" t="s">
        <v>2488</v>
      </c>
      <c r="I140" s="62" t="s">
        <v>2772</v>
      </c>
      <c r="J140" s="62" t="s">
        <v>271</v>
      </c>
    </row>
    <row r="141" spans="1:10" ht="15" x14ac:dyDescent="0.25">
      <c r="A141" s="40">
        <v>137</v>
      </c>
      <c r="B141" s="62" t="s">
        <v>2773</v>
      </c>
      <c r="C141" s="62" t="s">
        <v>170</v>
      </c>
      <c r="D141" s="62" t="s">
        <v>2373</v>
      </c>
      <c r="E141" s="62" t="s">
        <v>2374</v>
      </c>
      <c r="F141" s="62">
        <v>70.784000000000006</v>
      </c>
      <c r="G141" s="62">
        <v>76.153199999999998</v>
      </c>
      <c r="H141" s="62" t="s">
        <v>2754</v>
      </c>
      <c r="I141" s="62" t="s">
        <v>2774</v>
      </c>
      <c r="J141" s="62" t="s">
        <v>271</v>
      </c>
    </row>
    <row r="142" spans="1:10" ht="15" x14ac:dyDescent="0.25">
      <c r="A142" s="40">
        <v>138</v>
      </c>
      <c r="B142" s="62" t="s">
        <v>2775</v>
      </c>
      <c r="C142" s="62" t="s">
        <v>2215</v>
      </c>
      <c r="D142" s="62" t="s">
        <v>2373</v>
      </c>
      <c r="E142" s="62" t="s">
        <v>2374</v>
      </c>
      <c r="F142" s="62">
        <v>86.340100000000007</v>
      </c>
      <c r="G142" s="62">
        <v>90.100099999999998</v>
      </c>
      <c r="H142" s="62" t="s">
        <v>2776</v>
      </c>
      <c r="I142" s="62" t="s">
        <v>2777</v>
      </c>
      <c r="J142" s="62" t="s">
        <v>271</v>
      </c>
    </row>
    <row r="143" spans="1:10" ht="15" x14ac:dyDescent="0.25">
      <c r="A143" s="40">
        <v>139</v>
      </c>
      <c r="B143" s="62" t="s">
        <v>2778</v>
      </c>
      <c r="C143" s="62" t="s">
        <v>172</v>
      </c>
      <c r="D143" s="62" t="s">
        <v>2373</v>
      </c>
      <c r="E143" s="62" t="s">
        <v>2374</v>
      </c>
      <c r="F143" s="62">
        <v>98.972399999999993</v>
      </c>
      <c r="G143" s="62">
        <v>103.6217</v>
      </c>
      <c r="H143" s="62" t="s">
        <v>2430</v>
      </c>
      <c r="I143" s="62" t="s">
        <v>2779</v>
      </c>
      <c r="J143" s="62" t="s">
        <v>271</v>
      </c>
    </row>
    <row r="144" spans="1:10" ht="15" x14ac:dyDescent="0.25">
      <c r="A144" s="40">
        <v>140</v>
      </c>
      <c r="B144" s="62" t="s">
        <v>2780</v>
      </c>
      <c r="C144" s="62" t="s">
        <v>174</v>
      </c>
      <c r="D144" s="62" t="s">
        <v>2373</v>
      </c>
      <c r="E144" s="62" t="s">
        <v>2374</v>
      </c>
      <c r="F144" s="62">
        <v>97.6631</v>
      </c>
      <c r="G144" s="62">
        <v>101.57980000000001</v>
      </c>
      <c r="H144" s="62" t="s">
        <v>2781</v>
      </c>
      <c r="I144" s="62" t="s">
        <v>2782</v>
      </c>
      <c r="J144" s="62" t="s">
        <v>271</v>
      </c>
    </row>
    <row r="145" spans="1:10" ht="15" x14ac:dyDescent="0.25">
      <c r="A145" s="40">
        <v>141</v>
      </c>
      <c r="B145" s="62" t="s">
        <v>2783</v>
      </c>
      <c r="C145" s="62" t="s">
        <v>10</v>
      </c>
      <c r="D145" s="62" t="s">
        <v>2373</v>
      </c>
      <c r="E145" s="62" t="s">
        <v>2374</v>
      </c>
      <c r="F145" s="62">
        <v>67.820400000000006</v>
      </c>
      <c r="G145" s="62">
        <v>70.918700000000001</v>
      </c>
      <c r="H145" s="62" t="s">
        <v>2765</v>
      </c>
      <c r="I145" s="62" t="s">
        <v>2784</v>
      </c>
      <c r="J145" s="62" t="s">
        <v>271</v>
      </c>
    </row>
    <row r="146" spans="1:10" ht="15" x14ac:dyDescent="0.25">
      <c r="A146" s="40">
        <v>142</v>
      </c>
      <c r="B146" s="62" t="s">
        <v>2785</v>
      </c>
      <c r="C146" s="62" t="s">
        <v>177</v>
      </c>
      <c r="D146" s="62" t="s">
        <v>2373</v>
      </c>
      <c r="E146" s="62" t="s">
        <v>2374</v>
      </c>
      <c r="F146" s="62">
        <v>69.915199999999999</v>
      </c>
      <c r="G146" s="62">
        <v>74.698499999999996</v>
      </c>
      <c r="H146" s="62" t="s">
        <v>2786</v>
      </c>
      <c r="I146" s="62" t="s">
        <v>2787</v>
      </c>
      <c r="J146" s="62" t="s">
        <v>271</v>
      </c>
    </row>
    <row r="147" spans="1:10" ht="15" x14ac:dyDescent="0.25">
      <c r="A147" s="40">
        <v>143</v>
      </c>
      <c r="B147" s="62" t="s">
        <v>2788</v>
      </c>
      <c r="C147" s="62" t="s">
        <v>179</v>
      </c>
      <c r="D147" s="62" t="s">
        <v>2373</v>
      </c>
      <c r="E147" s="62" t="s">
        <v>2374</v>
      </c>
      <c r="F147" s="62">
        <v>97.549899999999994</v>
      </c>
      <c r="G147" s="62">
        <v>101.8121</v>
      </c>
      <c r="H147" s="62" t="s">
        <v>2789</v>
      </c>
      <c r="I147" s="62" t="s">
        <v>2790</v>
      </c>
      <c r="J147" s="62" t="s">
        <v>271</v>
      </c>
    </row>
    <row r="148" spans="1:10" ht="15" x14ac:dyDescent="0.25">
      <c r="A148" s="40">
        <v>144</v>
      </c>
      <c r="B148" s="62" t="s">
        <v>2791</v>
      </c>
      <c r="C148" s="62" t="s">
        <v>181</v>
      </c>
      <c r="D148" s="62" t="s">
        <v>2373</v>
      </c>
      <c r="E148" s="62" t="s">
        <v>2374</v>
      </c>
      <c r="F148" s="62">
        <v>90.237300000000005</v>
      </c>
      <c r="G148" s="62">
        <v>90.390100000000004</v>
      </c>
      <c r="H148" s="62" t="s">
        <v>2792</v>
      </c>
      <c r="I148" s="62" t="s">
        <v>2793</v>
      </c>
      <c r="J148" s="62" t="s">
        <v>271</v>
      </c>
    </row>
    <row r="149" spans="1:10" ht="15" x14ac:dyDescent="0.25">
      <c r="A149" s="40">
        <v>145</v>
      </c>
      <c r="B149" s="62" t="s">
        <v>2794</v>
      </c>
      <c r="C149" s="62" t="s">
        <v>183</v>
      </c>
      <c r="D149" s="62" t="s">
        <v>2373</v>
      </c>
      <c r="E149" s="62" t="s">
        <v>2374</v>
      </c>
      <c r="F149" s="62">
        <v>87.163499999999999</v>
      </c>
      <c r="G149" s="62">
        <v>90.982900000000001</v>
      </c>
      <c r="H149" s="62" t="s">
        <v>2795</v>
      </c>
      <c r="I149" s="62" t="s">
        <v>2796</v>
      </c>
      <c r="J149" s="62" t="s">
        <v>271</v>
      </c>
    </row>
    <row r="150" spans="1:10" ht="15" x14ac:dyDescent="0.25">
      <c r="A150" s="40">
        <v>146</v>
      </c>
      <c r="B150" s="62" t="s">
        <v>2797</v>
      </c>
      <c r="C150" s="62" t="s">
        <v>5</v>
      </c>
      <c r="D150" s="62" t="s">
        <v>2373</v>
      </c>
      <c r="E150" s="62" t="s">
        <v>2374</v>
      </c>
      <c r="F150" s="62">
        <v>84.668599999999998</v>
      </c>
      <c r="G150" s="62">
        <v>86.971400000000003</v>
      </c>
      <c r="H150" s="62" t="s">
        <v>2719</v>
      </c>
      <c r="I150" s="62" t="s">
        <v>2798</v>
      </c>
      <c r="J150" s="62" t="s">
        <v>271</v>
      </c>
    </row>
    <row r="151" spans="1:10" ht="15" x14ac:dyDescent="0.25">
      <c r="A151" s="40">
        <v>147</v>
      </c>
      <c r="B151" s="62" t="s">
        <v>2799</v>
      </c>
      <c r="C151" s="62" t="s">
        <v>186</v>
      </c>
      <c r="D151" s="62" t="s">
        <v>2373</v>
      </c>
      <c r="E151" s="62" t="s">
        <v>2374</v>
      </c>
      <c r="F151" s="62">
        <v>80.851600000000005</v>
      </c>
      <c r="G151" s="62">
        <v>86.036600000000007</v>
      </c>
      <c r="H151" s="62" t="s">
        <v>2770</v>
      </c>
      <c r="I151" s="62" t="s">
        <v>2800</v>
      </c>
      <c r="J151" s="62" t="s">
        <v>271</v>
      </c>
    </row>
    <row r="152" spans="1:10" ht="15" x14ac:dyDescent="0.25">
      <c r="A152" s="40">
        <v>148</v>
      </c>
      <c r="B152" s="62" t="s">
        <v>2801</v>
      </c>
      <c r="C152" s="62" t="s">
        <v>188</v>
      </c>
      <c r="D152" s="62" t="s">
        <v>2373</v>
      </c>
      <c r="E152" s="62" t="s">
        <v>2374</v>
      </c>
      <c r="F152" s="62">
        <v>81.768299999999996</v>
      </c>
      <c r="G152" s="62">
        <v>87.257199999999997</v>
      </c>
      <c r="H152" s="62" t="s">
        <v>2478</v>
      </c>
      <c r="I152" s="62" t="s">
        <v>2802</v>
      </c>
      <c r="J152" s="62" t="s">
        <v>271</v>
      </c>
    </row>
    <row r="153" spans="1:10" ht="15" x14ac:dyDescent="0.25">
      <c r="A153" s="40">
        <v>149</v>
      </c>
      <c r="B153" s="62" t="s">
        <v>2803</v>
      </c>
      <c r="C153" s="62" t="s">
        <v>190</v>
      </c>
      <c r="D153" s="62" t="s">
        <v>2373</v>
      </c>
      <c r="E153" s="62" t="s">
        <v>2374</v>
      </c>
      <c r="F153" s="62">
        <v>76.442300000000003</v>
      </c>
      <c r="G153" s="62">
        <v>81.616600000000005</v>
      </c>
      <c r="H153" s="62" t="s">
        <v>2746</v>
      </c>
      <c r="I153" s="62" t="s">
        <v>2804</v>
      </c>
      <c r="J153" s="62" t="s">
        <v>271</v>
      </c>
    </row>
    <row r="154" spans="1:10" ht="15" x14ac:dyDescent="0.25">
      <c r="A154" s="40">
        <v>150</v>
      </c>
      <c r="B154" s="62" t="s">
        <v>2805</v>
      </c>
      <c r="C154" s="62" t="s">
        <v>192</v>
      </c>
      <c r="D154" s="62" t="s">
        <v>2373</v>
      </c>
      <c r="E154" s="62" t="s">
        <v>2374</v>
      </c>
      <c r="F154" s="62">
        <v>74.514099999999999</v>
      </c>
      <c r="G154" s="62">
        <v>74.834100000000007</v>
      </c>
      <c r="H154" s="62" t="s">
        <v>2491</v>
      </c>
      <c r="I154" s="62" t="s">
        <v>2806</v>
      </c>
      <c r="J154" s="62" t="s">
        <v>271</v>
      </c>
    </row>
    <row r="155" spans="1:10" ht="15" x14ac:dyDescent="0.25">
      <c r="A155" s="40">
        <v>151</v>
      </c>
      <c r="B155" s="62" t="s">
        <v>2807</v>
      </c>
      <c r="C155" s="62" t="s">
        <v>194</v>
      </c>
      <c r="D155" s="62" t="s">
        <v>2373</v>
      </c>
      <c r="E155" s="62" t="s">
        <v>2374</v>
      </c>
      <c r="F155" s="62">
        <v>72.356499999999997</v>
      </c>
      <c r="G155" s="62">
        <v>76.708500000000001</v>
      </c>
      <c r="H155" s="62" t="s">
        <v>2808</v>
      </c>
      <c r="I155" s="62" t="s">
        <v>2740</v>
      </c>
      <c r="J155" s="62" t="s">
        <v>271</v>
      </c>
    </row>
    <row r="156" spans="1:10" ht="15" x14ac:dyDescent="0.25">
      <c r="A156" s="40">
        <v>152</v>
      </c>
      <c r="B156" s="62" t="s">
        <v>2809</v>
      </c>
      <c r="C156" s="62" t="s">
        <v>196</v>
      </c>
      <c r="D156" s="62" t="s">
        <v>2373</v>
      </c>
      <c r="E156" s="62" t="s">
        <v>2374</v>
      </c>
      <c r="F156" s="62">
        <v>66.319599999999994</v>
      </c>
      <c r="G156" s="62">
        <v>69.783600000000007</v>
      </c>
      <c r="H156" s="62" t="s">
        <v>2494</v>
      </c>
      <c r="I156" s="62" t="s">
        <v>2810</v>
      </c>
      <c r="J156" s="62" t="s">
        <v>271</v>
      </c>
    </row>
    <row r="157" spans="1:10" ht="15" x14ac:dyDescent="0.25">
      <c r="A157" s="40">
        <v>153</v>
      </c>
      <c r="B157" s="62" t="s">
        <v>2811</v>
      </c>
      <c r="C157" s="62" t="s">
        <v>198</v>
      </c>
      <c r="D157" s="62" t="s">
        <v>2373</v>
      </c>
      <c r="E157" s="62" t="s">
        <v>2374</v>
      </c>
      <c r="F157" s="62">
        <v>65.399500000000003</v>
      </c>
      <c r="G157" s="62">
        <v>68.337000000000003</v>
      </c>
      <c r="H157" s="62" t="s">
        <v>2754</v>
      </c>
      <c r="I157" s="62" t="s">
        <v>2812</v>
      </c>
      <c r="J157" s="62" t="s">
        <v>271</v>
      </c>
    </row>
    <row r="158" spans="1:10" ht="15" x14ac:dyDescent="0.25">
      <c r="A158" s="40">
        <v>154</v>
      </c>
      <c r="B158" s="62" t="s">
        <v>2813</v>
      </c>
      <c r="C158" s="62" t="s">
        <v>200</v>
      </c>
      <c r="D158" s="62" t="s">
        <v>2373</v>
      </c>
      <c r="E158" s="62" t="s">
        <v>2374</v>
      </c>
      <c r="F158" s="62">
        <v>70.948599999999999</v>
      </c>
      <c r="G158" s="62">
        <v>71.038399999999996</v>
      </c>
      <c r="H158" s="62" t="s">
        <v>2439</v>
      </c>
      <c r="I158" s="62" t="s">
        <v>2814</v>
      </c>
      <c r="J158" s="62" t="s">
        <v>271</v>
      </c>
    </row>
    <row r="159" spans="1:10" ht="15" x14ac:dyDescent="0.25">
      <c r="A159" s="40">
        <v>155</v>
      </c>
      <c r="B159" s="62" t="s">
        <v>2815</v>
      </c>
      <c r="C159" s="62" t="s">
        <v>202</v>
      </c>
      <c r="D159" s="62" t="s">
        <v>2373</v>
      </c>
      <c r="E159" s="62" t="s">
        <v>2374</v>
      </c>
      <c r="F159" s="62">
        <v>71.671099999999996</v>
      </c>
      <c r="G159" s="62">
        <v>78.116900000000001</v>
      </c>
      <c r="H159" s="62" t="s">
        <v>2439</v>
      </c>
      <c r="I159" s="62" t="s">
        <v>2816</v>
      </c>
      <c r="J159" s="62" t="s">
        <v>271</v>
      </c>
    </row>
    <row r="160" spans="1:10" ht="15" x14ac:dyDescent="0.25">
      <c r="A160" s="40">
        <v>156</v>
      </c>
      <c r="B160" s="62" t="s">
        <v>2817</v>
      </c>
      <c r="C160" s="62" t="s">
        <v>204</v>
      </c>
      <c r="D160" s="62" t="s">
        <v>2373</v>
      </c>
      <c r="E160" s="62" t="s">
        <v>2374</v>
      </c>
      <c r="F160" s="62">
        <v>79.868399999999994</v>
      </c>
      <c r="G160" s="62">
        <v>84.417599999999993</v>
      </c>
      <c r="H160" s="62" t="s">
        <v>2478</v>
      </c>
      <c r="I160" s="62" t="s">
        <v>2818</v>
      </c>
      <c r="J160" s="62" t="s">
        <v>271</v>
      </c>
    </row>
    <row r="161" spans="1:10" ht="15" x14ac:dyDescent="0.25">
      <c r="A161" s="40">
        <v>157</v>
      </c>
      <c r="B161" s="62" t="s">
        <v>2819</v>
      </c>
      <c r="C161" s="62" t="s">
        <v>206</v>
      </c>
      <c r="D161" s="62" t="s">
        <v>2373</v>
      </c>
      <c r="E161" s="62" t="s">
        <v>2374</v>
      </c>
      <c r="F161" s="62">
        <v>75.588399999999993</v>
      </c>
      <c r="G161" s="62">
        <v>77.394000000000005</v>
      </c>
      <c r="H161" s="62" t="s">
        <v>2792</v>
      </c>
      <c r="I161" s="62" t="s">
        <v>2820</v>
      </c>
      <c r="J161" s="62" t="s">
        <v>271</v>
      </c>
    </row>
    <row r="162" spans="1:10" ht="15" x14ac:dyDescent="0.25">
      <c r="A162" s="40">
        <v>158</v>
      </c>
      <c r="B162" s="62" t="s">
        <v>2821</v>
      </c>
      <c r="C162" s="62" t="s">
        <v>208</v>
      </c>
      <c r="D162" s="62" t="s">
        <v>2373</v>
      </c>
      <c r="E162" s="62" t="s">
        <v>2374</v>
      </c>
      <c r="F162" s="62">
        <v>73.841800000000006</v>
      </c>
      <c r="G162" s="62">
        <v>79.005700000000004</v>
      </c>
      <c r="H162" s="62" t="s">
        <v>2462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2823</v>
      </c>
      <c r="C163" s="62" t="s">
        <v>210</v>
      </c>
      <c r="D163" s="62" t="s">
        <v>2373</v>
      </c>
      <c r="E163" s="62" t="s">
        <v>2374</v>
      </c>
      <c r="F163" s="62">
        <v>59.828899999999997</v>
      </c>
      <c r="G163" s="62">
        <v>60.488500000000002</v>
      </c>
      <c r="H163" s="62" t="s">
        <v>2776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2825</v>
      </c>
      <c r="C164" s="62" t="s">
        <v>212</v>
      </c>
      <c r="D164" s="62" t="s">
        <v>2373</v>
      </c>
      <c r="E164" s="62" t="s">
        <v>2374</v>
      </c>
      <c r="F164" s="62">
        <v>60.048200000000001</v>
      </c>
      <c r="G164" s="62">
        <v>64.808999999999997</v>
      </c>
      <c r="H164" s="62" t="s">
        <v>2439</v>
      </c>
      <c r="I164" s="62" t="s">
        <v>2826</v>
      </c>
      <c r="J164" s="62" t="s">
        <v>271</v>
      </c>
    </row>
    <row r="165" spans="1:10" ht="17.25" customHeight="1" x14ac:dyDescent="0.25">
      <c r="A165" s="15">
        <v>161</v>
      </c>
      <c r="B165" s="62" t="s">
        <v>2827</v>
      </c>
      <c r="C165" s="62" t="s">
        <v>214</v>
      </c>
      <c r="D165" s="62" t="s">
        <v>2373</v>
      </c>
      <c r="E165" s="62" t="s">
        <v>2374</v>
      </c>
      <c r="F165" s="62">
        <v>56.564399999999999</v>
      </c>
      <c r="G165" s="62">
        <v>58.458799999999997</v>
      </c>
      <c r="H165" s="62" t="s">
        <v>2493</v>
      </c>
      <c r="I165" s="62" t="s">
        <v>2828</v>
      </c>
      <c r="J165" s="62" t="s">
        <v>271</v>
      </c>
    </row>
    <row r="166" spans="1:10" ht="17.25" customHeight="1" x14ac:dyDescent="0.25">
      <c r="A166" s="15">
        <v>162</v>
      </c>
      <c r="B166" s="62" t="s">
        <v>2829</v>
      </c>
      <c r="C166" s="62" t="s">
        <v>12</v>
      </c>
      <c r="D166" s="62" t="s">
        <v>2373</v>
      </c>
      <c r="E166" s="62" t="s">
        <v>2374</v>
      </c>
      <c r="F166" s="62">
        <v>61.5334</v>
      </c>
      <c r="G166" s="62">
        <v>63.909599999999998</v>
      </c>
      <c r="H166" s="62" t="s">
        <v>2786</v>
      </c>
      <c r="I166" s="62" t="s">
        <v>2830</v>
      </c>
      <c r="J166" s="62" t="s">
        <v>271</v>
      </c>
    </row>
    <row r="167" spans="1:10" ht="17.25" customHeight="1" x14ac:dyDescent="0.25">
      <c r="A167" s="15">
        <v>163</v>
      </c>
      <c r="B167" s="62" t="s">
        <v>2831</v>
      </c>
      <c r="C167" s="62" t="s">
        <v>13</v>
      </c>
      <c r="D167" s="62" t="s">
        <v>2373</v>
      </c>
      <c r="E167" s="62" t="s">
        <v>2374</v>
      </c>
      <c r="F167" s="62">
        <v>60.123399999999997</v>
      </c>
      <c r="G167" s="62">
        <v>64.808499999999995</v>
      </c>
      <c r="H167" s="62" t="s">
        <v>2786</v>
      </c>
      <c r="I167" s="62" t="s">
        <v>2832</v>
      </c>
      <c r="J167" s="62" t="s">
        <v>271</v>
      </c>
    </row>
    <row r="168" spans="1:10" ht="17.25" customHeight="1" x14ac:dyDescent="0.25">
      <c r="A168" s="15">
        <v>164</v>
      </c>
      <c r="B168" s="62" t="s">
        <v>2833</v>
      </c>
      <c r="C168" s="62" t="s">
        <v>218</v>
      </c>
      <c r="D168" s="62" t="s">
        <v>2373</v>
      </c>
      <c r="E168" s="62" t="s">
        <v>2374</v>
      </c>
      <c r="F168" s="62">
        <v>53.983400000000003</v>
      </c>
      <c r="G168" s="62">
        <v>59.425600000000003</v>
      </c>
      <c r="H168" s="62" t="s">
        <v>2834</v>
      </c>
      <c r="I168" s="62" t="s">
        <v>2835</v>
      </c>
      <c r="J168" s="62" t="s">
        <v>271</v>
      </c>
    </row>
    <row r="169" spans="1:10" ht="17.25" customHeight="1" x14ac:dyDescent="0.25">
      <c r="A169" s="15">
        <v>165</v>
      </c>
      <c r="B169" s="62" t="s">
        <v>2836</v>
      </c>
      <c r="C169" s="62" t="s">
        <v>220</v>
      </c>
      <c r="D169" s="62" t="s">
        <v>2373</v>
      </c>
      <c r="E169" s="62" t="s">
        <v>2374</v>
      </c>
      <c r="F169" s="62">
        <v>55.868299999999998</v>
      </c>
      <c r="G169" s="62">
        <v>56.633699999999997</v>
      </c>
      <c r="H169" s="62" t="s">
        <v>2834</v>
      </c>
      <c r="I169" s="62" t="s">
        <v>2837</v>
      </c>
      <c r="J169" s="62" t="s">
        <v>271</v>
      </c>
    </row>
    <row r="170" spans="1:10" ht="17.25" customHeight="1" x14ac:dyDescent="0.25">
      <c r="A170" s="15">
        <v>166</v>
      </c>
      <c r="B170" s="62" t="s">
        <v>2838</v>
      </c>
      <c r="C170" s="62" t="s">
        <v>222</v>
      </c>
      <c r="D170" s="62" t="s">
        <v>2373</v>
      </c>
      <c r="E170" s="62" t="s">
        <v>2374</v>
      </c>
      <c r="F170" s="62">
        <v>55.329300000000003</v>
      </c>
      <c r="G170" s="62">
        <v>59.5608</v>
      </c>
      <c r="H170" s="62" t="s">
        <v>2839</v>
      </c>
      <c r="I170" s="62" t="s">
        <v>2840</v>
      </c>
      <c r="J170" s="62" t="s">
        <v>271</v>
      </c>
    </row>
    <row r="171" spans="1:10" ht="17.25" customHeight="1" x14ac:dyDescent="0.25">
      <c r="A171" s="15">
        <v>167</v>
      </c>
      <c r="B171" s="62" t="s">
        <v>2841</v>
      </c>
      <c r="C171" s="62" t="s">
        <v>224</v>
      </c>
      <c r="D171" s="62" t="s">
        <v>2373</v>
      </c>
      <c r="E171" s="62" t="s">
        <v>2374</v>
      </c>
      <c r="F171" s="62">
        <v>54.386899999999997</v>
      </c>
      <c r="G171" s="62">
        <v>62.364100000000001</v>
      </c>
      <c r="H171" s="62" t="s">
        <v>2842</v>
      </c>
      <c r="I171" s="62" t="s">
        <v>2843</v>
      </c>
      <c r="J171" s="62" t="s">
        <v>271</v>
      </c>
    </row>
    <row r="172" spans="1:10" ht="17.25" customHeight="1" x14ac:dyDescent="0.25">
      <c r="A172" s="15">
        <v>168</v>
      </c>
      <c r="B172" s="62" t="s">
        <v>2844</v>
      </c>
      <c r="C172" s="62" t="s">
        <v>2101</v>
      </c>
      <c r="D172" s="62" t="s">
        <v>2373</v>
      </c>
      <c r="E172" s="62" t="s">
        <v>2374</v>
      </c>
      <c r="F172" s="62">
        <v>100</v>
      </c>
      <c r="G172" s="62">
        <v>105.874</v>
      </c>
      <c r="H172" s="62" t="s">
        <v>2339</v>
      </c>
      <c r="I172" s="62" t="s">
        <v>2845</v>
      </c>
      <c r="J172" s="62" t="s">
        <v>271</v>
      </c>
    </row>
    <row r="173" spans="1:10" ht="17.25" customHeight="1" x14ac:dyDescent="0.25">
      <c r="A173" s="15">
        <v>169</v>
      </c>
      <c r="B173" s="62" t="s">
        <v>2846</v>
      </c>
      <c r="C173" s="62" t="s">
        <v>229</v>
      </c>
      <c r="D173" s="62" t="s">
        <v>2352</v>
      </c>
      <c r="E173" s="62" t="s">
        <v>2414</v>
      </c>
      <c r="F173" s="62">
        <v>100.1587</v>
      </c>
      <c r="G173" s="62">
        <v>107.199</v>
      </c>
      <c r="H173" s="62" t="s">
        <v>2477</v>
      </c>
      <c r="I173" s="62" t="s">
        <v>2847</v>
      </c>
      <c r="J173" s="62" t="s">
        <v>271</v>
      </c>
    </row>
    <row r="174" spans="1:10" ht="17.25" customHeight="1" x14ac:dyDescent="0.25">
      <c r="A174" s="15">
        <v>170</v>
      </c>
      <c r="B174" s="62" t="s">
        <v>2848</v>
      </c>
      <c r="C174" s="62" t="s">
        <v>2156</v>
      </c>
      <c r="D174" s="62" t="s">
        <v>2352</v>
      </c>
      <c r="E174" s="62" t="s">
        <v>2414</v>
      </c>
      <c r="F174" s="62">
        <v>99.963300000000004</v>
      </c>
      <c r="G174" s="62">
        <v>102.9272</v>
      </c>
      <c r="H174" s="62" t="s">
        <v>2415</v>
      </c>
      <c r="I174" s="62" t="s">
        <v>2849</v>
      </c>
      <c r="J174" s="62" t="s">
        <v>271</v>
      </c>
    </row>
    <row r="175" spans="1:10" ht="17.25" customHeight="1" x14ac:dyDescent="0.25">
      <c r="A175" s="15">
        <v>171</v>
      </c>
      <c r="B175" s="62" t="s">
        <v>2850</v>
      </c>
      <c r="C175" s="62" t="s">
        <v>2441</v>
      </c>
      <c r="D175" s="62" t="s">
        <v>2373</v>
      </c>
      <c r="E175" s="62" t="s">
        <v>2378</v>
      </c>
      <c r="F175" s="62">
        <v>99.195899999999995</v>
      </c>
      <c r="G175" s="62">
        <v>99.195899999999995</v>
      </c>
      <c r="H175" s="62" t="s">
        <v>2851</v>
      </c>
      <c r="I175" s="62" t="s">
        <v>2852</v>
      </c>
      <c r="J175" s="62" t="s">
        <v>271</v>
      </c>
    </row>
    <row r="176" spans="1:10" ht="17.25" customHeight="1" x14ac:dyDescent="0.25">
      <c r="A176" s="15">
        <v>172</v>
      </c>
      <c r="B176" s="62" t="s">
        <v>2853</v>
      </c>
      <c r="C176" s="62" t="s">
        <v>1589</v>
      </c>
      <c r="D176" s="62" t="s">
        <v>2352</v>
      </c>
      <c r="E176" s="62" t="s">
        <v>2379</v>
      </c>
      <c r="F176" s="63">
        <v>3417.69</v>
      </c>
      <c r="G176" s="63">
        <v>3417.69</v>
      </c>
      <c r="H176" s="62" t="s">
        <v>343</v>
      </c>
      <c r="I176" s="62" t="s">
        <v>2854</v>
      </c>
      <c r="J176" s="62" t="s">
        <v>2392</v>
      </c>
    </row>
    <row r="177" spans="1:10" ht="17.25" customHeight="1" x14ac:dyDescent="0.25">
      <c r="A177" s="15">
        <v>173</v>
      </c>
      <c r="B177" s="62" t="s">
        <v>2855</v>
      </c>
      <c r="C177" s="62" t="s">
        <v>431</v>
      </c>
      <c r="D177" s="62" t="s">
        <v>2352</v>
      </c>
      <c r="E177" s="62" t="s">
        <v>2380</v>
      </c>
      <c r="F177" s="62">
        <v>96.907600000000002</v>
      </c>
      <c r="G177" s="62">
        <v>97.574299999999994</v>
      </c>
      <c r="H177" s="62" t="s">
        <v>2856</v>
      </c>
      <c r="I177" s="62" t="s">
        <v>2857</v>
      </c>
      <c r="J177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039A9D1-995E-49E3-88C8-9BF319BB3A2B}"/>
    <hyperlink ref="E5" r:id="rId2" display="https://kase.kz/ru/listing/issuers/AIRA" xr:uid="{0FEC48EE-DD2F-467E-A0F3-181BDA4EA9DC}"/>
    <hyperlink ref="B6" r:id="rId3" display="https://kase.kz/ru/investors/depts/AIRAd" xr:uid="{42ECA283-B100-4337-9085-F54A38347F5C}"/>
    <hyperlink ref="E6" r:id="rId4" display="https://kase.kz/ru/listing/issuers/AIRA" xr:uid="{73353D3B-2BAB-4C42-9FE0-8E07672585F9}"/>
    <hyperlink ref="B7" r:id="rId5" display="https://kase.kz/ru/investors/shares/AKZM" xr:uid="{E8D0FC3D-5060-4BCC-8AFB-35F320A8A06D}"/>
    <hyperlink ref="E7" r:id="rId6" display="https://kase.kz/ru/listing/issuers/AKZM" xr:uid="{4F38F238-9185-443D-A338-163EA7A59F00}"/>
    <hyperlink ref="B8" r:id="rId7" display="https://kase.kz/ru/investors/bonds/ALMSb1" xr:uid="{66A0D263-DE7A-4334-85A4-69600DF66D65}"/>
    <hyperlink ref="E8" r:id="rId8" display="https://kase.kz/ru/listing/issuers/ALMS" xr:uid="{68D87468-4F7D-4E06-93A1-3F3E8B4D5650}"/>
    <hyperlink ref="B9" r:id="rId9" display="https://kase.kz/ru/investors/shares/ASBN" xr:uid="{A30C1BE9-DE29-40CA-B9B7-BD804AC41112}"/>
    <hyperlink ref="E9" r:id="rId10" display="https://kase.kz/ru/listing/issuers/ASBN" xr:uid="{BA5CF442-19C1-4F6B-BF08-1C317396D0AA}"/>
    <hyperlink ref="B10" r:id="rId11" display="https://kase.kz/ru/investors/bonds/ASKQb1" xr:uid="{BD803471-2F09-437F-9F27-9FAE065BF09D}"/>
    <hyperlink ref="E10" r:id="rId12" display="https://kase.kz/ru/listing/issuers/ASKQ" xr:uid="{128465D5-1698-40F3-AF08-D7708AA6EA46}"/>
    <hyperlink ref="B11" r:id="rId13" display="https://kase.kz/ru/investors/mifs/BCCIbe" xr:uid="{4D713711-B0C0-40D6-BA7C-02425FF0ECE5}"/>
    <hyperlink ref="E11" r:id="rId14" display="https://kase.kz/ru/listing/issuers/BCCI" xr:uid="{8B9681D9-1D4F-4DEA-BA4B-56A819C9A090}"/>
    <hyperlink ref="B12" r:id="rId15" display="https://kase.kz/ru/investors/mifs/BCCIrb" xr:uid="{089C4A7E-47D9-4BAA-A492-43560CF4B3A6}"/>
    <hyperlink ref="E12" r:id="rId16" display="https://kase.kz/ru/listing/issuers/BCCI" xr:uid="{488CEC86-3DD8-4C12-99CE-531EECE3C10F}"/>
    <hyperlink ref="B13" r:id="rId17" display="https://kase.kz/ru/investors/bonds/BIGDb5" xr:uid="{023A572B-2DA1-4999-9F04-5CA9B9A1A105}"/>
    <hyperlink ref="E13" r:id="rId18" display="https://kase.kz/ru/listing/issuers/BIGD" xr:uid="{00D5A247-F643-4E5E-A0E4-0A2F851F75EB}"/>
    <hyperlink ref="B14" r:id="rId19" display="https://kase.kz/ru/investors/bonds/BRKZe18" xr:uid="{46C9AC7C-BE81-4DB3-87EB-DC7C55AD23CB}"/>
    <hyperlink ref="E14" r:id="rId20" display="https://kase.kz/ru/listing/issuers/BRKZ" xr:uid="{99E88CB2-E357-4BD4-8909-B34F6C113CEF}"/>
    <hyperlink ref="B15" r:id="rId21" display="https://kase.kz/ru/investors/bonds/BRKZe4" xr:uid="{FECDAA05-0F27-4DCE-B1F2-D23A48928AE2}"/>
    <hyperlink ref="E15" r:id="rId22" display="https://kase.kz/ru/listing/issuers/BRKZ" xr:uid="{9AE005AD-0D52-45C4-8C6F-472AE91443E6}"/>
    <hyperlink ref="B16" r:id="rId23" display="https://kase.kz/ru/investors/bonds/BTRKe1" xr:uid="{FB905915-83E2-4828-B49D-C5DC66CFFF21}"/>
    <hyperlink ref="E16" r:id="rId24" display="https://kase.kz/ru/listing/issuers/BTRK" xr:uid="{484EF61A-50E7-42E9-BB43-F4BC036F1D1B}"/>
    <hyperlink ref="B17" r:id="rId25" display="https://kase.kz/ru/investors/shares/CCBN" xr:uid="{D20E7569-36E1-47E1-A4C1-947A60BB8ADB}"/>
    <hyperlink ref="E17" r:id="rId26" display="https://kase.kz/ru/listing/issuers/CCBN" xr:uid="{CED82A4A-DA4B-46C5-A324-13BF4B4FDDEC}"/>
    <hyperlink ref="B18" r:id="rId27" display="https://kase.kz/ru/investors/shares/CCBNp" xr:uid="{11364B11-7467-4953-8FFF-A9E7CEF83BD3}"/>
    <hyperlink ref="E18" r:id="rId28" display="https://kase.kz/ru/listing/issuers/CCBN" xr:uid="{D57D1B59-12CA-4D35-A97C-45DB5A7EEAC1}"/>
    <hyperlink ref="B19" r:id="rId29" display="https://kase.kz/ru/investors/mifs/CSECfe" xr:uid="{0B03FF58-98A4-4845-832F-1A4673041BB2}"/>
    <hyperlink ref="E19" r:id="rId30" display="https://kase.kz/ru/listing/issuers/CSEC" xr:uid="{B232B745-E94D-4B12-8156-8C4CFCAE1584}"/>
    <hyperlink ref="B20" r:id="rId31" display="https://kase.kz/ru/investors/mifs/CSECtf" xr:uid="{6A4DC3F1-09EE-4739-B14D-00B772377A61}"/>
    <hyperlink ref="E20" r:id="rId32" display="https://kase.kz/ru/listing/issuers/CSEC" xr:uid="{BD87ED35-0856-43A8-8B8C-ECC3388AF783}"/>
    <hyperlink ref="B21" r:id="rId33" display="https://kase.kz/ru/investors/bonds/EABRb40" xr:uid="{9D2E55F2-1F9F-4020-B737-1F6C5F5C516F}"/>
    <hyperlink ref="E21" r:id="rId34" display="https://kase.kz/ru/listing/issuers/EABR" xr:uid="{CEA84810-ECE5-4C2A-9500-6C9430A55021}"/>
    <hyperlink ref="B22" r:id="rId35" display="https://kase.kz/ru/investors/bonds/EABRb42" xr:uid="{6CB9E154-A296-43CF-A49D-982EBE35E96E}"/>
    <hyperlink ref="E22" r:id="rId36" display="https://kase.kz/ru/listing/issuers/EABR" xr:uid="{02546C90-F17E-49CD-936F-2D2BF048B85C}"/>
    <hyperlink ref="B23" r:id="rId37" display="https://kase.kz/ru/investors/bonds/EABRb53" xr:uid="{BA89B214-E1B8-4304-B853-8C1507F343D9}"/>
    <hyperlink ref="E23" r:id="rId38" display="https://kase.kz/ru/listing/issuers/EABR" xr:uid="{C144D72C-3975-49A9-8722-BBF42CCEC116}"/>
    <hyperlink ref="B24" r:id="rId39" display="https://kase.kz/ru/investors/mifs/FFIN_or" xr:uid="{77B13D9D-CF82-4CE0-954D-F756CB5BB312}"/>
    <hyperlink ref="E24" r:id="rId40" display="https://kase.kz/ru/listing/issuers/FFIN" xr:uid="{3D067715-400C-44A3-906C-10625CA7B8D2}"/>
    <hyperlink ref="B25" r:id="rId41" display="https://kase.kz/ru/investors/mifs/FFINgw" xr:uid="{F5C14E57-1DDC-43E1-8A27-3078BB0B2552}"/>
    <hyperlink ref="E25" r:id="rId42" display="https://kase.kz/ru/listing/issuers/FFIN" xr:uid="{2DB80056-5E45-4714-A650-8736BCFBFDB9}"/>
    <hyperlink ref="B26" r:id="rId43" display="https://kase.kz/ru/investors/mifs/FHJIag" xr:uid="{135D2318-BF58-4A24-8B45-9260AFA5966B}"/>
    <hyperlink ref="E26" r:id="rId44" display="https://kase.kz/ru/listing/issuers/FHJI" xr:uid="{918E1AE1-DDD3-4ED0-94AF-631B192315F0}"/>
    <hyperlink ref="B27" r:id="rId45" display="https://kase.kz/ru/investors/mifs/FHJIpc" xr:uid="{1EA51724-D4B0-4629-B522-60D31F15B617}"/>
    <hyperlink ref="E27" r:id="rId46" display="https://kase.kz/ru/listing/issuers/FHJI" xr:uid="{77301CCE-41DE-4409-82DC-F8EE963C245C}"/>
    <hyperlink ref="B28" r:id="rId47" display="https://kase.kz/ru/investors/bonds/HCBNb13" xr:uid="{02882F2A-8862-4BBB-B6BA-6031CB336DB9}"/>
    <hyperlink ref="E28" r:id="rId48" display="https://kase.kz/ru/listing/issuers/HCBN" xr:uid="{6EBFF691-CCAB-41C2-810A-D740170E1CEC}"/>
    <hyperlink ref="B29" r:id="rId49" display="https://kase.kz/ru/investors/mifs/HFINhl" xr:uid="{808C29A8-F1A0-4BEC-8CA6-E4D2EB7818FE}"/>
    <hyperlink ref="E29" r:id="rId50" display="https://kase.kz/ru/listing/issuers/HFIN" xr:uid="{AA90B68F-99FC-487F-AEBC-560C597B8E4D}"/>
    <hyperlink ref="B30" r:id="rId51" display="https://kase.kz/ru/investors/mifs/HFINhp" xr:uid="{18DE8E03-FE02-41BC-ABD7-60DF2758A392}"/>
    <hyperlink ref="E30" r:id="rId52" display="https://kase.kz/ru/listing/issuers/HFIN" xr:uid="{A7DCC8EC-10B8-457E-BBF2-468036C6BB07}"/>
    <hyperlink ref="B31" r:id="rId53" display="https://kase.kz/ru/investors/mifs/HFINhs" xr:uid="{251ADFB8-1C54-46DE-A054-1C5734D9495E}"/>
    <hyperlink ref="E31" r:id="rId54" display="https://kase.kz/ru/listing/issuers/HFIN" xr:uid="{83D100AC-DCCF-47F7-BC4A-094C179BD10C}"/>
    <hyperlink ref="B32" r:id="rId55" display="https://kase.kz/ru/investors/mifs/HFINhv" xr:uid="{FBF0C36E-E785-40CC-A59D-E6E144883AEF}"/>
    <hyperlink ref="E32" r:id="rId56" display="https://kase.kz/ru/listing/issuers/HFIN" xr:uid="{05BBF1A9-A357-4B16-A623-208DD01C01C7}"/>
    <hyperlink ref="B33" r:id="rId57" display="https://kase.kz/ru/investors/shares/HSBK" xr:uid="{354F88F5-37F8-435E-BB68-F7B31CD9A499}"/>
    <hyperlink ref="E33" r:id="rId58" display="https://kase.kz/ru/listing/issuers/HSBK" xr:uid="{9FF6C10F-8A51-4ABC-9D60-D600FD0C5D43}"/>
    <hyperlink ref="B34" r:id="rId59" display="https://kase.kz/ru/investors/depts/HSBKd" xr:uid="{DC2EAB30-1F01-4CE7-A1EA-CFDF13E8F6F3}"/>
    <hyperlink ref="E34" r:id="rId60" display="https://kase.kz/ru/listing/issuers/HSBK" xr:uid="{16E1EB38-C699-4173-B941-B9DA1F7108B1}"/>
    <hyperlink ref="B35" r:id="rId61" display="https://kase.kz/ru/investors/shares/IFDR" xr:uid="{4FC88FB4-AFCB-4DD1-A50B-3019FB21C0C0}"/>
    <hyperlink ref="E35" r:id="rId62" display="https://kase.kz/ru/listing/issuers/TCIB" xr:uid="{F65F3E47-F8BE-4339-BECE-491BB7025E26}"/>
    <hyperlink ref="B36" r:id="rId63" display="https://kase.kz/ru/investors/shares/KCEL" xr:uid="{7ED0A0BA-F8BB-4FAC-A38B-9865D9D9BB21}"/>
    <hyperlink ref="E36" r:id="rId64" display="https://kase.kz/ru/listing/issuers/KCEL" xr:uid="{BF1FE8A7-326A-469A-957A-61DB0B0425D7}"/>
    <hyperlink ref="B37" r:id="rId65" display="https://kase.kz/ru/investors/shares/KEGC" xr:uid="{A85119AF-7299-4474-A63F-740E7E991C8B}"/>
    <hyperlink ref="E37" r:id="rId66" display="https://kase.kz/ru/listing/issuers/KEGC" xr:uid="{449C9E85-50BD-4C8D-B5A9-120917846423}"/>
    <hyperlink ref="B38" r:id="rId67" display="https://kase.kz/ru/investors/bonds/KFUSb45" xr:uid="{2F656EB2-2269-42DE-9FD9-61636B04AC48}"/>
    <hyperlink ref="E38" r:id="rId68" display="https://kase.kz/ru/listing/issuers/KFUS" xr:uid="{348013B3-D122-49C3-8C1A-DCE2C8657E9E}"/>
    <hyperlink ref="B39" r:id="rId69" display="https://kase.kz/ru/investors/shares/KMGZ" xr:uid="{87831DA9-AEF7-48A3-9C68-97EFA728DE95}"/>
    <hyperlink ref="E39" r:id="rId70" display="https://kase.kz/ru/listing/issuers/KMGZ" xr:uid="{29A0D9D3-04C4-4A77-82EC-E3E715A3D589}"/>
    <hyperlink ref="B40" r:id="rId71" display="https://kase.kz/ru/investors/bonds/KMGZe12" xr:uid="{A092D2DF-7C04-42C1-8464-6F7120948415}"/>
    <hyperlink ref="E40" r:id="rId72" display="https://kase.kz/ru/listing/issuers/KMGZ" xr:uid="{D752A3B1-6DFB-4E97-A84D-1A03FB0367E6}"/>
    <hyperlink ref="B41" r:id="rId73" display="https://kase.kz/ru/investors/bonds/KMGZe14" xr:uid="{3A1933F3-B3F5-4515-A70E-A12C4EB63A3C}"/>
    <hyperlink ref="E41" r:id="rId74" display="https://kase.kz/ru/listing/issuers/KMGZ" xr:uid="{7825C220-F25C-49CD-B54C-59782218D331}"/>
    <hyperlink ref="B42" r:id="rId75" display="https://kase.kz/ru/investors/bonds/KMGZe15" xr:uid="{8D92356C-0248-42A1-956C-5A3C81554187}"/>
    <hyperlink ref="E42" r:id="rId76" display="https://kase.kz/ru/listing/issuers/KMGZ" xr:uid="{41896B18-E0B9-4D47-B7E3-E7EDB4157CD9}"/>
    <hyperlink ref="B43" r:id="rId77" display="https://kase.kz/ru/investors/bonds/KMGZe16" xr:uid="{6F9325AE-23A0-4C61-A6D3-2354E4C5E89D}"/>
    <hyperlink ref="E43" r:id="rId78" display="https://kase.kz/ru/listing/issuers/KMGZ" xr:uid="{FB947FC3-EED9-4E44-9447-B23DBA3D081F}"/>
    <hyperlink ref="B44" r:id="rId79" display="https://kase.kz/ru/investors/shares/KSPI" xr:uid="{6B8E7956-17C0-4018-9666-0CCB07317920}"/>
    <hyperlink ref="E44" r:id="rId80" display="https://kase.kz/ru/listing/issuers/KSPI" xr:uid="{D2FF0548-5A22-4ECD-ADDB-5A61A83CCB91}"/>
    <hyperlink ref="B45" r:id="rId81" display="https://kase.kz/ru/investors/depts/KSPId" xr:uid="{CBC791A1-C5CF-4934-877F-DFDB2E6690AA}"/>
    <hyperlink ref="E45" r:id="rId82" display="https://kase.kz/ru/listing/issuers/KSPI" xr:uid="{C5784DAC-ED73-4A67-B199-1C1927DCDB0A}"/>
    <hyperlink ref="B46" r:id="rId83" display="https://kase.kz/ru/investors/shares/KZAP" xr:uid="{30CEDB55-7BB8-42C6-A330-AA0DF36732AE}"/>
    <hyperlink ref="E46" r:id="rId84" display="https://kase.kz/ru/listing/issuers/KZAP" xr:uid="{589AEBE8-17E4-457B-8455-885584889786}"/>
    <hyperlink ref="B47" r:id="rId85" display="https://kase.kz/ru/investors/bonds/KZTCb3" xr:uid="{F398CD01-2374-4A4D-8668-A08DC20E448C}"/>
    <hyperlink ref="E47" r:id="rId86" display="https://kase.kz/ru/listing/issuers/KZTC" xr:uid="{33DD6C50-1F59-4AE5-AC8B-61691381B7EB}"/>
    <hyperlink ref="B48" r:id="rId87" display="https://kase.kz/ru/investors/shares/KZTK" xr:uid="{EC647557-F755-4EFC-9BF5-010EC6AF22EC}"/>
    <hyperlink ref="E48" r:id="rId88" display="https://kase.kz/ru/listing/issuers/KZTK" xr:uid="{96F92446-6373-4526-B6AE-1971451AD82B}"/>
    <hyperlink ref="B49" r:id="rId89" display="https://kase.kz/ru/investors/shares/KZTKp" xr:uid="{37BFE615-1A03-4C29-9350-34753346A9F0}"/>
    <hyperlink ref="E49" r:id="rId90" display="https://kase.kz/ru/listing/issuers/KZTK" xr:uid="{3ACBCD9F-CAF6-4DDE-89C5-0E8B464AC696}"/>
    <hyperlink ref="B50" r:id="rId91" display="https://kase.kz/ru/investors/shares/KZTO" xr:uid="{BDDFD05C-979C-4923-97D5-CF8E801A7FE7}"/>
    <hyperlink ref="E50" r:id="rId92" display="https://kase.kz/ru/listing/issuers/KZTO" xr:uid="{4DFEBA54-DBFF-4660-BE82-E53720955BFD}"/>
    <hyperlink ref="B51" r:id="rId93" display="https://kase.kz/ru/investors/gsecs/KZ_23_3504" xr:uid="{9656F001-B321-458E-B91F-007D42024E9A}"/>
    <hyperlink ref="E51" r:id="rId94" display="https://kase.kz/ru/listing/issuers/MFRK" xr:uid="{ADF1180A-E08F-4D39-924A-A6B45D00907D}"/>
    <hyperlink ref="B52" r:id="rId95" display="https://kase.kz/ru/investors/bonds/MFKTb4" xr:uid="{931EA775-E581-4FFC-A92C-988D34BB5F6C}"/>
    <hyperlink ref="E52" r:id="rId96" display="https://kase.kz/ru/listing/issuers/MFKT" xr:uid="{45CB3494-EC0A-45D6-B79A-F48168475AEC}"/>
    <hyperlink ref="B53" r:id="rId97" display="https://kase.kz/ru/investors/bonds/MFMCb2" xr:uid="{CA37DEF7-1F07-4CBF-8122-F443F9644AE6}"/>
    <hyperlink ref="E53" r:id="rId98" display="https://kase.kz/ru/listing/issuers/MFMC" xr:uid="{026F5747-895B-4071-92B4-B3EA3E08C78E}"/>
    <hyperlink ref="B54" r:id="rId99" display="https://kase.kz/ru/investors/bonds/MFMOb10" xr:uid="{94C22248-2C8A-4CF2-A5A6-159C15406F9C}"/>
    <hyperlink ref="E54" r:id="rId100" display="https://kase.kz/ru/listing/issuers/MFMO" xr:uid="{4EB38C2F-389A-4B2E-8F23-1F7C75526A73}"/>
    <hyperlink ref="B55" r:id="rId101" display="https://kase.kz/ru/investors/bonds/MFMOb17" xr:uid="{F4BADBBD-D01A-475F-9FEB-EB6E589A0243}"/>
    <hyperlink ref="E55" r:id="rId102" display="https://kase.kz/ru/listing/issuers/MFMO" xr:uid="{22DF7976-946F-4A7E-8EA9-9A943C27B4A8}"/>
    <hyperlink ref="B56" r:id="rId103" display="https://kase.kz/ru/investors/bonds/MFMOb23" xr:uid="{71B6BD74-0021-4343-9CD0-E8C771279C25}"/>
    <hyperlink ref="E56" r:id="rId104" display="https://kase.kz/ru/listing/issuers/MFMO" xr:uid="{8D90FC23-991E-4E26-A4D8-E0642BA4AA28}"/>
    <hyperlink ref="B57" r:id="rId105" display="https://kase.kz/ru/investors/bonds/MFMOb25" xr:uid="{9A487BF3-5F87-4E0B-BF6F-5100E6664649}"/>
    <hyperlink ref="E57" r:id="rId106" display="https://kase.kz/ru/listing/issuers/MFMO" xr:uid="{115CE5D4-CC2C-4117-8CEF-753FC87E09BA}"/>
    <hyperlink ref="B58" r:id="rId107" display="https://kase.kz/ru/investors/bonds/MFMOb26" xr:uid="{DB497185-70BB-465F-A9AD-3DDAF87DA513}"/>
    <hyperlink ref="E58" r:id="rId108" display="https://kase.kz/ru/listing/issuers/MFMO" xr:uid="{36AE9BDC-D338-40D0-B668-9664A36396D8}"/>
    <hyperlink ref="B59" r:id="rId109" display="https://kase.kz/ru/investors/bonds/MFMOb27" xr:uid="{E6105DC7-B033-426C-B16E-496905116752}"/>
    <hyperlink ref="E59" r:id="rId110" display="https://kase.kz/ru/listing/issuers/MFMO" xr:uid="{11DF6D85-8378-4D91-9D96-0585C0BF20E8}"/>
    <hyperlink ref="B60" r:id="rId111" display="https://kase.kz/ru/investors/bonds/MFMOb28" xr:uid="{514CE9D7-7BC9-40EA-BAEA-1086B3EB8F5D}"/>
    <hyperlink ref="E60" r:id="rId112" display="https://kase.kz/ru/listing/issuers/MFMO" xr:uid="{891B69B8-A2C9-4545-B55C-E2FF546DF6B3}"/>
    <hyperlink ref="B61" r:id="rId113" display="https://kase.kz/ru/investors/bonds/MFOKb16" xr:uid="{1247A294-4B29-4170-A988-AE974F17A3CE}"/>
    <hyperlink ref="E61" r:id="rId114" display="https://kase.kz/ru/listing/issuers/MFOK" xr:uid="{AE6DC324-6AD3-43C6-80B7-8C66E10D7207}"/>
    <hyperlink ref="B62" r:id="rId115" display="https://kase.kz/ru/investors/bonds/MFOKb18" xr:uid="{6F2A471C-3534-4DA3-8490-FC272B00F902}"/>
    <hyperlink ref="E62" r:id="rId116" display="https://kase.kz/ru/listing/issuers/MFOK" xr:uid="{F44BF0CE-DF3E-45EC-A912-724A3CD9CE2F}"/>
    <hyperlink ref="B63" r:id="rId117" display="https://kase.kz/ru/investors/bonds/MFOKb19" xr:uid="{F9604195-C2D2-4B4F-9DAC-12FA312FDF65}"/>
    <hyperlink ref="E63" r:id="rId118" display="https://kase.kz/ru/listing/issuers/MFOK" xr:uid="{C68EE9AD-2DD9-4123-AF1F-C9B197ADDF9C}"/>
    <hyperlink ref="B64" r:id="rId119" display="https://kase.kz/ru/investors/bonds/MFOKb20" xr:uid="{BC041D1E-D09C-4809-B683-6D5DF6421206}"/>
    <hyperlink ref="E64" r:id="rId120" display="https://kase.kz/ru/listing/issuers/MFOK" xr:uid="{5A5862D1-8DA0-40B5-B8C6-E5F9246B14E4}"/>
    <hyperlink ref="B65" r:id="rId121" display="https://kase.kz/ru/investors/bonds/MFOKb21" xr:uid="{F2F0CC59-23C9-4301-BDD0-DAA5FF812C54}"/>
    <hyperlink ref="E65" r:id="rId122" display="https://kase.kz/ru/listing/issuers/MFOK" xr:uid="{C0AD63E6-33E5-4CAF-8111-899A306928F8}"/>
    <hyperlink ref="B66" r:id="rId123" display="https://kase.kz/ru/investors/bonds/MFOKb22" xr:uid="{EC2C8420-935B-49CE-A857-8DCA7C7FD1BB}"/>
    <hyperlink ref="E66" r:id="rId124" display="https://kase.kz/ru/listing/issuers/MFOK" xr:uid="{7A6BAF98-E2F0-48AF-8E3C-E535CE66E08B}"/>
    <hyperlink ref="B67" r:id="rId125" display="https://kase.kz/ru/investors/bonds/MFOKb24" xr:uid="{4DDEB4A3-2AE7-4DFF-BBDC-86987641D27C}"/>
    <hyperlink ref="E67" r:id="rId126" display="https://kase.kz/ru/listing/issuers/MFOK" xr:uid="{52878F51-4CD5-4242-A0FB-4ABB5D49A638}"/>
    <hyperlink ref="B68" r:id="rId127" display="https://kase.kz/ru/investors/bonds/MFOKb25" xr:uid="{6DEE6668-2ED1-4A2A-BF5E-86A1C6A6730E}"/>
    <hyperlink ref="E68" r:id="rId128" display="https://kase.kz/ru/listing/issuers/MFOK" xr:uid="{DC525918-4D45-4905-8506-5121AECB6B04}"/>
    <hyperlink ref="B69" r:id="rId129" display="https://kase.kz/ru/investors/bonds/MFOKb26" xr:uid="{741C7F14-10C5-40BE-AB1D-73B543B4442C}"/>
    <hyperlink ref="E69" r:id="rId130" display="https://kase.kz/ru/listing/issuers/MFOK" xr:uid="{33427A29-15AB-4F52-8075-16CD44261A88}"/>
    <hyperlink ref="B70" r:id="rId131" display="https://kase.kz/ru/investors/bonds/MFRFb12" xr:uid="{1C6863F8-91E1-46EC-A673-9E7A9B5C16EA}"/>
    <hyperlink ref="E70" r:id="rId132" display="https://kase.kz/ru/listing/issuers/MFRF" xr:uid="{091F62D6-F26E-4B7D-B719-C5904A1CFC07}"/>
    <hyperlink ref="B71" r:id="rId133" display="https://kase.kz/ru/investors/bonds/MFRFb13" xr:uid="{19391B0B-07C6-4658-B66B-5F215260E629}"/>
    <hyperlink ref="E71" r:id="rId134" display="https://kase.kz/ru/listing/issuers/MFRF" xr:uid="{EEB26BC6-08EC-405D-BB6F-DA2C03A26DE1}"/>
    <hyperlink ref="B72" r:id="rId135" display="https://kase.kz/ru/investors/bonds/MFRFb14" xr:uid="{5781C120-9FFD-4C36-8A67-DCD91AAFF5D6}"/>
    <hyperlink ref="E72" r:id="rId136" display="https://kase.kz/ru/listing/issuers/MFRF" xr:uid="{C8F03AFD-F8AE-44EA-ACC5-058CE8849307}"/>
    <hyperlink ref="B73" r:id="rId137" display="https://kase.kz/ru/investors/bonds/MFRFb16" xr:uid="{FF302BCD-6046-402F-84E6-189F7F7EABAA}"/>
    <hyperlink ref="E73" r:id="rId138" display="https://kase.kz/ru/listing/issuers/MFRF" xr:uid="{6FEACDCA-E162-40FD-B5B3-BE0CD76B0EC5}"/>
    <hyperlink ref="B74" r:id="rId139" display="https://kase.kz/ru/investors/bonds/MFRFb18" xr:uid="{36656C1D-5D9D-4DB8-90A0-FC5C59209DAC}"/>
    <hyperlink ref="E74" r:id="rId140" display="https://kase.kz/ru/listing/issuers/MFRF" xr:uid="{E4C67365-AA14-4BFE-88C4-597491C7A52C}"/>
    <hyperlink ref="B75" r:id="rId141" display="https://kase.kz/ru/investors/bonds/MFRFb19" xr:uid="{C7E5E085-080A-4E5E-9F9A-8F23E03CA0D7}"/>
    <hyperlink ref="E75" r:id="rId142" display="https://kase.kz/ru/listing/issuers/MFRF" xr:uid="{521234F8-7F24-4022-BCFE-83A6205712C4}"/>
    <hyperlink ref="B76" r:id="rId143" display="https://kase.kz/ru/investors/bonds/MFRFb21" xr:uid="{68AB94BE-3FB3-434F-90A4-E3AACF0D8289}"/>
    <hyperlink ref="E76" r:id="rId144" display="https://kase.kz/ru/listing/issuers/MFRF" xr:uid="{AACAB358-AEAB-4A09-9C13-8FED30AFAFC4}"/>
    <hyperlink ref="B77" r:id="rId145" display="https://kase.kz/ru/investors/bonds/MFSLb11" xr:uid="{DDC4922D-C935-4B2D-B6D3-22663B5D13D4}"/>
    <hyperlink ref="E77" r:id="rId146" display="https://kase.kz/ru/listing/issuers/MFSL" xr:uid="{5B2777B2-DC54-4BFA-82C2-0EB9F2A88FB0}"/>
    <hyperlink ref="B78" r:id="rId147" display="https://kase.kz/ru/investors/gsecs/MKM012_0159" xr:uid="{C02B8AAF-EC39-42BB-AEF4-41541E68B558}"/>
    <hyperlink ref="E78" r:id="rId148" display="https://kase.kz/ru/listing/issuers/MFRK" xr:uid="{EB49711F-9272-4AC7-A78C-8DCD657B6CFC}"/>
    <hyperlink ref="B79" r:id="rId149" display="https://kase.kz/ru/investors/gsecs/MKM012_0160" xr:uid="{1C0E90C4-679D-4171-ACA2-A60FD9920470}"/>
    <hyperlink ref="E79" r:id="rId150" display="https://kase.kz/ru/listing/issuers/MFRK" xr:uid="{772F8618-EFAC-4E6D-9030-ACDC92EF70B3}"/>
    <hyperlink ref="B80" r:id="rId151" display="https://kase.kz/ru/investors/gsecs/MKM012_0161" xr:uid="{365C1CD2-E7F2-4E48-9497-53A2616543B8}"/>
    <hyperlink ref="E80" r:id="rId152" display="https://kase.kz/ru/listing/issuers/MFRK" xr:uid="{5B3ABBAF-858C-46B1-8236-D9BB209B7CBD}"/>
    <hyperlink ref="B81" r:id="rId153" display="https://kase.kz/ru/investors/gsecs/MOM048_0052" xr:uid="{176C382D-C23D-4CEB-9504-373A7B30C2AD}"/>
    <hyperlink ref="E81" r:id="rId154" display="https://kase.kz/ru/listing/issuers/MFRK" xr:uid="{AABEE8DF-EB19-45F4-989D-21B34BA6969B}"/>
    <hyperlink ref="B82" r:id="rId155" display="https://kase.kz/ru/investors/gsecs/MOM048_0053" xr:uid="{D86F3CA5-F249-493C-9C15-608CA9B7482B}"/>
    <hyperlink ref="E82" r:id="rId156" display="https://kase.kz/ru/listing/issuers/MFRK" xr:uid="{D2C96E99-2EF4-4600-978A-25E791C937D2}"/>
    <hyperlink ref="B83" r:id="rId157" display="https://kase.kz/ru/investors/gsecs/MOM048_0054" xr:uid="{425956C7-EF94-4908-B263-71B2EFD7D5E4}"/>
    <hyperlink ref="E83" r:id="rId158" display="https://kase.kz/ru/listing/issuers/MFRK" xr:uid="{A777F0DA-6689-48BA-8715-C77E5C48C7F5}"/>
    <hyperlink ref="B84" r:id="rId159" display="https://kase.kz/ru/investors/gsecs/MOM048_0056" xr:uid="{7FB25E07-62C5-43F1-A289-58BB288C5A58}"/>
    <hyperlink ref="E84" r:id="rId160" display="https://kase.kz/ru/listing/issuers/MFRK" xr:uid="{934DEEBF-E91A-47C6-9126-4550B15782F0}"/>
    <hyperlink ref="B85" r:id="rId161" display="https://kase.kz/ru/investors/gsecs/MOM060_0052" xr:uid="{69152FBE-76AC-413A-BCB9-38FC99CAB29E}"/>
    <hyperlink ref="E85" r:id="rId162" display="https://kase.kz/ru/listing/issuers/MFRK" xr:uid="{5C2A3863-8E5F-4E90-8910-51524AA215FC}"/>
    <hyperlink ref="B86" r:id="rId163" display="https://kase.kz/ru/investors/gsecs/MOM060_0054" xr:uid="{A44EA5FE-4337-4674-BA75-10B9FDCED314}"/>
    <hyperlink ref="E86" r:id="rId164" display="https://kase.kz/ru/listing/issuers/MFRK" xr:uid="{BA6C098F-EB81-43CD-86E8-72C9228D8703}"/>
    <hyperlink ref="B87" r:id="rId165" display="https://kase.kz/ru/investors/gsecs/MTC048_0001" xr:uid="{221E68A5-326A-45A1-91BE-AC7C9D0BE0C0}"/>
    <hyperlink ref="E87" r:id="rId166" display="https://kase.kz/ru/listing/issuers/MFRK" xr:uid="{55D4473B-CF5A-4BB7-A867-2E3F054D8503}"/>
    <hyperlink ref="B88" r:id="rId167" display="https://kase.kz/ru/investors/gsecs/MTM048_0001" xr:uid="{8A2ED316-EA37-4F11-B929-07104BE904D2}"/>
    <hyperlink ref="E88" r:id="rId168" display="https://kase.kz/ru/listing/issuers/MFRK" xr:uid="{5B77EF2A-408F-4E38-9539-F7D71F24FBC2}"/>
    <hyperlink ref="B89" r:id="rId169" display="https://kase.kz/ru/investors/gsecs/MTM060_0001" xr:uid="{1F7B0530-19FF-4B80-B1EE-FEBFF5B4A9CC}"/>
    <hyperlink ref="E89" r:id="rId170" display="https://kase.kz/ru/listing/issuers/MFRK" xr:uid="{0A836968-3A2B-43F4-9AAC-1934C7DBECF2}"/>
    <hyperlink ref="B90" r:id="rId171" display="https://kase.kz/ru/investors/gsecs/MTM072_0001" xr:uid="{7BA35BBF-82BD-4F6C-9C21-339699AAC4FF}"/>
    <hyperlink ref="E90" r:id="rId172" display="https://kase.kz/ru/listing/issuers/MFRK" xr:uid="{DE7B4897-890B-4635-B1E7-7A55F4651383}"/>
    <hyperlink ref="B91" r:id="rId173" display="https://kase.kz/ru/investors/gsecs/MTM084_0001" xr:uid="{0D9BF523-6223-4E6D-B590-49D06E646A2D}"/>
    <hyperlink ref="E91" r:id="rId174" display="https://kase.kz/ru/listing/issuers/MFRK" xr:uid="{58D8D96E-0145-44CB-BD7D-E2CE25007C55}"/>
    <hyperlink ref="B92" r:id="rId175" display="https://kase.kz/ru/investors/gsecs/MTM096_0001" xr:uid="{32CDA6E9-F782-4452-AD7C-43D29547A5D1}"/>
    <hyperlink ref="E92" r:id="rId176" display="https://kase.kz/ru/listing/issuers/MFRK" xr:uid="{6C84C75E-C733-4244-A673-590F62D7D83B}"/>
    <hyperlink ref="B93" r:id="rId177" display="https://kase.kz/ru/investors/gsecs/MUJ144_0005" xr:uid="{77AF0BDC-8F08-4529-A52B-F211E4AFD632}"/>
    <hyperlink ref="E93" r:id="rId178" display="https://kase.kz/ru/listing/issuers/MFRK" xr:uid="{5DC75B42-655A-433D-B3B8-8522CBDE9548}"/>
    <hyperlink ref="B94" r:id="rId179" display="https://kase.kz/ru/investors/gsecs/MUJ156_0004" xr:uid="{D2898AF3-660B-44E3-9BFF-294631CD10F6}"/>
    <hyperlink ref="E94" r:id="rId180" display="https://kase.kz/ru/listing/issuers/MFRK" xr:uid="{033964EC-652B-4E32-B4DC-E106FCB92894}"/>
    <hyperlink ref="B95" r:id="rId181" display="https://kase.kz/ru/investors/gsecs/MUJ168_0004" xr:uid="{10651E63-52FD-4695-B6CE-6DD396AE1DB8}"/>
    <hyperlink ref="E95" r:id="rId182" display="https://kase.kz/ru/listing/issuers/MFRK" xr:uid="{9F50CB95-36BE-4CAC-A9AB-87353732694A}"/>
    <hyperlink ref="B96" r:id="rId183" display="https://kase.kz/ru/investors/gsecs/MUJ168_0005" xr:uid="{A594B15D-B3B8-4FD4-8AB7-B31F9CFC81F2}"/>
    <hyperlink ref="E96" r:id="rId184" display="https://kase.kz/ru/listing/issuers/MFRK" xr:uid="{930DF509-D581-4EF7-8562-4E279B8FEB88}"/>
    <hyperlink ref="B97" r:id="rId185" display="https://kase.kz/ru/investors/gsecs/MUJ180_0007" xr:uid="{200BE4B0-8F04-443B-B31E-E29224AEF0C4}"/>
    <hyperlink ref="E97" r:id="rId186" display="https://kase.kz/ru/listing/issuers/MFRK" xr:uid="{ACBA5DCA-2F20-432F-BF61-242987525786}"/>
    <hyperlink ref="B98" r:id="rId187" display="https://kase.kz/ru/investors/gsecs/MUJ180_0008" xr:uid="{ACA19CE1-4AD4-4182-83B3-5A5B8CF21252}"/>
    <hyperlink ref="E98" r:id="rId188" display="https://kase.kz/ru/listing/issuers/MFRK" xr:uid="{4400CE14-76B0-431F-AFFE-9353B67D9B3B}"/>
    <hyperlink ref="B99" r:id="rId189" display="https://kase.kz/ru/investors/gsecs/MUJ192_0002" xr:uid="{E5BBCE97-2592-42C8-B22C-4167FBBA99DE}"/>
    <hyperlink ref="E99" r:id="rId190" display="https://kase.kz/ru/listing/issuers/MFRK" xr:uid="{43C9DC8F-1454-41DD-A41B-F6C2006EB1BB}"/>
    <hyperlink ref="B100" r:id="rId191" display="https://kase.kz/ru/investors/gsecs/MUJ192_0003" xr:uid="{4C9BFD2B-544B-4FFF-BB45-8B81DE82A547}"/>
    <hyperlink ref="E100" r:id="rId192" display="https://kase.kz/ru/listing/issuers/MFRK" xr:uid="{1F2D9507-F362-4ABB-BF3B-A242BA5A904A}"/>
    <hyperlink ref="B101" r:id="rId193" display="https://kase.kz/ru/investors/gsecs/MUJ192_0004" xr:uid="{1B936604-FED9-4214-9FB8-B646885014F9}"/>
    <hyperlink ref="E101" r:id="rId194" display="https://kase.kz/ru/listing/issuers/MFRK" xr:uid="{61D3834F-B234-4D59-A75C-E1DC2CC9D3CF}"/>
    <hyperlink ref="B102" r:id="rId195" display="https://kase.kz/ru/investors/gsecs/MUJ204_0001" xr:uid="{5BA14AA1-BA20-4D97-827B-FE68E385E57C}"/>
    <hyperlink ref="E102" r:id="rId196" display="https://kase.kz/ru/listing/issuers/MFRK" xr:uid="{7A80D2CF-C8EF-4562-9DA0-6FBEB69D120E}"/>
    <hyperlink ref="B103" r:id="rId197" display="https://kase.kz/ru/investors/gsecs/MUJ204_0002" xr:uid="{EDCA5BBA-754F-406E-8200-EA31464857B7}"/>
    <hyperlink ref="E103" r:id="rId198" display="https://kase.kz/ru/listing/issuers/MFRK" xr:uid="{0EC037DC-DA95-43CF-B537-5D2E2B2EAD16}"/>
    <hyperlink ref="B104" r:id="rId199" display="https://kase.kz/ru/investors/gsecs/MUJ204_0003" xr:uid="{71C20A8B-58CE-405A-A9A3-E8D2F1C69151}"/>
    <hyperlink ref="E104" r:id="rId200" display="https://kase.kz/ru/listing/issuers/MFRK" xr:uid="{E1EE6F49-A826-4C0D-9885-5672C9BE90F7}"/>
    <hyperlink ref="B105" r:id="rId201" display="https://kase.kz/ru/investors/gsecs/MUJ204_0004" xr:uid="{41E3B917-EF5F-4C7C-BB6F-65BE53EADCF6}"/>
    <hyperlink ref="E105" r:id="rId202" display="https://kase.kz/ru/listing/issuers/MFRK" xr:uid="{E510E3E1-80BB-49FD-8DBC-3114C4EB26FD}"/>
    <hyperlink ref="B106" r:id="rId203" display="https://kase.kz/ru/investors/gsecs/MUJ204_0005" xr:uid="{B695C6C6-6385-4F31-A4AA-843D3E86BDA5}"/>
    <hyperlink ref="E106" r:id="rId204" display="https://kase.kz/ru/listing/issuers/MFRK" xr:uid="{2AC79122-6833-4981-8B6B-CA8C5A915D6E}"/>
    <hyperlink ref="B107" r:id="rId205" display="https://kase.kz/ru/investors/gsecs/MUJ204_0006" xr:uid="{5A0F8877-9875-412B-91DA-17F50F987F89}"/>
    <hyperlink ref="E107" r:id="rId206" display="https://kase.kz/ru/listing/issuers/MFRK" xr:uid="{827EFBE7-AF0A-455E-96BE-0CDC98EE40F2}"/>
    <hyperlink ref="B108" r:id="rId207" display="https://kase.kz/ru/investors/gsecs/MUJ216_0001" xr:uid="{6605EC76-9A46-409A-881D-27F50C4A8B18}"/>
    <hyperlink ref="E108" r:id="rId208" display="https://kase.kz/ru/listing/issuers/MFRK" xr:uid="{B222A187-E703-4B34-87C6-12C35B03F082}"/>
    <hyperlink ref="B109" r:id="rId209" display="https://kase.kz/ru/investors/gsecs/MUJ216_0002" xr:uid="{72A6673C-AFFE-450E-843B-5A853E1A0C2F}"/>
    <hyperlink ref="E109" r:id="rId210" display="https://kase.kz/ru/listing/issuers/MFRK" xr:uid="{F7F74166-20EF-4B53-88D4-8EF513479B30}"/>
    <hyperlink ref="B110" r:id="rId211" display="https://kase.kz/ru/investors/gsecs/MUJ216_0003" xr:uid="{9CAB9FEB-A494-4B26-98C0-C611F7FE0551}"/>
    <hyperlink ref="E110" r:id="rId212" display="https://kase.kz/ru/listing/issuers/MFRK" xr:uid="{54CF3AF3-18A8-4444-ABBF-D5254E68ECA2}"/>
    <hyperlink ref="B111" r:id="rId213" display="https://kase.kz/ru/investors/gsecs/MUJ216_0004" xr:uid="{DF79547F-6527-486A-BBA7-8675B4C14EFA}"/>
    <hyperlink ref="E111" r:id="rId214" display="https://kase.kz/ru/listing/issuers/MFRK" xr:uid="{F6906BA6-B5BD-47DF-8060-28FC8DCEDC63}"/>
    <hyperlink ref="B112" r:id="rId215" display="https://kase.kz/ru/investors/gsecs/MUJ216_0005" xr:uid="{5AA329E4-3045-4B8E-95F6-130B9A412340}"/>
    <hyperlink ref="E112" r:id="rId216" display="https://kase.kz/ru/listing/issuers/MFRK" xr:uid="{4F6F65B0-5232-445F-92C4-88A7BA3CD4BE}"/>
    <hyperlink ref="B113" r:id="rId217" display="https://kase.kz/ru/investors/gsecs/MUJ228_0001" xr:uid="{3A11BB4A-A3F1-4E60-A1FB-763D121F2084}"/>
    <hyperlink ref="E113" r:id="rId218" display="https://kase.kz/ru/listing/issuers/MFRK" xr:uid="{72EBF9D3-9E3C-40A3-9C9B-93C9D6180CBB}"/>
    <hyperlink ref="B114" r:id="rId219" display="https://kase.kz/ru/investors/gsecs/MUJ228_0002" xr:uid="{243F906A-83F4-4534-BCC1-DFE3EDD9DCF8}"/>
    <hyperlink ref="E114" r:id="rId220" display="https://kase.kz/ru/listing/issuers/MFRK" xr:uid="{78BFF831-60B6-44BF-AF77-83A3DC845182}"/>
    <hyperlink ref="B115" r:id="rId221" display="https://kase.kz/ru/investors/gsecs/MUJ228_0003" xr:uid="{6046CA2A-42E5-469C-A959-B4857B701C81}"/>
    <hyperlink ref="E115" r:id="rId222" display="https://kase.kz/ru/listing/issuers/MFRK" xr:uid="{21C9D99B-9D6A-403B-BE02-7D37F126462A}"/>
    <hyperlink ref="B116" r:id="rId223" display="https://kase.kz/ru/investors/gsecs/MUJ228_0004" xr:uid="{996382AD-8721-4A11-B59D-D3A06CCA89EC}"/>
    <hyperlink ref="E116" r:id="rId224" display="https://kase.kz/ru/listing/issuers/MFRK" xr:uid="{F1A419CD-FD68-4084-802F-CB84843C842F}"/>
    <hyperlink ref="B117" r:id="rId225" display="https://kase.kz/ru/investors/gsecs/MUJ228_0005" xr:uid="{CA51B56D-FDC7-4AA9-AA20-882BB0A577FA}"/>
    <hyperlink ref="E117" r:id="rId226" display="https://kase.kz/ru/listing/issuers/MFRK" xr:uid="{D49BB617-C111-4B57-A115-785D2DCC7D1C}"/>
    <hyperlink ref="B118" r:id="rId227" display="https://kase.kz/ru/investors/gsecs/MUJ228_0006" xr:uid="{EEDEED0D-5B8A-47C9-B6F2-C031B8D07791}"/>
    <hyperlink ref="E118" r:id="rId228" display="https://kase.kz/ru/listing/issuers/MFRK" xr:uid="{3E2E07E8-9142-4241-A12A-5A0BE53A242A}"/>
    <hyperlink ref="B119" r:id="rId229" display="https://kase.kz/ru/investors/gsecs/MUJ240_0001" xr:uid="{53DD5B7D-A9C1-41FE-AB83-0BA9B9FEED32}"/>
    <hyperlink ref="E119" r:id="rId230" display="https://kase.kz/ru/listing/issuers/MFRK" xr:uid="{2BAB99A3-8BF9-41E3-AEF0-DCF052DE97AB}"/>
    <hyperlink ref="B120" r:id="rId231" display="https://kase.kz/ru/investors/gsecs/MUM072_0013" xr:uid="{5AE02498-E9F5-471B-8273-78CBD06DF51C}"/>
    <hyperlink ref="E120" r:id="rId232" display="https://kase.kz/ru/listing/issuers/MFRK" xr:uid="{7E745D6C-2A1D-4100-AD9E-76AA079BDB7D}"/>
    <hyperlink ref="B121" r:id="rId233" display="https://kase.kz/ru/investors/gsecs/MUM072_0014" xr:uid="{2D379F52-1335-4FA5-8D43-229C2193AA04}"/>
    <hyperlink ref="E121" r:id="rId234" display="https://kase.kz/ru/listing/issuers/MFRK" xr:uid="{56EE68BE-790D-4611-A3A6-252535FE3201}"/>
    <hyperlink ref="B122" r:id="rId235" display="https://kase.kz/ru/investors/gsecs/MUM072_0015" xr:uid="{0875A42F-32CF-4980-B0F6-CE8512DE142A}"/>
    <hyperlink ref="E122" r:id="rId236" display="https://kase.kz/ru/listing/issuers/MFRK" xr:uid="{60C965E1-C6D8-4914-9CA3-D0EC1E116D54}"/>
    <hyperlink ref="B123" r:id="rId237" display="https://kase.kz/ru/investors/gsecs/MUM084_0018" xr:uid="{EE4C9E9F-405F-4175-814F-EDA43901A069}"/>
    <hyperlink ref="E123" r:id="rId238" display="https://kase.kz/ru/listing/issuers/MFRK" xr:uid="{B57155AF-B855-4F2A-B530-D7251B92D3DF}"/>
    <hyperlink ref="B124" r:id="rId239" display="https://kase.kz/ru/investors/gsecs/MUM084_0019" xr:uid="{FD796932-67F6-4AC7-9AED-45367389468F}"/>
    <hyperlink ref="E124" r:id="rId240" display="https://kase.kz/ru/listing/issuers/MFRK" xr:uid="{ED20B69E-A860-4107-B48D-AE421AAE2DDF}"/>
    <hyperlink ref="B125" r:id="rId241" display="https://kase.kz/ru/investors/gsecs/MUM084_0020" xr:uid="{D6CA5366-BFC1-499A-89C2-3FC109E72FED}"/>
    <hyperlink ref="E125" r:id="rId242" display="https://kase.kz/ru/listing/issuers/MFRK" xr:uid="{84010A4A-BCDC-4DE7-8504-DEF5EA265A82}"/>
    <hyperlink ref="B126" r:id="rId243" display="https://kase.kz/ru/investors/gsecs/MUM096_0011" xr:uid="{9F644BF2-3B60-45C0-844C-A37770313D5D}"/>
    <hyperlink ref="E126" r:id="rId244" display="https://kase.kz/ru/listing/issuers/MFRK" xr:uid="{7D8302A2-96E4-481F-9E48-13DC7C6FCB27}"/>
    <hyperlink ref="B127" r:id="rId245" display="https://kase.kz/ru/investors/gsecs/MUM096_0012" xr:uid="{793ECDD4-F747-4CF6-A227-58CA06741113}"/>
    <hyperlink ref="E127" r:id="rId246" display="https://kase.kz/ru/listing/issuers/MFRK" xr:uid="{679186E0-8F61-4AD4-B3ED-ABD38C45A328}"/>
    <hyperlink ref="B128" r:id="rId247" display="https://kase.kz/ru/investors/gsecs/MUM096_0013" xr:uid="{D088E29C-260E-403A-9307-CA722B184E6F}"/>
    <hyperlink ref="E128" r:id="rId248" display="https://kase.kz/ru/listing/issuers/MFRK" xr:uid="{BB19BD31-7DCC-4E1E-B65B-569271529A30}"/>
    <hyperlink ref="B129" r:id="rId249" display="https://kase.kz/ru/investors/gsecs/MUM096_0014" xr:uid="{116C88D6-11C5-4212-A794-7C64A393D3B6}"/>
    <hyperlink ref="E129" r:id="rId250" display="https://kase.kz/ru/listing/issuers/MFRK" xr:uid="{6DE04E8A-8C9D-431E-97E2-5E6963DBAB97}"/>
    <hyperlink ref="B130" r:id="rId251" display="https://kase.kz/ru/investors/gsecs/MUM096_0015" xr:uid="{61F8DABC-D553-4700-9D79-534D582CE716}"/>
    <hyperlink ref="E130" r:id="rId252" display="https://kase.kz/ru/listing/issuers/MFRK" xr:uid="{5417CCFF-20F9-4E61-A89E-FB0C2813A9A3}"/>
    <hyperlink ref="B131" r:id="rId253" display="https://kase.kz/ru/investors/gsecs/MUM108_0012" xr:uid="{E164B1D5-60DA-4372-8524-F4194519C6AC}"/>
    <hyperlink ref="E131" r:id="rId254" display="https://kase.kz/ru/listing/issuers/MFRK" xr:uid="{7A3CF378-2882-4542-A735-22AB92C1DF0E}"/>
    <hyperlink ref="B132" r:id="rId255" display="https://kase.kz/ru/investors/gsecs/MUM108_0013" xr:uid="{05FA4147-CA8E-4A94-8943-C2EFF48F8376}"/>
    <hyperlink ref="E132" r:id="rId256" display="https://kase.kz/ru/listing/issuers/MFRK" xr:uid="{5F208C6B-B5F6-4A56-9581-DAA31B67CB70}"/>
    <hyperlink ref="B133" r:id="rId257" display="https://kase.kz/ru/investors/gsecs/MUM108_0014" xr:uid="{922449A9-3453-4FA6-9F7B-0A6F9AEA7881}"/>
    <hyperlink ref="E133" r:id="rId258" display="https://kase.kz/ru/listing/issuers/MFRK" xr:uid="{789CF18D-55F8-4622-8D84-6636805CC680}"/>
    <hyperlink ref="B134" r:id="rId259" display="https://kase.kz/ru/investors/gsecs/MUM108_0015" xr:uid="{78B9A7A6-B97D-40DF-BE75-E559246157CC}"/>
    <hyperlink ref="E134" r:id="rId260" display="https://kase.kz/ru/listing/issuers/MFRK" xr:uid="{F10A36A1-591D-4244-9C83-D4297F0202EE}"/>
    <hyperlink ref="B135" r:id="rId261" display="https://kase.kz/ru/investors/gsecs/MUM120_0017" xr:uid="{B8FC2F7C-DCF9-48F2-B157-21D3753B6D9E}"/>
    <hyperlink ref="E135" r:id="rId262" display="https://kase.kz/ru/listing/issuers/MFRK" xr:uid="{2C1D24CE-DB75-4F87-A3CE-31AA2B29925B}"/>
    <hyperlink ref="B136" r:id="rId263" display="https://kase.kz/ru/investors/gsecs/MUM120_0018" xr:uid="{B497E313-9966-486E-BB1F-DEFCD9641EB9}"/>
    <hyperlink ref="E136" r:id="rId264" display="https://kase.kz/ru/listing/issuers/MFRK" xr:uid="{D2374D45-D32F-4545-BD3D-74C95AF99133}"/>
    <hyperlink ref="B137" r:id="rId265" display="https://kase.kz/ru/investors/gsecs/MUM120_0019" xr:uid="{0CBD30FB-3E46-47F4-9396-390E462C8627}"/>
    <hyperlink ref="E137" r:id="rId266" display="https://kase.kz/ru/listing/issuers/MFRK" xr:uid="{EF611F62-5BD2-4636-8E4E-E2EFAFCD16F5}"/>
    <hyperlink ref="B138" r:id="rId267" display="https://kase.kz/ru/investors/gsecs/MUM120_0020" xr:uid="{F043DBE0-704F-4070-93D6-C31227623505}"/>
    <hyperlink ref="E138" r:id="rId268" display="https://kase.kz/ru/listing/issuers/MFRK" xr:uid="{BE1B4D0E-8A93-4B95-900A-BACBD4E35C9C}"/>
    <hyperlink ref="B139" r:id="rId269" display="https://kase.kz/ru/investors/gsecs/MUM132_0007" xr:uid="{9F50FBEB-8E57-4A59-A3DA-F0F6F200B9F6}"/>
    <hyperlink ref="E139" r:id="rId270" display="https://kase.kz/ru/listing/issuers/MFRK" xr:uid="{329A2312-27CA-447A-9D8E-67D9136E032D}"/>
    <hyperlink ref="B140" r:id="rId271" display="https://kase.kz/ru/investors/gsecs/MUM144_0009" xr:uid="{E88BE748-7EE0-4BC1-9E6A-DD714DB4D981}"/>
    <hyperlink ref="E140" r:id="rId272" display="https://kase.kz/ru/listing/issuers/MFRK" xr:uid="{2B662447-6367-40C9-BC1F-E22AFA7D5B1F}"/>
    <hyperlink ref="B141" r:id="rId273" display="https://kase.kz/ru/investors/gsecs/MUM156_0005" xr:uid="{05D4D456-8982-424A-8309-648F611A6BFB}"/>
    <hyperlink ref="E141" r:id="rId274" display="https://kase.kz/ru/listing/issuers/MFRK" xr:uid="{C6756B7B-C717-451F-BCE6-87F3D7891292}"/>
    <hyperlink ref="B142" r:id="rId275" display="https://kase.kz/ru/investors/gsecs/MUM156_0006" xr:uid="{6117D65C-003D-4F09-A7D4-65EACE957673}"/>
    <hyperlink ref="E142" r:id="rId276" display="https://kase.kz/ru/listing/issuers/MFRK" xr:uid="{7C8A3892-3398-494F-A34C-91625D80EEBB}"/>
    <hyperlink ref="B143" r:id="rId277" display="https://kase.kz/ru/investors/gsecs/MUM156_0007" xr:uid="{EC2C97C3-96AB-4E98-8EF5-C4BC68640037}"/>
    <hyperlink ref="E143" r:id="rId278" display="https://kase.kz/ru/listing/issuers/MFRK" xr:uid="{91B6EED4-66DA-4B9C-BAD9-FE1BE20C34C2}"/>
    <hyperlink ref="B144" r:id="rId279" display="https://kase.kz/ru/investors/gsecs/MUM156_0008" xr:uid="{FDD881B9-2583-41F5-8DE3-A1767F179043}"/>
    <hyperlink ref="E144" r:id="rId280" display="https://kase.kz/ru/listing/issuers/MFRK" xr:uid="{0FFF668A-09AA-406F-88BD-B08F1C5C71BB}"/>
    <hyperlink ref="B145" r:id="rId281" display="https://kase.kz/ru/investors/gsecs/MUM168_0001" xr:uid="{8B8F30F5-D965-4AD6-9A1C-8290960FAC95}"/>
    <hyperlink ref="E145" r:id="rId282" display="https://kase.kz/ru/listing/issuers/MFRK" xr:uid="{FBF6D4C3-6F97-4416-BF04-66FAF60541A0}"/>
    <hyperlink ref="B146" r:id="rId283" display="https://kase.kz/ru/investors/gsecs/MUM168_0002" xr:uid="{F09F0EF6-F50A-4EFD-A7D2-E8266E537B55}"/>
    <hyperlink ref="E146" r:id="rId284" display="https://kase.kz/ru/listing/issuers/MFRK" xr:uid="{CED00F6B-F7FC-443C-BD4F-85B7E113A905}"/>
    <hyperlink ref="B147" r:id="rId285" display="https://kase.kz/ru/investors/gsecs/MUM168_0003" xr:uid="{7FD17F34-3E3B-4E66-94EC-39247C357EBD}"/>
    <hyperlink ref="E147" r:id="rId286" display="https://kase.kz/ru/listing/issuers/MFRK" xr:uid="{6F01A616-2D12-48C3-A643-341681A0D4CC}"/>
    <hyperlink ref="B148" r:id="rId287" display="https://kase.kz/ru/investors/gsecs/MUM168_0005" xr:uid="{598C00EE-DB32-43F5-BDC6-B4A4DE33AAD5}"/>
    <hyperlink ref="E148" r:id="rId288" display="https://kase.kz/ru/listing/issuers/MFRK" xr:uid="{75DE2EDB-8C84-4301-ABA6-59EF5EEC3EAA}"/>
    <hyperlink ref="B149" r:id="rId289" display="https://kase.kz/ru/investors/gsecs/MUM180_0003" xr:uid="{392B6880-99F4-450E-AA55-ADF532B52D29}"/>
    <hyperlink ref="E149" r:id="rId290" display="https://kase.kz/ru/listing/issuers/MFRK" xr:uid="{B4C41456-07E8-41E8-8294-FD59DF07B5CF}"/>
    <hyperlink ref="B150" r:id="rId291" display="https://kase.kz/ru/investors/gsecs/MUM180_0004" xr:uid="{91D54130-D98D-4A9A-ABCB-579E9270861B}"/>
    <hyperlink ref="E150" r:id="rId292" display="https://kase.kz/ru/listing/issuers/MFRK" xr:uid="{6B019E65-2A7C-458B-844C-6FDDF02CC96B}"/>
    <hyperlink ref="B151" r:id="rId293" display="https://kase.kz/ru/investors/gsecs/MUM180_0005" xr:uid="{7091DC5F-39E2-499A-9FED-9823EB168BEB}"/>
    <hyperlink ref="E151" r:id="rId294" display="https://kase.kz/ru/listing/issuers/MFRK" xr:uid="{825679A9-0836-4E25-B5FE-A22C4978F3AF}"/>
    <hyperlink ref="B152" r:id="rId295" display="https://kase.kz/ru/investors/gsecs/MUM180_0006" xr:uid="{8F8A0F23-E720-442B-AD14-F3878F385611}"/>
    <hyperlink ref="E152" r:id="rId296" display="https://kase.kz/ru/listing/issuers/MFRK" xr:uid="{552062C4-1B56-4D48-AACE-C4BEB9FC5437}"/>
    <hyperlink ref="B153" r:id="rId297" display="https://kase.kz/ru/investors/gsecs/MUM180_0007" xr:uid="{8D0A1221-E8B2-43DE-A30E-7988388132D0}"/>
    <hyperlink ref="E153" r:id="rId298" display="https://kase.kz/ru/listing/issuers/MFRK" xr:uid="{20DD0758-FBF3-45BD-97D4-6C699EE3A05E}"/>
    <hyperlink ref="B154" r:id="rId299" display="https://kase.kz/ru/investors/gsecs/MUM180_0008" xr:uid="{A9670944-FDF8-470B-91E3-1ADAE6B0AB8F}"/>
    <hyperlink ref="E154" r:id="rId300" display="https://kase.kz/ru/listing/issuers/MFRK" xr:uid="{9B89058C-5BAD-4F61-8933-C0C84BCF16CF}"/>
    <hyperlink ref="B155" r:id="rId301" display="https://kase.kz/ru/investors/gsecs/MUM180_0009" xr:uid="{6C963CE9-A613-4558-8B17-E1B63DEA9900}"/>
    <hyperlink ref="E155" r:id="rId302" display="https://kase.kz/ru/listing/issuers/MFRK" xr:uid="{C331993D-AAE5-4CA2-9438-7EBCD36F74B9}"/>
    <hyperlink ref="B156" r:id="rId303" display="https://kase.kz/ru/investors/gsecs/MUM180_0011" xr:uid="{C9E600AC-DF71-409E-921D-98DCEB2723EA}"/>
    <hyperlink ref="E156" r:id="rId304" display="https://kase.kz/ru/listing/issuers/MFRK" xr:uid="{BCC54835-B2B7-4D5A-BA68-E7BC3AC59C69}"/>
    <hyperlink ref="B157" r:id="rId305" display="https://kase.kz/ru/investors/gsecs/MUM180_0012" xr:uid="{FAF34D5A-C15A-494D-BD82-BB08A06C43BB}"/>
    <hyperlink ref="E157" r:id="rId306" display="https://kase.kz/ru/listing/issuers/MFRK" xr:uid="{F4E78245-92DC-4DBE-BE83-9CE2B132950F}"/>
    <hyperlink ref="B158" r:id="rId307" display="https://kase.kz/ru/investors/gsecs/MUM180_0013" xr:uid="{6979CF23-A109-4247-B782-90B6A01C9186}"/>
    <hyperlink ref="E158" r:id="rId308" display="https://kase.kz/ru/listing/issuers/MFRK" xr:uid="{9F7B3EC9-AFF9-4851-9F49-9C4D31D10D88}"/>
    <hyperlink ref="B159" r:id="rId309" display="https://kase.kz/ru/investors/gsecs/MUM180_0014" xr:uid="{BBAFB1C1-A36D-4CC1-A674-2134794D6E44}"/>
    <hyperlink ref="E159" r:id="rId310" display="https://kase.kz/ru/listing/issuers/MFRK" xr:uid="{DC2FB7F7-10F6-41F8-93E8-894610B04C81}"/>
    <hyperlink ref="B160" r:id="rId311" display="https://kase.kz/ru/investors/gsecs/MUM180_0015" xr:uid="{C3A6DF56-8B55-49FB-A16A-142E7E0CC3B9}"/>
    <hyperlink ref="E160" r:id="rId312" display="https://kase.kz/ru/listing/issuers/MFRK" xr:uid="{E9754E04-8E82-42CD-9110-63635058D7AC}"/>
    <hyperlink ref="B161" r:id="rId313" display="https://kase.kz/ru/investors/gsecs/MUM180_0016" xr:uid="{2EB27ACF-4C8A-4D2F-A889-ADBD6A004D5B}"/>
    <hyperlink ref="E161" r:id="rId314" display="https://kase.kz/ru/listing/issuers/MFRK" xr:uid="{CA071233-5933-4F22-9050-BB3782FDE043}"/>
    <hyperlink ref="B162" r:id="rId315" display="https://kase.kz/ru/investors/gsecs/MUM192_0001" xr:uid="{B5B11BAD-A59D-420E-AC46-45BC7B8D89B7}"/>
    <hyperlink ref="E162" r:id="rId316" display="https://kase.kz/ru/listing/issuers/MFRK" xr:uid="{5F82BE8C-D230-4C17-B31E-01EE73E08E5A}"/>
    <hyperlink ref="B163" r:id="rId317" display="https://kase.kz/ru/investors/gsecs/MUM192_0002" xr:uid="{6E8AEE33-DE3C-43A1-A4E3-D029051A5A4C}"/>
    <hyperlink ref="E163" r:id="rId318" display="https://kase.kz/ru/listing/issuers/MFRK" xr:uid="{7D159393-C7A9-41B4-B345-4B679032C155}"/>
    <hyperlink ref="B164" r:id="rId319" display="https://kase.kz/ru/investors/gsecs/MUM192_0003" xr:uid="{2131164B-236C-48F2-9C56-7AC44EADDA27}"/>
    <hyperlink ref="E164" r:id="rId320" display="https://kase.kz/ru/listing/issuers/MFRK" xr:uid="{15308878-5128-4C74-A126-CE084E4CD518}"/>
    <hyperlink ref="B165" r:id="rId321" display="https://kase.kz/ru/investors/gsecs/MUM216_0001" xr:uid="{9406D71C-811D-4093-93B6-A73737FD3613}"/>
    <hyperlink ref="E165" r:id="rId322" display="https://kase.kz/ru/listing/issuers/MFRK" xr:uid="{74145BE1-311D-4B9D-A0A3-384DF2125AE1}"/>
    <hyperlink ref="B166" r:id="rId323" display="https://kase.kz/ru/investors/gsecs/MUM216_0002" xr:uid="{89D09CD9-3061-4AF8-A2EB-18270B895235}"/>
    <hyperlink ref="E166" r:id="rId324" display="https://kase.kz/ru/listing/issuers/MFRK" xr:uid="{48F0B87F-3254-410E-A4B9-940B5B0146D9}"/>
    <hyperlink ref="B167" r:id="rId325" display="https://kase.kz/ru/investors/gsecs/MUM240_0001" xr:uid="{D6F8C5F1-09AD-45B0-B10B-1887F1726262}"/>
    <hyperlink ref="E167" r:id="rId326" display="https://kase.kz/ru/listing/issuers/MFRK" xr:uid="{542E2FA8-A70E-43C4-AA1C-9E110FEA26F7}"/>
    <hyperlink ref="B168" r:id="rId327" display="https://kase.kz/ru/investors/gsecs/MUM240_0002" xr:uid="{3B5CE5D3-3DD0-48D8-B8BD-CBFD38C89469}"/>
    <hyperlink ref="E168" r:id="rId328" display="https://kase.kz/ru/listing/issuers/MFRK" xr:uid="{7C208A16-AA5F-4017-A785-160D2A30E005}"/>
    <hyperlink ref="B169" r:id="rId329" display="https://kase.kz/ru/investors/gsecs/MUM240_0004" xr:uid="{5D63D105-8533-4170-A4DB-179DF6374D6D}"/>
    <hyperlink ref="E169" r:id="rId330" display="https://kase.kz/ru/listing/issuers/MFRK" xr:uid="{181D6686-C71A-46CC-B410-7A96321A5657}"/>
    <hyperlink ref="B170" r:id="rId331" display="https://kase.kz/ru/investors/gsecs/MUM300_0001" xr:uid="{F053D14B-BAEE-412F-990F-D97018256886}"/>
    <hyperlink ref="E170" r:id="rId332" display="https://kase.kz/ru/listing/issuers/MFRK" xr:uid="{A02348F7-4428-482D-9CC0-9CBAF9447C83}"/>
    <hyperlink ref="B171" r:id="rId333" display="https://kase.kz/ru/investors/gsecs/MUM300_0002" xr:uid="{63C4B79C-BE98-47E7-9939-3FB33E2384FD}"/>
    <hyperlink ref="E171" r:id="rId334" display="https://kase.kz/ru/listing/issuers/MFRK" xr:uid="{78A501B2-F389-4EB3-97AA-0E051573EC3D}"/>
    <hyperlink ref="B172" r:id="rId335" display="https://kase.kz/ru/investors/gsecs/MUM300_0003" xr:uid="{6B8D6290-C0C9-48BC-964A-DC71F71C2B6B}"/>
    <hyperlink ref="E172" r:id="rId336" display="https://kase.kz/ru/listing/issuers/MFRK" xr:uid="{AD6CE2B1-315E-4801-BCAD-9ADDBB6A22F9}"/>
    <hyperlink ref="B173" r:id="rId337" display="https://kase.kz/ru/investors/gsecs/MUM360_0001" xr:uid="{3B70D02C-B547-44C9-8A9D-5BD6B9B14664}"/>
    <hyperlink ref="E173" r:id="rId338" display="https://kase.kz/ru/listing/issuers/MFRK" xr:uid="{E6338A96-007F-449A-AC81-1E7F4EDD8CF5}"/>
    <hyperlink ref="B174" r:id="rId339" display="https://kase.kz/ru/investors/gsecs/MUX072_0003" xr:uid="{588CC06C-6452-40BD-A448-0A53322AE937}"/>
    <hyperlink ref="E174" r:id="rId340" display="https://kase.kz/ru/listing/issuers/MFRK" xr:uid="{EFB7EB76-1110-4952-B7B1-14C3C2FEFE1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7101.8520000000017</v>
      </c>
      <c r="G5" s="116">
        <v>7101.8520000000017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123919.90560000003</v>
      </c>
      <c r="G6" s="120">
        <v>123919.90560000003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101.2278</v>
      </c>
      <c r="H7" s="116">
        <v>4.2300000000000004</v>
      </c>
      <c r="I7" s="113">
        <v>376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100.08750000000001</v>
      </c>
      <c r="H8" s="116">
        <v>0.35</v>
      </c>
      <c r="I8" s="113">
        <v>270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100.0184</v>
      </c>
      <c r="H9" s="118">
        <v>0.02</v>
      </c>
      <c r="I9" s="121">
        <v>3092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101.0675</v>
      </c>
      <c r="H10" s="118">
        <v>6.08</v>
      </c>
      <c r="I10" s="121">
        <v>1707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105.93640000000001</v>
      </c>
      <c r="H11" s="118">
        <v>7.08</v>
      </c>
      <c r="I11" s="121">
        <v>2189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100.2372</v>
      </c>
      <c r="H12" s="118">
        <v>6.09</v>
      </c>
      <c r="I12" s="121">
        <v>2116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105.185</v>
      </c>
      <c r="H13" s="118">
        <v>6.08</v>
      </c>
      <c r="I13" s="121">
        <v>2544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105.185</v>
      </c>
      <c r="H14" s="118">
        <v>6.08</v>
      </c>
      <c r="I14" s="121">
        <v>2544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70738.219200000007</v>
      </c>
      <c r="G15" s="116">
        <v>70738.219200000007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97.379058065062409</v>
      </c>
      <c r="G16" s="116">
        <v>99.924858065062409</v>
      </c>
      <c r="H16" s="116">
        <v>21.21</v>
      </c>
      <c r="I16" s="113">
        <v>673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60701.294400000013</v>
      </c>
      <c r="G19" s="116">
        <v>60701.294400000013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96.549000000000007</v>
      </c>
      <c r="G20" s="120">
        <v>97.694800000000001</v>
      </c>
      <c r="H20" s="118">
        <v>3.95</v>
      </c>
      <c r="I20" s="121">
        <v>1668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94.481999999999999</v>
      </c>
      <c r="G21" s="120">
        <v>95.509799999999998</v>
      </c>
      <c r="H21" s="118">
        <v>3.98</v>
      </c>
      <c r="I21" s="121">
        <v>1472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94.991757482282026</v>
      </c>
      <c r="G22" s="120">
        <v>97.898657482282019</v>
      </c>
      <c r="H22" s="118">
        <v>18.899999999999999</v>
      </c>
      <c r="I22" s="121">
        <v>269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91.856520841165278</v>
      </c>
      <c r="G23" s="120">
        <v>95.977320841165266</v>
      </c>
      <c r="H23" s="118">
        <v>19.149999999999999</v>
      </c>
      <c r="I23" s="121">
        <v>402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74.58575739602378</v>
      </c>
      <c r="G24" s="120">
        <v>74.645457396023772</v>
      </c>
      <c r="H24" s="118">
        <v>18.82</v>
      </c>
      <c r="I24" s="121">
        <v>1798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86.384217925547347</v>
      </c>
      <c r="G25" s="120">
        <v>89.634217925547347</v>
      </c>
      <c r="H25" s="118">
        <v>18.760000000000002</v>
      </c>
      <c r="I25" s="121">
        <v>2262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57.297953027339297</v>
      </c>
      <c r="G26" s="120">
        <v>63.234353027339296</v>
      </c>
      <c r="H26" s="118">
        <v>19.600000000000001</v>
      </c>
      <c r="I26" s="121">
        <v>2219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73.775393631594255</v>
      </c>
      <c r="G27" s="120">
        <v>75.915693631594252</v>
      </c>
      <c r="H27" s="118">
        <v>18.739999999999998</v>
      </c>
      <c r="I27" s="121">
        <v>2273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96.313577141597108</v>
      </c>
      <c r="G28" s="120">
        <v>98.880277141597119</v>
      </c>
      <c r="H28" s="118">
        <v>18.98</v>
      </c>
      <c r="I28" s="121">
        <v>294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102.125</v>
      </c>
      <c r="H30" s="118">
        <v>4.24</v>
      </c>
      <c r="I30" s="121">
        <v>301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100.1186</v>
      </c>
      <c r="H31" s="118">
        <v>0.35</v>
      </c>
      <c r="I31" s="121">
        <v>58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100.0788</v>
      </c>
      <c r="H32" s="118">
        <v>0.35</v>
      </c>
      <c r="I32" s="121">
        <v>279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100.0885</v>
      </c>
      <c r="H33" s="118">
        <v>0.35</v>
      </c>
      <c r="I33" s="121">
        <v>629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100.01390000000001</v>
      </c>
      <c r="H34" s="118">
        <v>0.02</v>
      </c>
      <c r="I34" s="121">
        <v>3092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100.0038</v>
      </c>
      <c r="H35" s="118">
        <v>0.02</v>
      </c>
      <c r="I35" s="121">
        <v>3092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751.96080000000018</v>
      </c>
      <c r="G36" s="120">
        <v>751.96080000000018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3045.5760000000005</v>
      </c>
      <c r="G37" s="120">
        <v>3045.5760000000005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111585.24720000001</v>
      </c>
      <c r="G38" s="120">
        <v>111585.24720000001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102.125</v>
      </c>
      <c r="H40" s="116">
        <v>4.24</v>
      </c>
      <c r="I40" s="113">
        <v>301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100.0865</v>
      </c>
      <c r="H41" s="116">
        <v>0.35</v>
      </c>
      <c r="I41" s="113">
        <v>91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100.08750000000001</v>
      </c>
      <c r="H42" s="118">
        <v>0.35</v>
      </c>
      <c r="I42" s="121">
        <v>270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100.0564</v>
      </c>
      <c r="H43" s="118">
        <v>0.35</v>
      </c>
      <c r="I43" s="121">
        <v>662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3092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101.0675</v>
      </c>
      <c r="H45" s="118">
        <v>6.08</v>
      </c>
      <c r="I45" s="121">
        <v>1707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105.93640000000001</v>
      </c>
      <c r="H46" s="118">
        <v>7.08</v>
      </c>
      <c r="I46" s="121">
        <v>2189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100.2372</v>
      </c>
      <c r="H47" s="116">
        <v>6.09</v>
      </c>
      <c r="I47" s="113">
        <v>2116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105.185</v>
      </c>
      <c r="H48" s="116">
        <v>6.08</v>
      </c>
      <c r="I48" s="113">
        <v>2544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105.185</v>
      </c>
      <c r="H49" s="116">
        <v>6.08</v>
      </c>
      <c r="I49" s="113">
        <v>2544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104.0497</v>
      </c>
      <c r="H50" s="116">
        <v>6.08</v>
      </c>
      <c r="I50" s="113">
        <v>2611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2985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1386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98.628001963776185</v>
      </c>
      <c r="G54" s="120">
        <v>100.79470196377619</v>
      </c>
      <c r="H54" s="118">
        <v>26.71</v>
      </c>
      <c r="I54" s="121">
        <v>960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92.505688737019611</v>
      </c>
      <c r="G56" s="120">
        <v>96.178588737019609</v>
      </c>
      <c r="H56" s="118">
        <v>18.16</v>
      </c>
      <c r="I56" s="121">
        <v>417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101.7944</v>
      </c>
      <c r="H57" s="118">
        <v>4.24</v>
      </c>
      <c r="I57" s="121">
        <v>328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</v>
      </c>
      <c r="H58" s="118">
        <v>0.02</v>
      </c>
      <c r="I58" s="121">
        <v>3092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104.8122</v>
      </c>
      <c r="H59" s="118">
        <v>7.05</v>
      </c>
      <c r="I59" s="121">
        <v>2189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101.0675</v>
      </c>
      <c r="H60" s="116">
        <v>6.08</v>
      </c>
      <c r="I60" s="113">
        <v>1707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105.93640000000001</v>
      </c>
      <c r="H61" s="116">
        <v>7.08</v>
      </c>
      <c r="I61" s="113">
        <v>2189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100.2372</v>
      </c>
      <c r="H62" s="118">
        <v>6.09</v>
      </c>
      <c r="I62" s="121">
        <v>2116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105.185</v>
      </c>
      <c r="H63" s="118">
        <v>6.08</v>
      </c>
      <c r="I63" s="121">
        <v>2544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105.185</v>
      </c>
      <c r="H64" s="118">
        <v>6.08</v>
      </c>
      <c r="I64" s="121">
        <v>2544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104.0497</v>
      </c>
      <c r="H65" s="118">
        <v>6.08</v>
      </c>
      <c r="I65" s="121">
        <v>2611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88.677141935911109</v>
      </c>
      <c r="G66" s="120">
        <v>90.377141935911112</v>
      </c>
      <c r="H66" s="118">
        <v>29.35</v>
      </c>
      <c r="I66" s="121">
        <v>2496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</v>
      </c>
      <c r="G68" s="120">
        <v>102.37779999999999</v>
      </c>
      <c r="H68" s="118">
        <v>7.53</v>
      </c>
      <c r="I68" s="121">
        <v>838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89499.506400000013</v>
      </c>
      <c r="G71" s="120">
        <v>89499.506400000013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123553.35840000003</v>
      </c>
      <c r="G75" s="120">
        <v>123553.35840000003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91.362354814751185</v>
      </c>
      <c r="G77" s="120">
        <v>100.85405481475119</v>
      </c>
      <c r="H77" s="118">
        <v>28.41</v>
      </c>
      <c r="I77" s="121">
        <v>2386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92.580906444062407</v>
      </c>
      <c r="G78" s="120">
        <v>97.492006444062397</v>
      </c>
      <c r="H78" s="118">
        <v>28.39</v>
      </c>
      <c r="I78" s="121">
        <v>2632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92.525239735777959</v>
      </c>
      <c r="G79" s="120">
        <v>101.19193973577796</v>
      </c>
      <c r="H79" s="118">
        <v>28.38</v>
      </c>
      <c r="I79" s="121">
        <v>2760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3092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101.0675</v>
      </c>
      <c r="H81" s="118">
        <v>6.08</v>
      </c>
      <c r="I81" s="121">
        <v>1707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105.93640000000001</v>
      </c>
      <c r="H82" s="116">
        <v>7.08</v>
      </c>
      <c r="I82" s="113">
        <v>2189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100.2372</v>
      </c>
      <c r="H83" s="116">
        <v>6.09</v>
      </c>
      <c r="I83" s="113">
        <v>2116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105.185</v>
      </c>
      <c r="H84" s="116">
        <v>6.08</v>
      </c>
      <c r="I84" s="113">
        <v>2544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105.185</v>
      </c>
      <c r="H85" s="118">
        <v>6.08</v>
      </c>
      <c r="I85" s="121">
        <v>2544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104.0497</v>
      </c>
      <c r="H86" s="116">
        <v>6.08</v>
      </c>
      <c r="I86" s="113">
        <v>2611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87.063037863129608</v>
      </c>
      <c r="G87" s="116">
        <v>95.182437863129607</v>
      </c>
      <c r="H87" s="116">
        <v>24.94</v>
      </c>
      <c r="I87" s="113">
        <v>1473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98.402922956273741</v>
      </c>
      <c r="G88" s="116">
        <v>98.552922956273747</v>
      </c>
      <c r="H88" s="116">
        <v>0.72</v>
      </c>
      <c r="I88" s="113">
        <v>4950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99.713514259210115</v>
      </c>
      <c r="G89" s="120">
        <v>101.79481425921011</v>
      </c>
      <c r="H89" s="118">
        <v>20.37</v>
      </c>
      <c r="I89" s="121">
        <v>1043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25.387436507721425</v>
      </c>
      <c r="G90" s="120">
        <v>25.387436507721425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87.402734361881613</v>
      </c>
      <c r="G92" s="120">
        <v>93.708534361881618</v>
      </c>
      <c r="H92" s="118">
        <v>17.62</v>
      </c>
      <c r="I92" s="121">
        <v>1909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100.16500000000001</v>
      </c>
      <c r="G93" s="120">
        <v>101.44629999999999</v>
      </c>
      <c r="H93" s="118">
        <v>3.68</v>
      </c>
      <c r="I93" s="121">
        <v>957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102.155</v>
      </c>
      <c r="G94" s="120">
        <v>104.2453</v>
      </c>
      <c r="H94" s="118">
        <v>3.72</v>
      </c>
      <c r="I94" s="121">
        <v>1268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95.484710171617792</v>
      </c>
      <c r="G95" s="120">
        <v>96.917410171617789</v>
      </c>
      <c r="H95" s="118">
        <v>17.59</v>
      </c>
      <c r="I95" s="121">
        <v>503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98.114050542315994</v>
      </c>
      <c r="G96" s="120">
        <v>98.998250542316001</v>
      </c>
      <c r="H96" s="118">
        <v>15.56</v>
      </c>
      <c r="I96" s="121">
        <v>152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92.174611281255594</v>
      </c>
      <c r="G97" s="120">
        <v>99.039511281255599</v>
      </c>
      <c r="H97" s="118">
        <v>17.920000000000002</v>
      </c>
      <c r="I97" s="121">
        <v>1640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76.760999999999996</v>
      </c>
      <c r="G98" s="120">
        <v>81.300299999999993</v>
      </c>
      <c r="H98" s="118">
        <v>16.71</v>
      </c>
      <c r="I98" s="121">
        <v>1909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1.0165536111111111</v>
      </c>
      <c r="G99" s="120">
        <v>1.0165536111111111</v>
      </c>
      <c r="H99" s="118">
        <v>0</v>
      </c>
      <c r="I99" s="121">
        <v>199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0.88584472222222221</v>
      </c>
      <c r="G100" s="120">
        <v>0.88584472222222221</v>
      </c>
      <c r="H100" s="118">
        <v>0</v>
      </c>
      <c r="I100" s="121">
        <v>1460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79.656999999999996</v>
      </c>
      <c r="G101" s="120">
        <v>84.576400000000007</v>
      </c>
      <c r="H101" s="118">
        <v>16.72</v>
      </c>
      <c r="I101" s="121">
        <v>1909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100.5667</v>
      </c>
      <c r="H102" s="118">
        <v>4.24</v>
      </c>
      <c r="I102" s="121">
        <v>252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100.5194</v>
      </c>
      <c r="H103" s="118">
        <v>4.24</v>
      </c>
      <c r="I103" s="121">
        <v>616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100.09820000000001</v>
      </c>
      <c r="H104" s="118">
        <v>0.35</v>
      </c>
      <c r="I104" s="121">
        <v>259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100.02719999999999</v>
      </c>
      <c r="H105" s="118">
        <v>0.35</v>
      </c>
      <c r="I105" s="121">
        <v>692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3092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101.0675</v>
      </c>
      <c r="H107" s="118">
        <v>6.08</v>
      </c>
      <c r="I107" s="121">
        <v>1707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93.826935056549928</v>
      </c>
      <c r="G109" s="120">
        <v>96.001935056549939</v>
      </c>
      <c r="H109" s="118">
        <v>14.51</v>
      </c>
      <c r="I109" s="121">
        <v>453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93.204287822989741</v>
      </c>
      <c r="G112" s="120">
        <v>99.632087822989746</v>
      </c>
      <c r="H112" s="118">
        <v>28.22</v>
      </c>
      <c r="I112" s="121">
        <v>2611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89.68240179516161</v>
      </c>
      <c r="G113" s="120">
        <v>92.043501795161617</v>
      </c>
      <c r="H113" s="118">
        <v>28.2</v>
      </c>
      <c r="I113" s="121">
        <v>3116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96.362123316323178</v>
      </c>
      <c r="G116" s="120">
        <v>101.35042331632319</v>
      </c>
      <c r="H116" s="118">
        <v>18.23</v>
      </c>
      <c r="I116" s="121">
        <v>196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7.8558647163364581</v>
      </c>
      <c r="G117" s="120">
        <v>7.9419647163364582</v>
      </c>
      <c r="H117" s="118">
        <v>17.27</v>
      </c>
      <c r="I117" s="121">
        <v>5463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100.0826</v>
      </c>
      <c r="H118" s="118">
        <v>4.24</v>
      </c>
      <c r="I118" s="121">
        <v>293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100.0788</v>
      </c>
      <c r="H119" s="118">
        <v>0.35</v>
      </c>
      <c r="I119" s="121">
        <v>279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100.0564</v>
      </c>
      <c r="H120" s="118">
        <v>0.35</v>
      </c>
      <c r="I120" s="121">
        <v>662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100.0184</v>
      </c>
      <c r="H121" s="118">
        <v>0.02</v>
      </c>
      <c r="I121" s="121">
        <v>3092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3092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101.0675</v>
      </c>
      <c r="H123" s="118">
        <v>6.08</v>
      </c>
      <c r="I123" s="121">
        <v>1707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105.93640000000001</v>
      </c>
      <c r="H124" s="118">
        <v>7.08</v>
      </c>
      <c r="I124" s="121">
        <v>2189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90.424129911119039</v>
      </c>
      <c r="G125" s="120">
        <v>91.839729911119036</v>
      </c>
      <c r="H125" s="118">
        <v>20.5</v>
      </c>
      <c r="I125" s="121">
        <v>3572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100.2372</v>
      </c>
      <c r="H126" s="118">
        <v>6.09</v>
      </c>
      <c r="I126" s="121">
        <v>2116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105.185</v>
      </c>
      <c r="H127" s="118">
        <v>6.08</v>
      </c>
      <c r="I127" s="121">
        <v>2544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105.185</v>
      </c>
      <c r="H128" s="118">
        <v>6.08</v>
      </c>
      <c r="I128" s="121">
        <v>2544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104.0497</v>
      </c>
      <c r="H129" s="118">
        <v>6.08</v>
      </c>
      <c r="I129" s="121">
        <v>2611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30.251000000000001</v>
      </c>
      <c r="G131" s="120">
        <v>30.388400000000001</v>
      </c>
      <c r="H131" s="118">
        <v>3.2</v>
      </c>
      <c r="I131" s="121">
        <v>34639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92.469122068851703</v>
      </c>
      <c r="G132" s="120">
        <v>93.335822068851712</v>
      </c>
      <c r="H132" s="118">
        <v>28.51</v>
      </c>
      <c r="I132" s="121">
        <v>2508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88.896392194996054</v>
      </c>
      <c r="G133" s="120">
        <v>91.743592194996054</v>
      </c>
      <c r="H133" s="118">
        <v>28.47</v>
      </c>
      <c r="I133" s="121">
        <v>3109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27073.284000000003</v>
      </c>
      <c r="G136" s="120">
        <v>27073.284000000003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125569.36800000002</v>
      </c>
      <c r="G138" s="120">
        <v>125569.36800000002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69651.070998822994</v>
      </c>
      <c r="G139" s="120">
        <v>69651.070998822994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1468.855</v>
      </c>
      <c r="G140" s="120">
        <v>1468.855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7.0336408178906744</v>
      </c>
      <c r="G141" s="120">
        <v>7.0336408178906744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28.838862280562591</v>
      </c>
      <c r="G144" s="120">
        <v>28.83906228056259</v>
      </c>
      <c r="H144" s="118">
        <v>17.52</v>
      </c>
      <c r="I144" s="121">
        <v>2666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98.147318821159544</v>
      </c>
      <c r="G145" s="120">
        <v>98.191518821159534</v>
      </c>
      <c r="H145" s="118">
        <v>18.260000000000002</v>
      </c>
      <c r="I145" s="121">
        <v>364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96.551674039147983</v>
      </c>
      <c r="G146" s="120">
        <v>96.596074039147979</v>
      </c>
      <c r="H146" s="118">
        <v>18.329999999999998</v>
      </c>
      <c r="I146" s="121">
        <v>729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99.066233268551727</v>
      </c>
      <c r="G147" s="120">
        <v>104.72043326855172</v>
      </c>
      <c r="H147" s="118">
        <v>18.09</v>
      </c>
      <c r="I147" s="121">
        <v>422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101.63510182621154</v>
      </c>
      <c r="G148" s="120">
        <v>104.09340182621153</v>
      </c>
      <c r="H148" s="118">
        <v>6.02</v>
      </c>
      <c r="I148" s="121">
        <v>422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100.34495927244254</v>
      </c>
      <c r="G149" s="120">
        <v>105.16575927244253</v>
      </c>
      <c r="H149" s="118">
        <v>19.18</v>
      </c>
      <c r="I149" s="121">
        <v>631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73713.720000000016</v>
      </c>
      <c r="G150" s="120">
        <v>73713.720000000016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49443.44400000001</v>
      </c>
      <c r="G151" s="120">
        <v>49443.44400000001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10912.864800000001</v>
      </c>
      <c r="G152" s="120">
        <v>10912.864800000001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96.197285211706173</v>
      </c>
      <c r="G153" s="120">
        <v>102.22918521170617</v>
      </c>
      <c r="H153" s="118">
        <v>25.15</v>
      </c>
      <c r="I153" s="121">
        <v>439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18146.781600000002</v>
      </c>
      <c r="G154" s="120">
        <v>18146.781600000002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91.327877369926398</v>
      </c>
      <c r="G155" s="120">
        <v>91.498677369926398</v>
      </c>
      <c r="H155" s="118">
        <v>24.77</v>
      </c>
      <c r="I155" s="121">
        <v>1077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72.088699879443325</v>
      </c>
      <c r="G156" s="120">
        <v>72.276199879443325</v>
      </c>
      <c r="H156" s="118">
        <v>18.53</v>
      </c>
      <c r="I156" s="121">
        <v>2514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76.657468816079771</v>
      </c>
      <c r="G157" s="120">
        <v>76.813768816079772</v>
      </c>
      <c r="H157" s="118">
        <v>18.64</v>
      </c>
      <c r="I157" s="121">
        <v>1795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82.642367004538571</v>
      </c>
      <c r="G158" s="120">
        <v>82.764567004538577</v>
      </c>
      <c r="H158" s="118">
        <v>18.86</v>
      </c>
      <c r="I158" s="121">
        <v>1076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77.969469781977921</v>
      </c>
      <c r="G159" s="120">
        <v>80.566669781977922</v>
      </c>
      <c r="H159" s="118">
        <v>18.7</v>
      </c>
      <c r="I159" s="121">
        <v>1535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79.324481975200499</v>
      </c>
      <c r="G160" s="120">
        <v>81.463381975200505</v>
      </c>
      <c r="H160" s="118">
        <v>17.52</v>
      </c>
      <c r="I160" s="121">
        <v>1730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93.629907965759841</v>
      </c>
      <c r="G161" s="120">
        <v>95.574307965759843</v>
      </c>
      <c r="H161" s="118">
        <v>18.809999999999999</v>
      </c>
      <c r="I161" s="121">
        <v>290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9.2443012485146401</v>
      </c>
      <c r="G162" s="120">
        <v>9.3031012485146398</v>
      </c>
      <c r="H162" s="118">
        <v>18.260000000000002</v>
      </c>
      <c r="I162" s="121">
        <v>5079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8.4095810560565702</v>
      </c>
      <c r="G163" s="120">
        <v>8.4528810560565706</v>
      </c>
      <c r="H163" s="118">
        <v>18.260000000000002</v>
      </c>
      <c r="I163" s="121">
        <v>5296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77.618927185650378</v>
      </c>
      <c r="G164" s="120">
        <v>80.208327185650376</v>
      </c>
      <c r="H164" s="118">
        <v>18.62</v>
      </c>
      <c r="I164" s="121">
        <v>1901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87.174149442464824</v>
      </c>
      <c r="G165" s="120">
        <v>89.763549442464821</v>
      </c>
      <c r="H165" s="118">
        <v>18.95</v>
      </c>
      <c r="I165" s="121">
        <v>821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57.767843264858989</v>
      </c>
      <c r="G166" s="120">
        <v>63.704243264858988</v>
      </c>
      <c r="H166" s="118">
        <v>19.399999999999999</v>
      </c>
      <c r="I166" s="121">
        <v>2219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23.338031515828312</v>
      </c>
      <c r="G167" s="120">
        <v>23.668631515828313</v>
      </c>
      <c r="H167" s="118">
        <v>18.34</v>
      </c>
      <c r="I167" s="121">
        <v>3167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21.058624938416731</v>
      </c>
      <c r="G168" s="120">
        <v>21.326724938416731</v>
      </c>
      <c r="H168" s="118">
        <v>19.21</v>
      </c>
      <c r="I168" s="121">
        <v>3407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96.797638250628623</v>
      </c>
      <c r="G169" s="120">
        <v>100.41433825062863</v>
      </c>
      <c r="H169" s="118">
        <v>18.71</v>
      </c>
      <c r="I169" s="121">
        <v>267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103.31</v>
      </c>
      <c r="H170" s="118">
        <v>17.43</v>
      </c>
      <c r="I170" s="121">
        <v>213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2972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48.051477924707882</v>
      </c>
      <c r="G172" s="120">
        <v>52.084777924707879</v>
      </c>
      <c r="H172" s="118">
        <v>18.37</v>
      </c>
      <c r="I172" s="121">
        <v>2968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95.97846075443141</v>
      </c>
      <c r="G173" s="120">
        <v>97.028460754431407</v>
      </c>
      <c r="H173" s="118">
        <v>18.89</v>
      </c>
      <c r="I173" s="121">
        <v>333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87.410713164746838</v>
      </c>
      <c r="G174" s="120">
        <v>88.660713164746838</v>
      </c>
      <c r="H174" s="118">
        <v>18.579999999999998</v>
      </c>
      <c r="I174" s="121">
        <v>2130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95.910486409547531</v>
      </c>
      <c r="G175" s="120">
        <v>99.317186409547531</v>
      </c>
      <c r="H175" s="118">
        <v>17.420000000000002</v>
      </c>
      <c r="I175" s="121">
        <v>248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88.983923942800757</v>
      </c>
      <c r="G176" s="120">
        <v>89.901723942800757</v>
      </c>
      <c r="H176" s="118">
        <v>5.21</v>
      </c>
      <c r="I176" s="121">
        <v>2048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101.288</v>
      </c>
      <c r="G177" s="120">
        <v>103.3199</v>
      </c>
      <c r="H177" s="118">
        <v>4.67</v>
      </c>
      <c r="I177" s="121">
        <v>587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93.718168505187094</v>
      </c>
      <c r="G178" s="120">
        <v>98.520968505187085</v>
      </c>
      <c r="H178" s="118">
        <v>17.559999999999999</v>
      </c>
      <c r="I178" s="121">
        <v>587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101.589</v>
      </c>
      <c r="G179" s="120">
        <v>103.4119</v>
      </c>
      <c r="H179" s="118">
        <v>4.82</v>
      </c>
      <c r="I179" s="121">
        <v>1495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89.56</v>
      </c>
      <c r="G180" s="120">
        <v>93.119699999999995</v>
      </c>
      <c r="H180" s="118">
        <v>18.489999999999998</v>
      </c>
      <c r="I180" s="121">
        <v>985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102.261</v>
      </c>
      <c r="G181" s="120">
        <v>104.4641</v>
      </c>
      <c r="H181" s="118">
        <v>5.07</v>
      </c>
      <c r="I181" s="121">
        <v>1659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100.279</v>
      </c>
      <c r="G182" s="120">
        <v>102.8623</v>
      </c>
      <c r="H182" s="118">
        <v>5.49</v>
      </c>
      <c r="I182" s="121">
        <v>205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103.71365469210537</v>
      </c>
      <c r="G184" s="120">
        <v>104.70325469210538</v>
      </c>
      <c r="H184" s="118">
        <v>5.17</v>
      </c>
      <c r="I184" s="121">
        <v>1383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60.680246245632794</v>
      </c>
      <c r="G186" s="120">
        <v>61.733746245632794</v>
      </c>
      <c r="H186" s="118">
        <v>19.21</v>
      </c>
      <c r="I186" s="121">
        <v>1737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55.609986515434137</v>
      </c>
      <c r="G187" s="120">
        <v>55.844086515434135</v>
      </c>
      <c r="H187" s="118">
        <v>19.12</v>
      </c>
      <c r="I187" s="121">
        <v>2146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51.162241187132871</v>
      </c>
      <c r="G188" s="120">
        <v>56.279241187132875</v>
      </c>
      <c r="H188" s="118">
        <v>19.059999999999999</v>
      </c>
      <c r="I188" s="121">
        <v>2574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51.162241187132871</v>
      </c>
      <c r="G189" s="120">
        <v>56.279241187132875</v>
      </c>
      <c r="H189" s="118">
        <v>19.059999999999999</v>
      </c>
      <c r="I189" s="121">
        <v>2574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65.699212572727674</v>
      </c>
      <c r="G190" s="120">
        <v>67.308912572727664</v>
      </c>
      <c r="H190" s="118">
        <v>17.45</v>
      </c>
      <c r="I190" s="121">
        <v>2999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88.627304568028876</v>
      </c>
      <c r="G191" s="120">
        <v>92.179204568028879</v>
      </c>
      <c r="H191" s="118">
        <v>17.72</v>
      </c>
      <c r="I191" s="121">
        <v>1345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99.8904</v>
      </c>
      <c r="G192" s="120">
        <v>106.3631</v>
      </c>
      <c r="H192" s="118">
        <v>16.75</v>
      </c>
      <c r="I192" s="121">
        <v>12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98.056536843672347</v>
      </c>
      <c r="G193" s="120">
        <v>101.52903684367234</v>
      </c>
      <c r="H193" s="118">
        <v>17.27</v>
      </c>
      <c r="I193" s="121">
        <v>210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98.680290178152731</v>
      </c>
      <c r="G194" s="120">
        <v>101.26359017815274</v>
      </c>
      <c r="H194" s="118">
        <v>17.149999999999999</v>
      </c>
      <c r="I194" s="121">
        <v>208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99.424786635553801</v>
      </c>
      <c r="G195" s="120">
        <v>106.0830866355538</v>
      </c>
      <c r="H195" s="118">
        <v>17.420000000000002</v>
      </c>
      <c r="I195" s="121">
        <v>309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99.427248495794615</v>
      </c>
      <c r="G196" s="120">
        <v>105.82894849579461</v>
      </c>
      <c r="H196" s="118">
        <v>17.61</v>
      </c>
      <c r="I196" s="121">
        <v>222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97.894400000000005</v>
      </c>
      <c r="G197" s="120">
        <v>103.0583</v>
      </c>
      <c r="H197" s="118">
        <v>17.5</v>
      </c>
      <c r="I197" s="121">
        <v>1690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99.676381627569597</v>
      </c>
      <c r="G198" s="120">
        <v>103.3707816275696</v>
      </c>
      <c r="H198" s="118">
        <v>17.53</v>
      </c>
      <c r="I198" s="121">
        <v>1724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99.676381627569597</v>
      </c>
      <c r="G199" s="120">
        <v>103.3707816275696</v>
      </c>
      <c r="H199" s="118">
        <v>17.53</v>
      </c>
      <c r="I199" s="121">
        <v>1724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98.704169792910804</v>
      </c>
      <c r="G200" s="120">
        <v>103.5744697929108</v>
      </c>
      <c r="H200" s="118">
        <v>18.53</v>
      </c>
      <c r="I200" s="121">
        <v>265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99.849425177237023</v>
      </c>
      <c r="G201" s="120">
        <v>101.69212517723702</v>
      </c>
      <c r="H201" s="118">
        <v>17.809999999999999</v>
      </c>
      <c r="I201" s="121">
        <v>332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79.033956445603394</v>
      </c>
      <c r="G202" s="120">
        <v>82.392556445603404</v>
      </c>
      <c r="H202" s="118">
        <v>17.600000000000001</v>
      </c>
      <c r="I202" s="121">
        <v>1873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88.609687132181861</v>
      </c>
      <c r="G203" s="120">
        <v>91.089387132181869</v>
      </c>
      <c r="H203" s="118">
        <v>17.54</v>
      </c>
      <c r="I203" s="121">
        <v>821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78.861286269616485</v>
      </c>
      <c r="G204" s="120">
        <v>81.340986269616479</v>
      </c>
      <c r="H204" s="118">
        <v>17.59</v>
      </c>
      <c r="I204" s="121">
        <v>1901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77.389431472914893</v>
      </c>
      <c r="G205" s="120">
        <v>82.247731472914893</v>
      </c>
      <c r="H205" s="118">
        <v>17.52</v>
      </c>
      <c r="I205" s="121">
        <v>2001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82.161616894314733</v>
      </c>
      <c r="G206" s="120">
        <v>84.208816894314722</v>
      </c>
      <c r="H206" s="118">
        <v>15.52</v>
      </c>
      <c r="I206" s="121">
        <v>2273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76.92035556893768</v>
      </c>
      <c r="G207" s="120">
        <v>84.575955568937673</v>
      </c>
      <c r="H207" s="118">
        <v>17.52</v>
      </c>
      <c r="I207" s="121">
        <v>4828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101.13089106202311</v>
      </c>
      <c r="G208" s="120">
        <v>102.79619106202311</v>
      </c>
      <c r="H208" s="118">
        <v>4.99</v>
      </c>
      <c r="I208" s="121">
        <v>970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97.282831362785231</v>
      </c>
      <c r="G209" s="120">
        <v>101.59953136278523</v>
      </c>
      <c r="H209" s="118">
        <v>21.7</v>
      </c>
      <c r="I209" s="121">
        <v>92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232253.46960000004</v>
      </c>
      <c r="G211" s="116">
        <v>232253.46960000004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4690.2758957977021</v>
      </c>
      <c r="G212" s="116">
        <v>4690.2758957977021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99.165165238103441</v>
      </c>
      <c r="G213" s="116">
        <v>103.30406523810343</v>
      </c>
      <c r="H213" s="116">
        <v>19.829999999999998</v>
      </c>
      <c r="I213" s="113">
        <v>31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84.477183398777498</v>
      </c>
      <c r="G214" s="116">
        <v>85.243883398777498</v>
      </c>
      <c r="H214" s="116">
        <v>20.38</v>
      </c>
      <c r="I214" s="113">
        <v>877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97.232357690638352</v>
      </c>
      <c r="G215" s="116">
        <v>99.087757690638355</v>
      </c>
      <c r="H215" s="116">
        <v>19.82</v>
      </c>
      <c r="I215" s="113">
        <v>119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80.021084540575842</v>
      </c>
      <c r="G216" s="116">
        <v>83.502984540575852</v>
      </c>
      <c r="H216" s="116">
        <v>20.260000000000002</v>
      </c>
      <c r="I216" s="113">
        <v>1151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98.857418561587068</v>
      </c>
      <c r="G217" s="116">
        <v>98.857418561587068</v>
      </c>
      <c r="H217" s="116">
        <v>4.78</v>
      </c>
      <c r="I217" s="113">
        <v>87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7266.9879945117764</v>
      </c>
      <c r="G218" s="116">
        <v>7266.9879945117764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104.99639999999999</v>
      </c>
      <c r="H219" s="116">
        <v>16.12</v>
      </c>
      <c r="I219" s="113">
        <v>661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85.017356116610031</v>
      </c>
      <c r="G220" s="116">
        <v>86.689556116610035</v>
      </c>
      <c r="H220" s="116">
        <v>37.86</v>
      </c>
      <c r="I220" s="113">
        <v>422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77.543830442278818</v>
      </c>
      <c r="G221" s="116">
        <v>80.277130442278818</v>
      </c>
      <c r="H221" s="116">
        <v>37.76</v>
      </c>
      <c r="I221" s="113">
        <v>672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76.849680853899329</v>
      </c>
      <c r="G222" s="116">
        <v>79.405280853899328</v>
      </c>
      <c r="H222" s="116">
        <v>37.76</v>
      </c>
      <c r="I222" s="113">
        <v>674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98.562700339126735</v>
      </c>
      <c r="G223" s="116">
        <v>103.81270033912674</v>
      </c>
      <c r="H223" s="116">
        <v>38.57</v>
      </c>
      <c r="I223" s="113">
        <v>30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93.522701291689557</v>
      </c>
      <c r="G224" s="116">
        <v>95.506001291689557</v>
      </c>
      <c r="H224" s="116">
        <v>39.39</v>
      </c>
      <c r="I224" s="113">
        <v>146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52815.139200000012</v>
      </c>
      <c r="G225" s="116">
        <v>52815.139200000012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133574.11200000002</v>
      </c>
      <c r="G227" s="116">
        <v>133574.11200000002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5866377.8600000003</v>
      </c>
      <c r="G229" s="116">
        <v>5866377.8600000003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1742218.24</v>
      </c>
      <c r="G231" s="116">
        <v>1742218.24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51828.696000000011</v>
      </c>
      <c r="G232" s="116">
        <v>51828.696000000011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63542.035200000013</v>
      </c>
      <c r="G233" s="116">
        <v>63542.035200000013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72.510717895547913</v>
      </c>
      <c r="G234" s="116">
        <v>73.359317895547917</v>
      </c>
      <c r="H234" s="116">
        <v>26.3</v>
      </c>
      <c r="I234" s="113">
        <v>1054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100.4132</v>
      </c>
      <c r="H235" s="116">
        <v>4.24</v>
      </c>
      <c r="I235" s="113">
        <v>265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100.0943</v>
      </c>
      <c r="H236" s="116">
        <v>0.35</v>
      </c>
      <c r="I236" s="113">
        <v>83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100.0865</v>
      </c>
      <c r="H237" s="116">
        <v>0.35</v>
      </c>
      <c r="I237" s="113">
        <v>91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100.0992</v>
      </c>
      <c r="H238" s="116">
        <v>0.35</v>
      </c>
      <c r="I238" s="113">
        <v>258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100.1264</v>
      </c>
      <c r="H239" s="116">
        <v>0.35</v>
      </c>
      <c r="I239" s="113">
        <v>590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100.0038</v>
      </c>
      <c r="H240" s="116">
        <v>0.02</v>
      </c>
      <c r="I240" s="113">
        <v>3092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101.0675</v>
      </c>
      <c r="H241" s="116">
        <v>6.08</v>
      </c>
      <c r="I241" s="113">
        <v>1707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105.93640000000001</v>
      </c>
      <c r="H242" s="116">
        <v>7.08</v>
      </c>
      <c r="I242" s="113">
        <v>2189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100.2372</v>
      </c>
      <c r="H243" s="116">
        <v>6.09</v>
      </c>
      <c r="I243" s="113">
        <v>2116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105.185</v>
      </c>
      <c r="H244" s="116">
        <v>6.08</v>
      </c>
      <c r="I244" s="113">
        <v>2544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105.185</v>
      </c>
      <c r="H245" s="116">
        <v>6.08</v>
      </c>
      <c r="I245" s="113">
        <v>2544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104.0497</v>
      </c>
      <c r="H246" s="116">
        <v>6.08</v>
      </c>
      <c r="I246" s="113">
        <v>2611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100.19028666704428</v>
      </c>
      <c r="G247" s="116">
        <v>102.70068666704428</v>
      </c>
      <c r="H247" s="116">
        <v>5.36</v>
      </c>
      <c r="I247" s="113">
        <v>202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97.172010020536092</v>
      </c>
      <c r="G248" s="116">
        <v>97.305610020536093</v>
      </c>
      <c r="H248" s="116">
        <v>17.7</v>
      </c>
      <c r="I248" s="113">
        <v>911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93.658929496813499</v>
      </c>
      <c r="G249" s="116">
        <v>103.1256294968135</v>
      </c>
      <c r="H249" s="116">
        <v>17.850000000000001</v>
      </c>
      <c r="I249" s="113">
        <v>660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90.348215252693038</v>
      </c>
      <c r="G250" s="116">
        <v>96.04721525269305</v>
      </c>
      <c r="H250" s="116">
        <v>17.86</v>
      </c>
      <c r="I250" s="113">
        <v>736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93.285639764423422</v>
      </c>
      <c r="G251" s="116">
        <v>107.38703976442342</v>
      </c>
      <c r="H251" s="116">
        <v>18.579999999999998</v>
      </c>
      <c r="I251" s="113">
        <v>725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99.581249815307061</v>
      </c>
      <c r="G252" s="116">
        <v>106.96484981530705</v>
      </c>
      <c r="H252" s="116">
        <v>17.68</v>
      </c>
      <c r="I252" s="113">
        <v>942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106.1381343676566</v>
      </c>
      <c r="G253" s="116">
        <v>106.71563436765661</v>
      </c>
      <c r="H253" s="116">
        <v>4.88</v>
      </c>
      <c r="I253" s="113">
        <v>1767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96.878231513779141</v>
      </c>
      <c r="G254" s="116">
        <v>97.327531513779135</v>
      </c>
      <c r="H254" s="116">
        <v>6.96</v>
      </c>
      <c r="I254" s="113">
        <v>201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97.018361422539897</v>
      </c>
      <c r="G255" s="116">
        <v>100.0711614225399</v>
      </c>
      <c r="H255" s="116">
        <v>16.350000000000001</v>
      </c>
      <c r="I255" s="113">
        <v>831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97.384709554286331</v>
      </c>
      <c r="G256" s="116">
        <v>97.76320955428632</v>
      </c>
      <c r="H256" s="116">
        <v>16.260000000000002</v>
      </c>
      <c r="I256" s="113">
        <v>1071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97.242883562085396</v>
      </c>
      <c r="G257" s="116">
        <v>100.88788356208541</v>
      </c>
      <c r="H257" s="116">
        <v>16.12</v>
      </c>
      <c r="I257" s="113">
        <v>1540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349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416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98.788746992770427</v>
      </c>
      <c r="G260" s="116">
        <v>108.10384699277043</v>
      </c>
      <c r="H260" s="116">
        <v>17.05</v>
      </c>
      <c r="I260" s="113">
        <v>115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100.85590000000001</v>
      </c>
      <c r="H261" s="116">
        <v>15.61</v>
      </c>
      <c r="I261" s="113">
        <v>529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102.6339</v>
      </c>
      <c r="H262" s="116">
        <v>15.75</v>
      </c>
      <c r="I262" s="113">
        <v>1308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101.602</v>
      </c>
      <c r="G263" s="116">
        <v>103.6558</v>
      </c>
      <c r="H263" s="116">
        <v>3.71</v>
      </c>
      <c r="I263" s="113">
        <v>911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101.301</v>
      </c>
      <c r="G264" s="116">
        <v>101.67910000000001</v>
      </c>
      <c r="H264" s="116">
        <v>3.71</v>
      </c>
      <c r="I264" s="113">
        <v>1227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100.17010000000001</v>
      </c>
      <c r="H265" s="116">
        <v>15.52</v>
      </c>
      <c r="I265" s="113">
        <v>545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104.9464</v>
      </c>
      <c r="H266" s="116">
        <v>16.079999999999998</v>
      </c>
      <c r="I266" s="113">
        <v>984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99.128941356270104</v>
      </c>
      <c r="G267" s="116">
        <v>99.128941356270104</v>
      </c>
      <c r="H267" s="116">
        <v>15.98</v>
      </c>
      <c r="I267" s="113">
        <v>180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98.554039053134233</v>
      </c>
      <c r="G268" s="116">
        <v>101.38293905313424</v>
      </c>
      <c r="H268" s="116">
        <v>16.440000000000001</v>
      </c>
      <c r="I268" s="113">
        <v>293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96.680540321301251</v>
      </c>
      <c r="G269" s="116">
        <v>98.387440321301256</v>
      </c>
      <c r="H269" s="116">
        <v>16.39</v>
      </c>
      <c r="I269" s="113">
        <v>680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98.226971374557237</v>
      </c>
      <c r="G270" s="116">
        <v>101.27977137455724</v>
      </c>
      <c r="H270" s="116">
        <v>16.39</v>
      </c>
      <c r="I270" s="113">
        <v>471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99.045000000000002</v>
      </c>
      <c r="G271" s="116">
        <v>99.974900000000005</v>
      </c>
      <c r="H271" s="116">
        <v>3.7</v>
      </c>
      <c r="I271" s="113">
        <v>797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99.302000000000007</v>
      </c>
      <c r="G272" s="116">
        <v>99.734999999999999</v>
      </c>
      <c r="H272" s="116">
        <v>3.78</v>
      </c>
      <c r="I272" s="113">
        <v>1757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46.472004639143378</v>
      </c>
      <c r="G274" s="116">
        <v>49.91640463914338</v>
      </c>
      <c r="H274" s="116">
        <v>17.809999999999999</v>
      </c>
      <c r="I274" s="113">
        <v>2570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94.385031620074741</v>
      </c>
      <c r="G275" s="116">
        <v>94.780431620074737</v>
      </c>
      <c r="H275" s="116">
        <v>17.510000000000002</v>
      </c>
      <c r="I275" s="113">
        <v>347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86.759268320914003</v>
      </c>
      <c r="G276" s="116">
        <v>88.814868320914002</v>
      </c>
      <c r="H276" s="116">
        <v>19.010000000000002</v>
      </c>
      <c r="I276" s="113">
        <v>646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22874.162400000005</v>
      </c>
      <c r="G277" s="116">
        <v>22874.162400000005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95.691443162967232</v>
      </c>
      <c r="G281" s="116">
        <v>97.313843162967245</v>
      </c>
      <c r="H281" s="116">
        <v>17.73</v>
      </c>
      <c r="I281" s="113">
        <v>212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95.172785220469336</v>
      </c>
      <c r="G282" s="116">
        <v>98.725285220469331</v>
      </c>
      <c r="H282" s="116">
        <v>18.23</v>
      </c>
      <c r="I282" s="113">
        <v>233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2066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72.589708228352634</v>
      </c>
      <c r="G284" s="116">
        <v>73.628608228352647</v>
      </c>
      <c r="H284" s="116">
        <v>18.100000000000001</v>
      </c>
      <c r="I284" s="113">
        <v>2486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96.578850265807262</v>
      </c>
      <c r="G285" s="116">
        <v>96.812150265807261</v>
      </c>
      <c r="H285" s="116">
        <v>18.28</v>
      </c>
      <c r="I285" s="113">
        <v>172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23715.064800000004</v>
      </c>
      <c r="G286" s="116">
        <v>23715.064800000004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5491.9296937015852</v>
      </c>
      <c r="G289" s="116">
        <v>5491.9296937015852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561927.63840000005</v>
      </c>
      <c r="G290" s="116">
        <v>561927.63840000005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627340.14240000013</v>
      </c>
      <c r="G293" s="116">
        <v>627340.14240000013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101.8847</v>
      </c>
      <c r="H295" s="116">
        <v>11.46</v>
      </c>
      <c r="I295" s="113">
        <v>1021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109.83329999999999</v>
      </c>
      <c r="H296" s="116">
        <v>10</v>
      </c>
      <c r="I296" s="113">
        <v>3246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100.73440502442047</v>
      </c>
      <c r="G297" s="116">
        <v>105.94270502442046</v>
      </c>
      <c r="H297" s="116">
        <v>23.47</v>
      </c>
      <c r="I297" s="113">
        <v>195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17171.119200000005</v>
      </c>
      <c r="G298" s="116">
        <v>17171.119200000005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85.620502036280726</v>
      </c>
      <c r="G299" s="116">
        <v>89.72050203628072</v>
      </c>
      <c r="H299" s="116">
        <v>38.549999999999997</v>
      </c>
      <c r="I299" s="113">
        <v>237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99.994500000000002</v>
      </c>
      <c r="G300" s="116">
        <v>105.3112</v>
      </c>
      <c r="H300" s="116">
        <v>11</v>
      </c>
      <c r="I300" s="113">
        <v>366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87.135132253365384</v>
      </c>
      <c r="G301" s="116">
        <v>91.962932253365381</v>
      </c>
      <c r="H301" s="116">
        <v>38.520000000000003</v>
      </c>
      <c r="I301" s="113">
        <v>202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94959.981600000014</v>
      </c>
      <c r="G302" s="116">
        <v>94959.981600000014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93.744232068758521</v>
      </c>
      <c r="G303" s="116">
        <v>99.132332068758515</v>
      </c>
      <c r="H303" s="116">
        <v>18.73</v>
      </c>
      <c r="I303" s="113">
        <v>377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42212.222400000006</v>
      </c>
      <c r="G304" s="116">
        <v>42212.222400000006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6422.6616000000013</v>
      </c>
      <c r="G305" s="116">
        <v>6422.6616000000013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5195.1600000000008</v>
      </c>
      <c r="G306" s="116">
        <v>5195.1600000000008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32789.803200000009</v>
      </c>
      <c r="G307" s="116">
        <v>32789.803200000009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167846.27520000003</v>
      </c>
      <c r="G308" s="116">
        <v>167846.27520000003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112724.04480000002</v>
      </c>
      <c r="G309" s="116">
        <v>112724.04480000002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98.524100000000004</v>
      </c>
      <c r="G310" s="116">
        <v>99.807400000000001</v>
      </c>
      <c r="H310" s="116">
        <v>18.25</v>
      </c>
      <c r="I310" s="113">
        <v>332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96.647800000000004</v>
      </c>
      <c r="G311" s="116">
        <v>97.564499999999995</v>
      </c>
      <c r="H311" s="116">
        <v>18</v>
      </c>
      <c r="I311" s="113">
        <v>1060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98.204526713550351</v>
      </c>
      <c r="G312" s="116">
        <v>98.254926713550347</v>
      </c>
      <c r="H312" s="116">
        <v>19.09</v>
      </c>
      <c r="I312" s="113">
        <v>899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97.311599999999999</v>
      </c>
      <c r="G313" s="116">
        <v>100.3304</v>
      </c>
      <c r="H313" s="116">
        <v>19</v>
      </c>
      <c r="I313" s="113">
        <v>657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97.901300000000006</v>
      </c>
      <c r="G314" s="116">
        <v>100.4409</v>
      </c>
      <c r="H314" s="116">
        <v>18</v>
      </c>
      <c r="I314" s="113">
        <v>1387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100.81171628672541</v>
      </c>
      <c r="G315" s="116">
        <v>103.14611628672542</v>
      </c>
      <c r="H315" s="116">
        <v>18.809999999999999</v>
      </c>
      <c r="I315" s="113">
        <v>1756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100.1095833384491</v>
      </c>
      <c r="G316" s="116">
        <v>102.9970833384491</v>
      </c>
      <c r="H316" s="116">
        <v>19.12</v>
      </c>
      <c r="I316" s="113">
        <v>666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53140.355000000003</v>
      </c>
      <c r="G317" s="116">
        <v>53140.355000000003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74038.66</v>
      </c>
      <c r="G318" s="116">
        <v>74038.66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73074.195000000007</v>
      </c>
      <c r="G319" s="116">
        <v>73074.195000000007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580880.69499999995</v>
      </c>
      <c r="G320" s="116">
        <v>580880.69499999995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534.52014960000008</v>
      </c>
      <c r="G322" s="116">
        <v>534.52014960000008</v>
      </c>
      <c r="H322" s="116">
        <v>0</v>
      </c>
      <c r="I322" s="113">
        <v>540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365.6591173442439</v>
      </c>
      <c r="G323" s="116">
        <v>365.6591173442439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101.66756535987484</v>
      </c>
      <c r="G324" s="116">
        <v>103.37536535987485</v>
      </c>
      <c r="H324" s="116">
        <v>18.14</v>
      </c>
      <c r="I324" s="113">
        <v>2127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104.02200000000001</v>
      </c>
      <c r="H325" s="116">
        <v>17.02</v>
      </c>
      <c r="I325" s="113">
        <v>827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14230.656000000003</v>
      </c>
      <c r="G326" s="116">
        <v>14230.656000000003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43600.250400000012</v>
      </c>
      <c r="G327" s="116">
        <v>43600.250400000012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131673.99600000001</v>
      </c>
      <c r="G328" s="116">
        <v>131673.99600000001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102.55</v>
      </c>
      <c r="G329" s="116">
        <v>102.8969</v>
      </c>
      <c r="H329" s="116">
        <v>3.7</v>
      </c>
      <c r="I329" s="113">
        <v>1053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99.555000000000007</v>
      </c>
      <c r="G330" s="116">
        <v>101.13590000000001</v>
      </c>
      <c r="H330" s="116">
        <v>3.74</v>
      </c>
      <c r="I330" s="113">
        <v>1463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100.68899999999999</v>
      </c>
      <c r="G331" s="116">
        <v>101.2223</v>
      </c>
      <c r="H331" s="116">
        <v>3.86</v>
      </c>
      <c r="I331" s="113">
        <v>1932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103.083</v>
      </c>
      <c r="G332" s="116">
        <v>104.80800000000001</v>
      </c>
      <c r="H332" s="116">
        <v>3.88</v>
      </c>
      <c r="I332" s="113">
        <v>2022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1013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7732.5288000000019</v>
      </c>
      <c r="G334" s="116">
        <v>7732.5288000000019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101.23580000617179</v>
      </c>
      <c r="G335" s="116">
        <v>101.23580000617179</v>
      </c>
      <c r="H335" s="116">
        <v>8.49</v>
      </c>
      <c r="I335" s="113">
        <v>90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79.985964639489723</v>
      </c>
      <c r="G336" s="116">
        <v>83.493164639489734</v>
      </c>
      <c r="H336" s="116">
        <v>17.84</v>
      </c>
      <c r="I336" s="113">
        <v>1873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78.277568206782988</v>
      </c>
      <c r="G337" s="116">
        <v>83.356768206782988</v>
      </c>
      <c r="H337" s="116">
        <v>17.809999999999999</v>
      </c>
      <c r="I337" s="113">
        <v>2001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87.743670106479073</v>
      </c>
      <c r="G338" s="116">
        <v>91.394770106479072</v>
      </c>
      <c r="H338" s="116">
        <v>17.53</v>
      </c>
      <c r="I338" s="113">
        <v>1154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74.046297222947913</v>
      </c>
      <c r="G339" s="116">
        <v>81.79019722294791</v>
      </c>
      <c r="H339" s="116">
        <v>18.43</v>
      </c>
      <c r="I339" s="113">
        <v>4828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2972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4183.0930254838095</v>
      </c>
      <c r="G341" s="116">
        <v>4183.0930254838095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75001.127067822221</v>
      </c>
      <c r="G342" s="116">
        <v>75001.127067822221</v>
      </c>
      <c r="H342" s="116">
        <v>0</v>
      </c>
      <c r="I342" s="113">
        <v>140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287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1109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102.18300000000001</v>
      </c>
      <c r="G345" s="116">
        <v>102.74550000000001</v>
      </c>
      <c r="H345" s="116">
        <v>3.69</v>
      </c>
      <c r="I345" s="113">
        <v>1035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9351.0568822161258</v>
      </c>
      <c r="G346" s="116">
        <v>9351.0568822161258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27003.208800000004</v>
      </c>
      <c r="G347" s="116">
        <v>27003.208800000004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92.680510982310082</v>
      </c>
      <c r="G348" s="116">
        <v>99.04861098231008</v>
      </c>
      <c r="H348" s="116">
        <v>19.420000000000002</v>
      </c>
      <c r="I348" s="113">
        <v>2569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92.598403040455068</v>
      </c>
      <c r="G349" s="116">
        <v>96.147003040455061</v>
      </c>
      <c r="H349" s="116">
        <v>19.41</v>
      </c>
      <c r="I349" s="113">
        <v>2627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38.620951434310108</v>
      </c>
      <c r="G350" s="116">
        <v>39.276551434310107</v>
      </c>
      <c r="H350" s="116">
        <v>20.25</v>
      </c>
      <c r="I350" s="113">
        <v>2821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38.131527139908705</v>
      </c>
      <c r="G351" s="116">
        <v>38.153727139908703</v>
      </c>
      <c r="H351" s="116">
        <v>20.25</v>
      </c>
      <c r="I351" s="113">
        <v>2878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74.602482935819907</v>
      </c>
      <c r="G352" s="116">
        <v>82.627882935819912</v>
      </c>
      <c r="H352" s="116">
        <v>26.07</v>
      </c>
      <c r="I352" s="113">
        <v>2175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40.759898835190846</v>
      </c>
      <c r="G353" s="116">
        <v>43.826598835190843</v>
      </c>
      <c r="H353" s="116">
        <v>20.28</v>
      </c>
      <c r="I353" s="113">
        <v>2604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91.751564814480403</v>
      </c>
      <c r="G354" s="116">
        <v>96.435764814480393</v>
      </c>
      <c r="H354" s="116">
        <v>19.829999999999998</v>
      </c>
      <c r="I354" s="113">
        <v>386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72.217474007090772</v>
      </c>
      <c r="G355" s="116">
        <v>74.538174007090774</v>
      </c>
      <c r="H355" s="116">
        <v>19.48</v>
      </c>
      <c r="I355" s="113">
        <v>1903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13058.244000000002</v>
      </c>
      <c r="G357" s="116">
        <v>13058.244000000002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101.1118</v>
      </c>
      <c r="H358" s="116">
        <v>23.17</v>
      </c>
      <c r="I358" s="113">
        <v>473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95420.860800000024</v>
      </c>
      <c r="G359" s="116">
        <v>95420.860800000024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161162.17920000004</v>
      </c>
      <c r="G360" s="116">
        <v>161162.17920000004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94.645239797724003</v>
      </c>
      <c r="G362" s="116">
        <v>95.814839797724005</v>
      </c>
      <c r="H362" s="116">
        <v>16.989999999999998</v>
      </c>
      <c r="I362" s="113">
        <v>319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92.640931031322538</v>
      </c>
      <c r="G363" s="116">
        <v>93.986731031322549</v>
      </c>
      <c r="H363" s="116">
        <v>16.88</v>
      </c>
      <c r="I363" s="113">
        <v>1406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92.640931031322538</v>
      </c>
      <c r="G364" s="116">
        <v>93.986731031322549</v>
      </c>
      <c r="H364" s="116">
        <v>16.88</v>
      </c>
      <c r="I364" s="113">
        <v>1406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95.159154678937625</v>
      </c>
      <c r="G365" s="116">
        <v>98.336254678937621</v>
      </c>
      <c r="H365" s="116">
        <v>16.850000000000001</v>
      </c>
      <c r="I365" s="113">
        <v>1545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98.932613999656084</v>
      </c>
      <c r="G366" s="116">
        <v>104.61591399965607</v>
      </c>
      <c r="H366" s="116">
        <v>16.82</v>
      </c>
      <c r="I366" s="113">
        <v>1676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98.933771022245466</v>
      </c>
      <c r="G367" s="116">
        <v>103.42547102224546</v>
      </c>
      <c r="H367" s="116">
        <v>16.809999999999999</v>
      </c>
      <c r="I367" s="113">
        <v>1702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100.1361</v>
      </c>
      <c r="H368" s="116">
        <v>0.35</v>
      </c>
      <c r="I368" s="113">
        <v>340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101.6292</v>
      </c>
      <c r="H369" s="116">
        <v>4.24</v>
      </c>
      <c r="I369" s="113">
        <v>342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100.1176</v>
      </c>
      <c r="H370" s="116">
        <v>0.35</v>
      </c>
      <c r="I370" s="113">
        <v>59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100.0564</v>
      </c>
      <c r="H371" s="116">
        <v>0.35</v>
      </c>
      <c r="I371" s="113">
        <v>662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3092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90.424129911119039</v>
      </c>
      <c r="G373" s="116">
        <v>91.839729911119036</v>
      </c>
      <c r="H373" s="116">
        <v>20.5</v>
      </c>
      <c r="I373" s="113">
        <v>3572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90.426999283453611</v>
      </c>
      <c r="G374" s="116">
        <v>92.449199283453623</v>
      </c>
      <c r="H374" s="116">
        <v>20.49</v>
      </c>
      <c r="I374" s="113">
        <v>3560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105.93640000000001</v>
      </c>
      <c r="H375" s="116">
        <v>7.09</v>
      </c>
      <c r="I375" s="113">
        <v>2219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88.661518346864298</v>
      </c>
      <c r="G376" s="116">
        <v>88.925918346864307</v>
      </c>
      <c r="H376" s="116">
        <v>16.899999999999999</v>
      </c>
      <c r="I376" s="113">
        <v>1072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110.11244622001956</v>
      </c>
      <c r="G377" s="116">
        <v>111.51664622001957</v>
      </c>
      <c r="H377" s="116">
        <v>13.43</v>
      </c>
      <c r="I377" s="113">
        <v>1410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122.6820819533025</v>
      </c>
      <c r="G378" s="116">
        <v>125.1417819533025</v>
      </c>
      <c r="H378" s="116">
        <v>12.83</v>
      </c>
      <c r="I378" s="113">
        <v>1754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100.22800515660541</v>
      </c>
      <c r="G379" s="116">
        <v>101.8169051566054</v>
      </c>
      <c r="H379" s="116">
        <v>6.4</v>
      </c>
      <c r="I379" s="113">
        <v>992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3340.8572200502663</v>
      </c>
      <c r="G383" s="116">
        <v>3340.8572200502663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1436.0962095997572</v>
      </c>
      <c r="G384" s="116">
        <v>1436.0962095997572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83.868837570179039</v>
      </c>
      <c r="G385" s="116">
        <v>87.16553757017904</v>
      </c>
      <c r="H385" s="116">
        <v>17.52</v>
      </c>
      <c r="I385" s="113">
        <v>2068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76.909851287944775</v>
      </c>
      <c r="G386" s="116">
        <v>88.377951287944782</v>
      </c>
      <c r="H386" s="116">
        <v>17.46</v>
      </c>
      <c r="I386" s="113">
        <v>2521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73.019168223116324</v>
      </c>
      <c r="G387" s="116">
        <v>75.769168223116324</v>
      </c>
      <c r="H387" s="116">
        <v>16.68</v>
      </c>
      <c r="I387" s="113">
        <v>3510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103.4937</v>
      </c>
      <c r="H388" s="116">
        <v>18.73</v>
      </c>
      <c r="I388" s="113">
        <v>4498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89.666586207812841</v>
      </c>
      <c r="G389" s="116">
        <v>99.899886207812841</v>
      </c>
      <c r="H389" s="116">
        <v>14.38</v>
      </c>
      <c r="I389" s="113">
        <v>2573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89.832981140338873</v>
      </c>
      <c r="G390" s="116">
        <v>95.005181140338877</v>
      </c>
      <c r="H390" s="116">
        <v>14.64</v>
      </c>
      <c r="I390" s="113">
        <v>884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81.304391919634298</v>
      </c>
      <c r="G391" s="116">
        <v>85.869691919634306</v>
      </c>
      <c r="H391" s="116">
        <v>14.62</v>
      </c>
      <c r="I391" s="113">
        <v>1987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99.633020830482025</v>
      </c>
      <c r="G392" s="116">
        <v>107.82612083048203</v>
      </c>
      <c r="H392" s="116">
        <v>18.829999999999998</v>
      </c>
      <c r="I392" s="113">
        <v>13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104.31659999999999</v>
      </c>
      <c r="H393" s="116">
        <v>17.72</v>
      </c>
      <c r="I393" s="113">
        <v>96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107.2668</v>
      </c>
      <c r="H394" s="116">
        <v>16.829999999999998</v>
      </c>
      <c r="I394" s="113">
        <v>32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104.7526</v>
      </c>
      <c r="H395" s="116">
        <v>18.21</v>
      </c>
      <c r="I395" s="113">
        <v>819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101.95</v>
      </c>
      <c r="H396" s="116">
        <v>18.22</v>
      </c>
      <c r="I396" s="113">
        <v>875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101.9714</v>
      </c>
      <c r="H397" s="116">
        <v>18.43</v>
      </c>
      <c r="I397" s="113">
        <v>1606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104.7786</v>
      </c>
      <c r="H398" s="116">
        <v>18.329999999999998</v>
      </c>
      <c r="I398" s="113">
        <v>1550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97.889696986286367</v>
      </c>
      <c r="G399" s="116">
        <v>104.67159698628637</v>
      </c>
      <c r="H399" s="116">
        <v>17.07</v>
      </c>
      <c r="I399" s="113">
        <v>103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99.529014863274298</v>
      </c>
      <c r="G400" s="116">
        <v>110.95261486327431</v>
      </c>
      <c r="H400" s="116">
        <v>17.45</v>
      </c>
      <c r="I400" s="113">
        <v>31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107.45480000000001</v>
      </c>
      <c r="H401" s="116">
        <v>18.03</v>
      </c>
      <c r="I401" s="113">
        <v>215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102.0712</v>
      </c>
      <c r="H402" s="116">
        <v>16.72</v>
      </c>
      <c r="I402" s="113">
        <v>320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90.41325650781485</v>
      </c>
      <c r="G403" s="116">
        <v>97.116056507814847</v>
      </c>
      <c r="H403" s="116">
        <v>14.64</v>
      </c>
      <c r="I403" s="113">
        <v>826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97.267453807416118</v>
      </c>
      <c r="G404" s="116">
        <v>104.17715380741612</v>
      </c>
      <c r="H404" s="116">
        <v>18.75</v>
      </c>
      <c r="I404" s="113">
        <v>161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82.018746065201327</v>
      </c>
      <c r="G405" s="116">
        <v>89.354846065201329</v>
      </c>
      <c r="H405" s="116">
        <v>14.62</v>
      </c>
      <c r="I405" s="113">
        <v>1882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94.247552077118925</v>
      </c>
      <c r="G406" s="116">
        <v>106.26145207711892</v>
      </c>
      <c r="H406" s="116">
        <v>19.07</v>
      </c>
      <c r="I406" s="113">
        <v>374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94.019576373862918</v>
      </c>
      <c r="G407" s="116">
        <v>105.54737637386292</v>
      </c>
      <c r="H407" s="116">
        <v>19.059999999999999</v>
      </c>
      <c r="I407" s="113">
        <v>388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94.778621015228069</v>
      </c>
      <c r="G408" s="116">
        <v>95.50782101522806</v>
      </c>
      <c r="H408" s="116">
        <v>18.989999999999998</v>
      </c>
      <c r="I408" s="113">
        <v>339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96.510169920237132</v>
      </c>
      <c r="G409" s="116">
        <v>101.54486992023713</v>
      </c>
      <c r="H409" s="116">
        <v>18.71</v>
      </c>
      <c r="I409" s="113">
        <v>215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96.097602893634019</v>
      </c>
      <c r="G410" s="116">
        <v>100.12540289363402</v>
      </c>
      <c r="H410" s="116">
        <v>18.760000000000002</v>
      </c>
      <c r="I410" s="113">
        <v>244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99.401116155892012</v>
      </c>
      <c r="G411" s="116">
        <v>110.68581615589201</v>
      </c>
      <c r="H411" s="116">
        <v>18.2</v>
      </c>
      <c r="I411" s="113">
        <v>35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97.313543320836374</v>
      </c>
      <c r="G412" s="116">
        <v>104.32744332083638</v>
      </c>
      <c r="H412" s="116">
        <v>18.75</v>
      </c>
      <c r="I412" s="113">
        <v>158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95.508958326890735</v>
      </c>
      <c r="G413" s="116">
        <v>98.147858326890741</v>
      </c>
      <c r="H413" s="116">
        <v>18.89</v>
      </c>
      <c r="I413" s="113">
        <v>284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95.60095623833034</v>
      </c>
      <c r="G414" s="116">
        <v>98.482856238330342</v>
      </c>
      <c r="H414" s="116">
        <v>18.88</v>
      </c>
      <c r="I414" s="113">
        <v>277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95.239580854047986</v>
      </c>
      <c r="G415" s="116">
        <v>97.149280854047987</v>
      </c>
      <c r="H415" s="116">
        <v>18.91</v>
      </c>
      <c r="I415" s="113">
        <v>305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97.915173952317076</v>
      </c>
      <c r="G416" s="116">
        <v>103.61517395231708</v>
      </c>
      <c r="H416" s="116">
        <v>14.81</v>
      </c>
      <c r="I416" s="113">
        <v>144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91.894364426576246</v>
      </c>
      <c r="G417" s="116">
        <v>98.66516442657624</v>
      </c>
      <c r="H417" s="116">
        <v>19.149999999999999</v>
      </c>
      <c r="I417" s="113">
        <v>525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91.535181980381267</v>
      </c>
      <c r="G418" s="116">
        <v>97.021281980381261</v>
      </c>
      <c r="H418" s="116">
        <v>19.05</v>
      </c>
      <c r="I418" s="113">
        <v>562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91.016219419146111</v>
      </c>
      <c r="G419" s="116">
        <v>95.04401941914611</v>
      </c>
      <c r="H419" s="116">
        <v>19.07</v>
      </c>
      <c r="I419" s="113">
        <v>604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100.03789999999999</v>
      </c>
      <c r="H420" s="116">
        <v>0.35</v>
      </c>
      <c r="I420" s="113">
        <v>321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100.0078</v>
      </c>
      <c r="H421" s="116">
        <v>0.35</v>
      </c>
      <c r="I421" s="113">
        <v>712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3092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104.8122</v>
      </c>
      <c r="H423" s="116">
        <v>7.05</v>
      </c>
      <c r="I423" s="113">
        <v>2189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101.0675</v>
      </c>
      <c r="H424" s="116">
        <v>6.08</v>
      </c>
      <c r="I424" s="113">
        <v>1707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105.93640000000001</v>
      </c>
      <c r="H425" s="116">
        <v>7.08</v>
      </c>
      <c r="I425" s="113">
        <v>2189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100.2372</v>
      </c>
      <c r="H426" s="116">
        <v>6.09</v>
      </c>
      <c r="I426" s="113">
        <v>2116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105.185</v>
      </c>
      <c r="H427" s="116">
        <v>6.08</v>
      </c>
      <c r="I427" s="113">
        <v>2544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105.185</v>
      </c>
      <c r="H428" s="116">
        <v>6.08</v>
      </c>
      <c r="I428" s="113">
        <v>2544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98.700340139118225</v>
      </c>
      <c r="G429" s="116">
        <v>106.80174013911822</v>
      </c>
      <c r="H429" s="116">
        <v>18.47</v>
      </c>
      <c r="I429" s="113">
        <v>53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19530.77828598164</v>
      </c>
      <c r="G432" s="116">
        <v>19530.77828598164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100.20399999999999</v>
      </c>
      <c r="G433" s="116">
        <v>101.9061</v>
      </c>
      <c r="H433" s="116">
        <v>4.62</v>
      </c>
      <c r="I433" s="113">
        <v>591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89.843000000000004</v>
      </c>
      <c r="G434" s="116">
        <v>91.903400000000005</v>
      </c>
      <c r="H434" s="116">
        <v>6.64</v>
      </c>
      <c r="I434" s="113">
        <v>7791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102.04</v>
      </c>
      <c r="G435" s="116">
        <v>103.8914</v>
      </c>
      <c r="H435" s="116">
        <v>4.88</v>
      </c>
      <c r="I435" s="113">
        <v>1676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95.908000000000001</v>
      </c>
      <c r="G436" s="116">
        <v>98.103800000000007</v>
      </c>
      <c r="H436" s="116">
        <v>6.73</v>
      </c>
      <c r="I436" s="113">
        <v>8336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88.477999999999994</v>
      </c>
      <c r="G437" s="116">
        <v>89.780799999999999</v>
      </c>
      <c r="H437" s="116">
        <v>5.36</v>
      </c>
      <c r="I437" s="113">
        <v>2746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100.1653</v>
      </c>
      <c r="H438" s="116">
        <v>4.24</v>
      </c>
      <c r="I438" s="113">
        <v>286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100.0865</v>
      </c>
      <c r="H439" s="116">
        <v>0.35</v>
      </c>
      <c r="I439" s="113">
        <v>91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100.0467</v>
      </c>
      <c r="H440" s="116">
        <v>0.35</v>
      </c>
      <c r="I440" s="113">
        <v>312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100.1011</v>
      </c>
      <c r="H441" s="116">
        <v>0.35</v>
      </c>
      <c r="I441" s="113">
        <v>616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100.01390000000001</v>
      </c>
      <c r="H442" s="116">
        <v>0.02</v>
      </c>
      <c r="I442" s="113">
        <v>3092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100.0038</v>
      </c>
      <c r="H443" s="116">
        <v>0.02</v>
      </c>
      <c r="I443" s="113">
        <v>3092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101.0675</v>
      </c>
      <c r="H444" s="116">
        <v>6.08</v>
      </c>
      <c r="I444" s="113">
        <v>1707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90.424129911119039</v>
      </c>
      <c r="G445" s="116">
        <v>91.839729911119036</v>
      </c>
      <c r="H445" s="116">
        <v>20.5</v>
      </c>
      <c r="I445" s="113">
        <v>3572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100.2372</v>
      </c>
      <c r="H446" s="116">
        <v>6.09</v>
      </c>
      <c r="I446" s="113">
        <v>2116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105.185</v>
      </c>
      <c r="H447" s="116">
        <v>6.08</v>
      </c>
      <c r="I447" s="113">
        <v>2544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105.185</v>
      </c>
      <c r="H448" s="116">
        <v>6.08</v>
      </c>
      <c r="I448" s="113">
        <v>2544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104.0497</v>
      </c>
      <c r="H449" s="116">
        <v>6.08</v>
      </c>
      <c r="I449" s="113">
        <v>2611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36986.229600000006</v>
      </c>
      <c r="G451" s="116">
        <v>36986.229600000006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101.2514</v>
      </c>
      <c r="H452" s="116">
        <v>4.2300000000000004</v>
      </c>
      <c r="I452" s="113">
        <v>374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100.0933</v>
      </c>
      <c r="H453" s="116">
        <v>0.35</v>
      </c>
      <c r="I453" s="113">
        <v>84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100.02719999999999</v>
      </c>
      <c r="H454" s="116">
        <v>0.35</v>
      </c>
      <c r="I454" s="113">
        <v>332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100.1264</v>
      </c>
      <c r="H455" s="116">
        <v>0.35</v>
      </c>
      <c r="I455" s="113">
        <v>590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3092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100.0042</v>
      </c>
      <c r="H457" s="116">
        <v>0.02</v>
      </c>
      <c r="I457" s="113">
        <v>3092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101.0675</v>
      </c>
      <c r="H458" s="116">
        <v>6.08</v>
      </c>
      <c r="I458" s="113">
        <v>1707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105.93640000000001</v>
      </c>
      <c r="H459" s="116">
        <v>7.08</v>
      </c>
      <c r="I459" s="113">
        <v>2189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90.426999283453611</v>
      </c>
      <c r="G460" s="116">
        <v>92.449199283453623</v>
      </c>
      <c r="H460" s="116">
        <v>20.49</v>
      </c>
      <c r="I460" s="113">
        <v>3560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100.2372</v>
      </c>
      <c r="H461" s="116">
        <v>6.09</v>
      </c>
      <c r="I461" s="113">
        <v>2116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105.185</v>
      </c>
      <c r="H462" s="116">
        <v>6.08</v>
      </c>
      <c r="I462" s="113">
        <v>2544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105.185</v>
      </c>
      <c r="H463" s="116">
        <v>6.08</v>
      </c>
      <c r="I463" s="113">
        <v>2544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104.0497</v>
      </c>
      <c r="H464" s="116">
        <v>6.08</v>
      </c>
      <c r="I464" s="113">
        <v>2611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49327.390651242051</v>
      </c>
      <c r="G466" s="116">
        <v>49327.390651242051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49825.044150821486</v>
      </c>
      <c r="G467" s="116">
        <v>49825.044150821486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96.691675934354095</v>
      </c>
      <c r="G468" s="116">
        <v>98.149975934354089</v>
      </c>
      <c r="H468" s="116">
        <v>19.010000000000002</v>
      </c>
      <c r="I468" s="113">
        <v>110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99.033039548741996</v>
      </c>
      <c r="G469" s="116">
        <v>102.137239548742</v>
      </c>
      <c r="H469" s="116">
        <v>19.05</v>
      </c>
      <c r="I469" s="113">
        <v>31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82.486836786053033</v>
      </c>
      <c r="G471" s="116">
        <v>85.195136786053027</v>
      </c>
      <c r="H471" s="116">
        <v>19.98</v>
      </c>
      <c r="I471" s="113">
        <v>2275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92.851652489835345</v>
      </c>
      <c r="G472" s="116">
        <v>95.418352489835343</v>
      </c>
      <c r="H472" s="116">
        <v>20.39</v>
      </c>
      <c r="I472" s="113">
        <v>474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1021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58.587473207521299</v>
      </c>
      <c r="G474" s="116">
        <v>66.0596732075213</v>
      </c>
      <c r="H474" s="116">
        <v>20.89</v>
      </c>
      <c r="I474" s="113">
        <v>2971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24000</v>
      </c>
      <c r="G475" s="116">
        <v>24000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24364.608000000004</v>
      </c>
      <c r="G476" s="116">
        <v>24364.608000000004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78.673251968185824</v>
      </c>
      <c r="G479" s="116">
        <v>84.117651968185825</v>
      </c>
      <c r="H479" s="116">
        <v>20.22</v>
      </c>
      <c r="I479" s="113">
        <v>2200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86.257813483699664</v>
      </c>
      <c r="G481" s="116">
        <v>88.387013483699675</v>
      </c>
      <c r="H481" s="116">
        <v>18.04</v>
      </c>
      <c r="I481" s="113">
        <v>827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2.2317105788859832</v>
      </c>
      <c r="G482" s="116">
        <v>2.250310578885983</v>
      </c>
      <c r="H482" s="116">
        <v>17.55</v>
      </c>
      <c r="I482" s="113">
        <v>8573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1.9400330357566584</v>
      </c>
      <c r="G483" s="116">
        <v>1.9461330357566584</v>
      </c>
      <c r="H483" s="116">
        <v>17.55</v>
      </c>
      <c r="I483" s="113">
        <v>8978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96.446501792899568</v>
      </c>
      <c r="G484" s="116">
        <v>96.560401792899569</v>
      </c>
      <c r="H484" s="116">
        <v>18.16</v>
      </c>
      <c r="I484" s="113">
        <v>176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1.3305970441922803</v>
      </c>
      <c r="G485" s="116">
        <v>1.3444970441922803</v>
      </c>
      <c r="H485" s="116">
        <v>17.55</v>
      </c>
      <c r="I485" s="113">
        <v>10210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1.7951524235865297</v>
      </c>
      <c r="G486" s="116">
        <v>1.8109524235865297</v>
      </c>
      <c r="H486" s="116">
        <v>17.55</v>
      </c>
      <c r="I486" s="113">
        <v>9213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50.503432183819008</v>
      </c>
      <c r="G487" s="116">
        <v>54.500032183819009</v>
      </c>
      <c r="H487" s="116">
        <v>19.05</v>
      </c>
      <c r="I487" s="113">
        <v>2641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70.028242213154513</v>
      </c>
      <c r="G488" s="116">
        <v>71.322342213154514</v>
      </c>
      <c r="H488" s="116">
        <v>18.37</v>
      </c>
      <c r="I488" s="113">
        <v>1747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1.6294601368717176</v>
      </c>
      <c r="G489" s="116">
        <v>1.6361601368717176</v>
      </c>
      <c r="H489" s="116">
        <v>17.55</v>
      </c>
      <c r="I489" s="113">
        <v>9516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58.172584034299277</v>
      </c>
      <c r="G490" s="116">
        <v>64.042084034299279</v>
      </c>
      <c r="H490" s="116">
        <v>19.11</v>
      </c>
      <c r="I490" s="113">
        <v>2219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1744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34.106280746993171</v>
      </c>
      <c r="G492" s="116">
        <v>34.634980746993172</v>
      </c>
      <c r="H492" s="116">
        <v>18.13</v>
      </c>
      <c r="I492" s="113">
        <v>3913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96.169869744110315</v>
      </c>
      <c r="G493" s="116">
        <v>97.869869744110304</v>
      </c>
      <c r="H493" s="116">
        <v>19.23</v>
      </c>
      <c r="I493" s="113">
        <v>1766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100.88939999999999</v>
      </c>
      <c r="G494" s="116">
        <v>110.7283</v>
      </c>
      <c r="H494" s="116">
        <v>21.5</v>
      </c>
      <c r="I494" s="113">
        <v>919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99.061000000000007</v>
      </c>
      <c r="G495" s="116">
        <v>100.90819999999999</v>
      </c>
      <c r="H495" s="116">
        <v>4.8499999999999996</v>
      </c>
      <c r="I495" s="113">
        <v>748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41352.612706320317</v>
      </c>
      <c r="G496" s="116">
        <v>41352.612706320317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95.37586976158542</v>
      </c>
      <c r="G497" s="116">
        <v>97.58006976158542</v>
      </c>
      <c r="H497" s="116">
        <v>17.809999999999999</v>
      </c>
      <c r="I497" s="113">
        <v>291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806.08631033913025</v>
      </c>
      <c r="G499" s="116">
        <v>806.08631033913025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92.266722292995297</v>
      </c>
      <c r="G500" s="116">
        <v>100.1813222929953</v>
      </c>
      <c r="H500" s="116">
        <v>25.41</v>
      </c>
      <c r="I500" s="113">
        <v>1129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90.87</v>
      </c>
      <c r="G501" s="116">
        <v>92.684600000000003</v>
      </c>
      <c r="H501" s="116">
        <v>5.66</v>
      </c>
      <c r="I501" s="113">
        <v>6886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98.383892458980441</v>
      </c>
      <c r="G502" s="116">
        <v>100.28299245898044</v>
      </c>
      <c r="H502" s="116">
        <v>2.91</v>
      </c>
      <c r="I502" s="113">
        <v>1169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97.719393235500036</v>
      </c>
      <c r="G503" s="116">
        <v>98.264693235500033</v>
      </c>
      <c r="H503" s="116">
        <v>2.75</v>
      </c>
      <c r="I503" s="113">
        <v>398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85.435165854782809</v>
      </c>
      <c r="G504" s="116">
        <v>88.342265854782809</v>
      </c>
      <c r="H504" s="116">
        <v>15.07</v>
      </c>
      <c r="I504" s="113">
        <v>748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71.561013054608637</v>
      </c>
      <c r="G505" s="116">
        <v>74.667813054608644</v>
      </c>
      <c r="H505" s="116">
        <v>15.29</v>
      </c>
      <c r="I505" s="113">
        <v>1840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94.141833033674203</v>
      </c>
      <c r="G506" s="116">
        <v>95.494333033674209</v>
      </c>
      <c r="H506" s="116">
        <v>15.34</v>
      </c>
      <c r="I506" s="113">
        <v>298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83.403685912940077</v>
      </c>
      <c r="G507" s="116">
        <v>84.79418591294008</v>
      </c>
      <c r="H507" s="116">
        <v>15.14</v>
      </c>
      <c r="I507" s="113">
        <v>1026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72.187841340643402</v>
      </c>
      <c r="G508" s="116">
        <v>73.619941340643393</v>
      </c>
      <c r="H508" s="116">
        <v>15.31</v>
      </c>
      <c r="I508" s="113">
        <v>2118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72.187841340643402</v>
      </c>
      <c r="G509" s="116">
        <v>73.619941340643393</v>
      </c>
      <c r="H509" s="116">
        <v>15.31</v>
      </c>
      <c r="I509" s="113">
        <v>2118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109.58</v>
      </c>
      <c r="G510" s="116">
        <v>110.24809999999999</v>
      </c>
      <c r="H510" s="116">
        <v>5.69</v>
      </c>
      <c r="I510" s="113">
        <v>7163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97.820999999999998</v>
      </c>
      <c r="G511" s="116">
        <v>99.641099999999994</v>
      </c>
      <c r="H511" s="116">
        <v>5</v>
      </c>
      <c r="I511" s="113">
        <v>3461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100.935</v>
      </c>
      <c r="G512" s="116">
        <v>101.72669999999999</v>
      </c>
      <c r="H512" s="116">
        <v>4.84</v>
      </c>
      <c r="I512" s="113">
        <v>2463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101.247</v>
      </c>
      <c r="G513" s="116">
        <v>102.1178</v>
      </c>
      <c r="H513" s="116">
        <v>5.36</v>
      </c>
      <c r="I513" s="113">
        <v>4263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91.460070872123168</v>
      </c>
      <c r="G516" s="116">
        <v>100.62677087212317</v>
      </c>
      <c r="H516" s="116">
        <v>26.73</v>
      </c>
      <c r="I516" s="113">
        <v>930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59129.992800000015</v>
      </c>
      <c r="G517" s="116">
        <v>59129.992800000015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99.910695881742342</v>
      </c>
      <c r="G519" s="116">
        <v>108.81849588174235</v>
      </c>
      <c r="H519" s="116">
        <v>10.39</v>
      </c>
      <c r="I519" s="113">
        <v>39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320122.38000000006</v>
      </c>
      <c r="G521" s="116">
        <v>320122.38000000006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405142.46400000009</v>
      </c>
      <c r="G522" s="116">
        <v>405142.46400000009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94.894458349357322</v>
      </c>
      <c r="G523" s="116">
        <v>99.794458349357313</v>
      </c>
      <c r="H523" s="116">
        <v>22.3</v>
      </c>
      <c r="I523" s="113">
        <v>3426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99.639695159471216</v>
      </c>
      <c r="G524" s="116">
        <v>103.86189515947122</v>
      </c>
      <c r="H524" s="116">
        <v>20.32</v>
      </c>
      <c r="I524" s="113">
        <v>100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99.081301010992988</v>
      </c>
      <c r="G525" s="116">
        <v>100.63690101099299</v>
      </c>
      <c r="H525" s="116">
        <v>20.58</v>
      </c>
      <c r="I525" s="113">
        <v>692</v>
      </c>
      <c r="J525" s="115" t="s">
        <v>271</v>
      </c>
    </row>
    <row r="526" spans="1:10" x14ac:dyDescent="0.25">
      <c r="A526" s="113">
        <v>523</v>
      </c>
      <c r="B526" s="114" t="s">
        <v>2472</v>
      </c>
      <c r="C526" s="115" t="s">
        <v>2473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100.00732400622248</v>
      </c>
      <c r="G527" s="116">
        <v>103.85732400622247</v>
      </c>
      <c r="H527" s="116">
        <v>21.48</v>
      </c>
      <c r="I527" s="113">
        <v>27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99.980017970912812</v>
      </c>
      <c r="G528" s="116">
        <v>101.8800179709128</v>
      </c>
      <c r="H528" s="116">
        <v>12.11</v>
      </c>
      <c r="I528" s="113">
        <v>33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100.39606560236567</v>
      </c>
      <c r="G529" s="116">
        <v>102.49606560236566</v>
      </c>
      <c r="H529" s="116">
        <v>11.48</v>
      </c>
      <c r="I529" s="113">
        <v>297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99.797691582815219</v>
      </c>
      <c r="G530" s="116">
        <v>102.99769158281522</v>
      </c>
      <c r="H530" s="116">
        <v>25.4</v>
      </c>
      <c r="I530" s="113">
        <v>42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98.820260795203993</v>
      </c>
      <c r="G531" s="116">
        <v>103.603560795204</v>
      </c>
      <c r="H531" s="116">
        <v>21.61</v>
      </c>
      <c r="I531" s="113">
        <v>818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100.42188106182819</v>
      </c>
      <c r="G532" s="116">
        <v>102.98998106182819</v>
      </c>
      <c r="H532" s="116">
        <v>21.11</v>
      </c>
      <c r="I532" s="113">
        <v>497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98.867296737298417</v>
      </c>
      <c r="G534" s="116">
        <v>98.925596737298406</v>
      </c>
      <c r="H534" s="116">
        <v>22.06</v>
      </c>
      <c r="I534" s="113">
        <v>449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100.90729878919416</v>
      </c>
      <c r="G535" s="116">
        <v>101.40729878919416</v>
      </c>
      <c r="H535" s="116">
        <v>21.76</v>
      </c>
      <c r="I535" s="113">
        <v>532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99.999996286569299</v>
      </c>
      <c r="G536" s="116">
        <v>100.91669628656931</v>
      </c>
      <c r="H536" s="116">
        <v>21.99</v>
      </c>
      <c r="I536" s="113">
        <v>615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99.594212174757459</v>
      </c>
      <c r="G537" s="116">
        <v>101.68451217475746</v>
      </c>
      <c r="H537" s="116">
        <v>22.49</v>
      </c>
      <c r="I537" s="113">
        <v>145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100.43839761758019</v>
      </c>
      <c r="G538" s="116">
        <v>101.63009761758019</v>
      </c>
      <c r="H538" s="116">
        <v>9.82</v>
      </c>
      <c r="I538" s="113">
        <v>141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99.471747972765556</v>
      </c>
      <c r="G539" s="116">
        <v>99.58844797276555</v>
      </c>
      <c r="H539" s="116">
        <v>21.35</v>
      </c>
      <c r="I539" s="113">
        <v>658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99.031119856352817</v>
      </c>
      <c r="G540" s="116">
        <v>99.581119856352814</v>
      </c>
      <c r="H540" s="116">
        <v>22.92</v>
      </c>
      <c r="I540" s="113">
        <v>441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100.25567693567925</v>
      </c>
      <c r="G541" s="116">
        <v>102.18897693567925</v>
      </c>
      <c r="H541" s="116">
        <v>23.25</v>
      </c>
      <c r="I541" s="113">
        <v>151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98.776241645228325</v>
      </c>
      <c r="G542" s="116">
        <v>100.73184164522831</v>
      </c>
      <c r="H542" s="116">
        <v>23.49</v>
      </c>
      <c r="I542" s="113">
        <v>328</v>
      </c>
      <c r="J542" s="115" t="s">
        <v>271</v>
      </c>
    </row>
    <row r="543" spans="1:10" x14ac:dyDescent="0.25">
      <c r="A543" s="113">
        <v>540</v>
      </c>
      <c r="B543" s="114" t="s">
        <v>2468</v>
      </c>
      <c r="C543" s="115" t="s">
        <v>2469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98.887105875184787</v>
      </c>
      <c r="G544" s="116">
        <v>104.52040587518479</v>
      </c>
      <c r="H544" s="116">
        <v>20.72</v>
      </c>
      <c r="I544" s="113">
        <v>256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98.869850341592596</v>
      </c>
      <c r="G545" s="116">
        <v>103.69065034159259</v>
      </c>
      <c r="H545" s="116">
        <v>20.74</v>
      </c>
      <c r="I545" s="113">
        <v>271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99.686700000000002</v>
      </c>
      <c r="G546" s="116">
        <v>104.4534</v>
      </c>
      <c r="H546" s="116">
        <v>19.5</v>
      </c>
      <c r="I546" s="113">
        <v>272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101.9344</v>
      </c>
      <c r="H547" s="116">
        <v>19.989999999999998</v>
      </c>
      <c r="I547" s="113">
        <v>865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100.17114592449956</v>
      </c>
      <c r="G548" s="116">
        <v>103.94894592449955</v>
      </c>
      <c r="H548" s="116">
        <v>19.91</v>
      </c>
      <c r="I548" s="113">
        <v>1102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100.64191650001817</v>
      </c>
      <c r="G549" s="116">
        <v>101.31411650001817</v>
      </c>
      <c r="H549" s="116">
        <v>20.75</v>
      </c>
      <c r="I549" s="113">
        <v>199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99.698759976422721</v>
      </c>
      <c r="G550" s="116">
        <v>108.55985997642271</v>
      </c>
      <c r="H550" s="116">
        <v>22.16</v>
      </c>
      <c r="I550" s="113">
        <v>575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101.39172625624884</v>
      </c>
      <c r="G551" s="116">
        <v>102.98892625624885</v>
      </c>
      <c r="H551" s="116">
        <v>21.01</v>
      </c>
      <c r="I551" s="113">
        <v>275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101.35332854737962</v>
      </c>
      <c r="G552" s="116">
        <v>102.37552854737962</v>
      </c>
      <c r="H552" s="116">
        <v>20.91</v>
      </c>
      <c r="I552" s="113">
        <v>254</v>
      </c>
      <c r="J552" s="115" t="s">
        <v>271</v>
      </c>
    </row>
    <row r="553" spans="1:10" x14ac:dyDescent="0.25">
      <c r="A553" s="113">
        <v>550</v>
      </c>
      <c r="B553" s="114" t="s">
        <v>2470</v>
      </c>
      <c r="C553" s="115" t="s">
        <v>2471</v>
      </c>
      <c r="D553" s="115" t="s">
        <v>451</v>
      </c>
      <c r="E553" s="115" t="s">
        <v>1383</v>
      </c>
      <c r="F553" s="116">
        <v>1000</v>
      </c>
      <c r="G553" s="116">
        <v>1000</v>
      </c>
      <c r="H553" s="116">
        <v>0</v>
      </c>
      <c r="I553" s="113">
        <v>0</v>
      </c>
      <c r="J553" s="115" t="s">
        <v>240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99.954797159408244</v>
      </c>
      <c r="G554" s="116">
        <v>100.89919715940825</v>
      </c>
      <c r="H554" s="116">
        <v>20.36</v>
      </c>
      <c r="I554" s="113">
        <v>43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99.88833419672531</v>
      </c>
      <c r="G555" s="116">
        <v>101.44393419672531</v>
      </c>
      <c r="H555" s="116">
        <v>20.66</v>
      </c>
      <c r="I555" s="113">
        <v>62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99.422012681970244</v>
      </c>
      <c r="G556" s="116">
        <v>100.31091268197025</v>
      </c>
      <c r="H556" s="116">
        <v>21.32</v>
      </c>
      <c r="I556" s="113">
        <v>164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99.773935259440591</v>
      </c>
      <c r="G557" s="116">
        <v>99.829535259440604</v>
      </c>
      <c r="H557" s="116">
        <v>20.96</v>
      </c>
      <c r="I557" s="113">
        <v>89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99.738176432449293</v>
      </c>
      <c r="G558" s="116">
        <v>104.29377643244929</v>
      </c>
      <c r="H558" s="116">
        <v>20.97</v>
      </c>
      <c r="I558" s="113">
        <v>98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98.064178213272498</v>
      </c>
      <c r="G559" s="116">
        <v>100.00857821327249</v>
      </c>
      <c r="H559" s="116">
        <v>21.61</v>
      </c>
      <c r="I559" s="113">
        <v>505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97.5047</v>
      </c>
      <c r="G560" s="116">
        <v>97.615799999999993</v>
      </c>
      <c r="H560" s="116">
        <v>22</v>
      </c>
      <c r="I560" s="113">
        <v>538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100.43217500511582</v>
      </c>
      <c r="G561" s="116">
        <v>104.22107500511582</v>
      </c>
      <c r="H561" s="116">
        <v>21.13</v>
      </c>
      <c r="I561" s="113">
        <v>208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100.19111153870172</v>
      </c>
      <c r="G562" s="116">
        <v>104.59111153870172</v>
      </c>
      <c r="H562" s="116">
        <v>23.24</v>
      </c>
      <c r="I562" s="113">
        <v>114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95.544467824239646</v>
      </c>
      <c r="G563" s="116">
        <v>98.211167824239652</v>
      </c>
      <c r="H563" s="116">
        <v>23.88</v>
      </c>
      <c r="I563" s="113">
        <v>492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97.826599999999999</v>
      </c>
      <c r="G564" s="116">
        <v>102.8822</v>
      </c>
      <c r="H564" s="116">
        <v>19.5</v>
      </c>
      <c r="I564" s="113">
        <v>436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97.480129877018157</v>
      </c>
      <c r="G565" s="116">
        <v>98.013429877018154</v>
      </c>
      <c r="H565" s="116">
        <v>14.31</v>
      </c>
      <c r="I565" s="113">
        <v>434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100.21125416844025</v>
      </c>
      <c r="G566" s="116">
        <v>101.12795416844025</v>
      </c>
      <c r="H566" s="116">
        <v>21.4</v>
      </c>
      <c r="I566" s="113">
        <v>135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100.23546004712132</v>
      </c>
      <c r="G567" s="116">
        <v>102.00766004712132</v>
      </c>
      <c r="H567" s="116">
        <v>21.41</v>
      </c>
      <c r="I567" s="113">
        <v>151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100.19845789354504</v>
      </c>
      <c r="G568" s="116">
        <v>100.74845789354504</v>
      </c>
      <c r="H568" s="116">
        <v>21.55</v>
      </c>
      <c r="I568" s="113">
        <v>171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100.3191354889893</v>
      </c>
      <c r="G569" s="116">
        <v>101.7247354889893</v>
      </c>
      <c r="H569" s="116">
        <v>21.34</v>
      </c>
      <c r="I569" s="113">
        <v>187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98.882803872965482</v>
      </c>
      <c r="G571" s="116">
        <v>99.482803872965491</v>
      </c>
      <c r="H571" s="116">
        <v>14.58</v>
      </c>
      <c r="I571" s="113">
        <v>162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98.82887535856419</v>
      </c>
      <c r="G572" s="116">
        <v>99.06217535856419</v>
      </c>
      <c r="H572" s="116">
        <v>14.54</v>
      </c>
      <c r="I572" s="113">
        <v>173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100.20820089777854</v>
      </c>
      <c r="G573" s="116">
        <v>100.33040089777855</v>
      </c>
      <c r="H573" s="116">
        <v>21.55</v>
      </c>
      <c r="I573" s="113">
        <v>178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98.800542283410763</v>
      </c>
      <c r="G574" s="116">
        <v>98.83384228341076</v>
      </c>
      <c r="H574" s="116">
        <v>14.51</v>
      </c>
      <c r="I574" s="113">
        <v>179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98.800542283410763</v>
      </c>
      <c r="G575" s="116">
        <v>98.83384228341076</v>
      </c>
      <c r="H575" s="116">
        <v>14.51</v>
      </c>
      <c r="I575" s="113">
        <v>179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98.667493061763494</v>
      </c>
      <c r="G576" s="116">
        <v>99.534193061763489</v>
      </c>
      <c r="H576" s="116">
        <v>14.35</v>
      </c>
      <c r="I576" s="113">
        <v>214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98.439586755224198</v>
      </c>
      <c r="G577" s="116">
        <v>98.606286755224204</v>
      </c>
      <c r="H577" s="116">
        <v>14.24</v>
      </c>
      <c r="I577" s="113">
        <v>265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100.30260225027571</v>
      </c>
      <c r="G578" s="116">
        <v>101.03590225027571</v>
      </c>
      <c r="H578" s="116">
        <v>21.78</v>
      </c>
      <c r="I578" s="113">
        <v>618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100</v>
      </c>
      <c r="G579" s="116">
        <v>101.5889</v>
      </c>
      <c r="H579" s="116">
        <v>22</v>
      </c>
      <c r="I579" s="113">
        <v>664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101.03789999999999</v>
      </c>
      <c r="H580" s="116">
        <v>22</v>
      </c>
      <c r="I580" s="113">
        <v>703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96.979657363805657</v>
      </c>
      <c r="G581" s="116">
        <v>97.379657363805663</v>
      </c>
      <c r="H581" s="116">
        <v>13.99</v>
      </c>
      <c r="I581" s="113">
        <v>618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96.79549910202222</v>
      </c>
      <c r="G582" s="116">
        <v>97.628799102022228</v>
      </c>
      <c r="H582" s="116">
        <v>13.98</v>
      </c>
      <c r="I582" s="113">
        <v>665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96.839509308195133</v>
      </c>
      <c r="G583" s="116">
        <v>97.106209308195133</v>
      </c>
      <c r="H583" s="116">
        <v>13.98</v>
      </c>
      <c r="I583" s="113">
        <v>652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100.24339999999999</v>
      </c>
      <c r="H584" s="116">
        <v>11</v>
      </c>
      <c r="I584" s="113">
        <v>712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99.917298157653462</v>
      </c>
      <c r="G585" s="116">
        <v>100.75059815765346</v>
      </c>
      <c r="H585" s="116">
        <v>17.93</v>
      </c>
      <c r="I585" s="113">
        <v>5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99.752771176583437</v>
      </c>
      <c r="G586" s="116">
        <v>101.09717117658343</v>
      </c>
      <c r="H586" s="116">
        <v>22.22</v>
      </c>
      <c r="I586" s="113">
        <v>428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99.952517447164354</v>
      </c>
      <c r="G587" s="116">
        <v>101.23581744716437</v>
      </c>
      <c r="H587" s="116">
        <v>21.24</v>
      </c>
      <c r="I587" s="113">
        <v>68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99.286346123638978</v>
      </c>
      <c r="G588" s="116">
        <v>99.958546123638968</v>
      </c>
      <c r="H588" s="116">
        <v>14.85</v>
      </c>
      <c r="I588" s="113">
        <v>68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102.7222</v>
      </c>
      <c r="H589" s="116">
        <v>13.99</v>
      </c>
      <c r="I589" s="113">
        <v>290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100.53727945291475</v>
      </c>
      <c r="G590" s="116">
        <v>101.44297945291474</v>
      </c>
      <c r="H590" s="116">
        <v>20.65</v>
      </c>
      <c r="I590" s="113">
        <v>76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99.39709023339725</v>
      </c>
      <c r="G591" s="116">
        <v>99.508190233397244</v>
      </c>
      <c r="H591" s="116">
        <v>20.98</v>
      </c>
      <c r="I591" s="113">
        <v>238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99.999899999999997</v>
      </c>
      <c r="G592" s="116">
        <v>100.2777</v>
      </c>
      <c r="H592" s="116">
        <v>10</v>
      </c>
      <c r="I592" s="113">
        <v>560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100.2</v>
      </c>
      <c r="G593" s="116">
        <v>101.01900000000001</v>
      </c>
      <c r="H593" s="116">
        <v>22.51</v>
      </c>
      <c r="I593" s="113">
        <v>707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97.726119335257692</v>
      </c>
      <c r="G594" s="116">
        <v>97.726119335257692</v>
      </c>
      <c r="H594" s="116">
        <v>20.2</v>
      </c>
      <c r="I594" s="113">
        <v>870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97.724700106762114</v>
      </c>
      <c r="G595" s="116">
        <v>98.094100106762113</v>
      </c>
      <c r="H595" s="116">
        <v>21.25</v>
      </c>
      <c r="I595" s="113">
        <v>413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99.52610136470831</v>
      </c>
      <c r="G596" s="116">
        <v>100.05110136470832</v>
      </c>
      <c r="H596" s="116">
        <v>21.25</v>
      </c>
      <c r="I596" s="113">
        <v>891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99.572978287135228</v>
      </c>
      <c r="G597" s="116">
        <v>100.50627828713523</v>
      </c>
      <c r="H597" s="116">
        <v>21.22</v>
      </c>
      <c r="I597" s="113">
        <v>914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100.64523286707818</v>
      </c>
      <c r="G598" s="116">
        <v>102.39523286707818</v>
      </c>
      <c r="H598" s="116">
        <v>22.17</v>
      </c>
      <c r="I598" s="113">
        <v>932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100.95640058734882</v>
      </c>
      <c r="G599" s="116">
        <v>101.43750058734882</v>
      </c>
      <c r="H599" s="116">
        <v>21.19</v>
      </c>
      <c r="I599" s="113">
        <v>1012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100.59061848466511</v>
      </c>
      <c r="G600" s="116">
        <v>100.95171848466512</v>
      </c>
      <c r="H600" s="116">
        <v>9.6199999999999992</v>
      </c>
      <c r="I600" s="113">
        <v>617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91.30832519337271</v>
      </c>
      <c r="G601" s="116">
        <v>92.713925193372702</v>
      </c>
      <c r="H601" s="116">
        <v>45.18</v>
      </c>
      <c r="I601" s="113">
        <v>158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99.7</v>
      </c>
      <c r="G602" s="116">
        <v>100.22499999999999</v>
      </c>
      <c r="H602" s="116">
        <v>23.15</v>
      </c>
      <c r="I602" s="113">
        <v>51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71.470520768087198</v>
      </c>
      <c r="G603" s="116">
        <v>72.876120768087205</v>
      </c>
      <c r="H603" s="116">
        <v>44.96</v>
      </c>
      <c r="I603" s="113">
        <v>667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78.464424520350107</v>
      </c>
      <c r="G604" s="116">
        <v>80.097724520350098</v>
      </c>
      <c r="H604" s="116">
        <v>44.97</v>
      </c>
      <c r="I604" s="113">
        <v>422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65.5012855224562</v>
      </c>
      <c r="G605" s="116">
        <v>65.5012855224562</v>
      </c>
      <c r="H605" s="116">
        <v>43.44</v>
      </c>
      <c r="I605" s="113">
        <v>930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84.194594998823888</v>
      </c>
      <c r="G606" s="116">
        <v>84.563994998823887</v>
      </c>
      <c r="H606" s="116">
        <v>44.75</v>
      </c>
      <c r="I606" s="113">
        <v>263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100.0001</v>
      </c>
      <c r="G607" s="116">
        <v>100.3668</v>
      </c>
      <c r="H607" s="116">
        <v>22</v>
      </c>
      <c r="I607" s="113">
        <v>684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78.800297324083246</v>
      </c>
      <c r="G608" s="116">
        <v>78.916997324083255</v>
      </c>
      <c r="H608" s="116">
        <v>32.56</v>
      </c>
      <c r="I608" s="113">
        <v>1018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99.996099999999998</v>
      </c>
      <c r="G609" s="116">
        <v>101.2183</v>
      </c>
      <c r="H609" s="116">
        <v>22</v>
      </c>
      <c r="I609" s="113">
        <v>700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103</v>
      </c>
      <c r="G610" s="116">
        <v>103</v>
      </c>
      <c r="H610" s="116">
        <v>19.52</v>
      </c>
      <c r="I610" s="113">
        <v>210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80.628605041450911</v>
      </c>
      <c r="G611" s="116">
        <v>81.600805041450911</v>
      </c>
      <c r="H611" s="116">
        <v>45.01</v>
      </c>
      <c r="I611" s="113">
        <v>466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100.0005</v>
      </c>
      <c r="G613" s="116">
        <v>100.1755</v>
      </c>
      <c r="H613" s="116">
        <v>21</v>
      </c>
      <c r="I613" s="113">
        <v>297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99.99</v>
      </c>
      <c r="G614" s="116">
        <v>100.0775</v>
      </c>
      <c r="H614" s="116">
        <v>10.51</v>
      </c>
      <c r="I614" s="113">
        <v>597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99.242946197565786</v>
      </c>
      <c r="G615" s="116">
        <v>103.07624619756578</v>
      </c>
      <c r="H615" s="116">
        <v>21.01</v>
      </c>
      <c r="I615" s="113">
        <v>291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99.369100000000003</v>
      </c>
      <c r="G616" s="116">
        <v>100.1858</v>
      </c>
      <c r="H616" s="116">
        <v>21.5</v>
      </c>
      <c r="I616" s="113">
        <v>526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99.912402526337985</v>
      </c>
      <c r="G617" s="116">
        <v>104.16240252633798</v>
      </c>
      <c r="H617" s="116">
        <v>23.99</v>
      </c>
      <c r="I617" s="113">
        <v>5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99.815966419385234</v>
      </c>
      <c r="G618" s="116">
        <v>103.08266641938523</v>
      </c>
      <c r="H618" s="116">
        <v>21.16</v>
      </c>
      <c r="I618" s="113">
        <v>394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100.04113233185817</v>
      </c>
      <c r="G619" s="116">
        <v>102.54943233185816</v>
      </c>
      <c r="H619" s="116">
        <v>20.87</v>
      </c>
      <c r="I619" s="113">
        <v>227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99.710563260280523</v>
      </c>
      <c r="G620" s="116">
        <v>102.21886326028051</v>
      </c>
      <c r="H620" s="116">
        <v>21.19</v>
      </c>
      <c r="I620" s="113">
        <v>587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92.477867023460803</v>
      </c>
      <c r="G622" s="116">
        <v>92.477867023460803</v>
      </c>
      <c r="H622" s="116">
        <v>21.22</v>
      </c>
      <c r="I622" s="113">
        <v>138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94.73</v>
      </c>
      <c r="G623" s="116">
        <v>95.799400000000006</v>
      </c>
      <c r="H623" s="116">
        <v>17.52</v>
      </c>
      <c r="I623" s="113">
        <v>325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91.159882928750918</v>
      </c>
      <c r="G624" s="116">
        <v>92.443182928750929</v>
      </c>
      <c r="H624" s="116">
        <v>18.02</v>
      </c>
      <c r="I624" s="113">
        <v>1047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1467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1346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100.16435313196627</v>
      </c>
      <c r="G627" s="116">
        <v>104.68655313196626</v>
      </c>
      <c r="H627" s="116">
        <v>21.33</v>
      </c>
      <c r="I627" s="113">
        <v>106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98.950335433227096</v>
      </c>
      <c r="G628" s="116">
        <v>101.17113543322709</v>
      </c>
      <c r="H628" s="116">
        <v>21.78</v>
      </c>
      <c r="I628" s="113">
        <v>321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98.562912881010419</v>
      </c>
      <c r="G629" s="116">
        <v>101.07121288101042</v>
      </c>
      <c r="H629" s="116">
        <v>21.93</v>
      </c>
      <c r="I629" s="113">
        <v>677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99.726305689141554</v>
      </c>
      <c r="G630" s="116">
        <v>101.28190568914155</v>
      </c>
      <c r="H630" s="116">
        <v>12.86</v>
      </c>
      <c r="I630" s="113">
        <v>34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99.732731572984719</v>
      </c>
      <c r="G631" s="116">
        <v>101.31603157298473</v>
      </c>
      <c r="H631" s="116">
        <v>12.88</v>
      </c>
      <c r="I631" s="113">
        <v>33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97.512495916349565</v>
      </c>
      <c r="G632" s="116">
        <v>99.901395916349571</v>
      </c>
      <c r="H632" s="116">
        <v>23.16</v>
      </c>
      <c r="I632" s="113">
        <v>317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101.48867007255159</v>
      </c>
      <c r="G633" s="116">
        <v>103.98037007255159</v>
      </c>
      <c r="H633" s="116">
        <v>11.93</v>
      </c>
      <c r="I633" s="113">
        <v>561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93.440937471582174</v>
      </c>
      <c r="G634" s="116">
        <v>97.329837471582167</v>
      </c>
      <c r="H634" s="116">
        <v>23.23</v>
      </c>
      <c r="I634" s="113">
        <v>1010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3092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105.2856</v>
      </c>
      <c r="H636" s="116">
        <v>7.06</v>
      </c>
      <c r="I636" s="113">
        <v>2189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101.0675</v>
      </c>
      <c r="H637" s="116">
        <v>6.08</v>
      </c>
      <c r="I637" s="113">
        <v>1707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105.93640000000001</v>
      </c>
      <c r="H638" s="116">
        <v>7.08</v>
      </c>
      <c r="I638" s="113">
        <v>2189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90.424129911119039</v>
      </c>
      <c r="G639" s="116">
        <v>91.839729911119036</v>
      </c>
      <c r="H639" s="116">
        <v>20.5</v>
      </c>
      <c r="I639" s="113">
        <v>3572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104.5411</v>
      </c>
      <c r="H640" s="116">
        <v>6.07</v>
      </c>
      <c r="I640" s="113">
        <v>2544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100.2372</v>
      </c>
      <c r="H641" s="116">
        <v>6.09</v>
      </c>
      <c r="I641" s="113">
        <v>2116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104.5411</v>
      </c>
      <c r="H642" s="116">
        <v>6.09</v>
      </c>
      <c r="I642" s="113">
        <v>2611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105.185</v>
      </c>
      <c r="H643" s="116">
        <v>6.08</v>
      </c>
      <c r="I643" s="113">
        <v>2544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105.185</v>
      </c>
      <c r="H644" s="116">
        <v>6.08</v>
      </c>
      <c r="I644" s="113">
        <v>2544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104.0497</v>
      </c>
      <c r="H645" s="116">
        <v>6.08</v>
      </c>
      <c r="I645" s="113">
        <v>2611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100.71064292007512</v>
      </c>
      <c r="G646" s="116">
        <v>101.56624292007511</v>
      </c>
      <c r="H646" s="116">
        <v>10.7</v>
      </c>
      <c r="I646" s="113">
        <v>1052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101.12415859132695</v>
      </c>
      <c r="G647" s="116">
        <v>105.60195859132695</v>
      </c>
      <c r="H647" s="116">
        <v>25.41</v>
      </c>
      <c r="I647" s="113">
        <v>1018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97.688199999999995</v>
      </c>
      <c r="G649" s="116">
        <v>97.688199999999995</v>
      </c>
      <c r="H649" s="116">
        <v>15.15</v>
      </c>
      <c r="I649" s="113">
        <v>57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93.363299999999995</v>
      </c>
      <c r="G650" s="116">
        <v>93.363299999999995</v>
      </c>
      <c r="H650" s="116">
        <v>16.02</v>
      </c>
      <c r="I650" s="113">
        <v>162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89.391000000000005</v>
      </c>
      <c r="G651" s="116">
        <v>89.391000000000005</v>
      </c>
      <c r="H651" s="116">
        <v>16.66</v>
      </c>
      <c r="I651" s="113">
        <v>260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89.433276184248555</v>
      </c>
      <c r="G655" s="116">
        <v>91.933276184248555</v>
      </c>
      <c r="H655" s="116">
        <v>10.79</v>
      </c>
      <c r="I655" s="113">
        <v>930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97.9405</v>
      </c>
      <c r="G656" s="116">
        <v>99.037099999999995</v>
      </c>
      <c r="H656" s="116">
        <v>16.14</v>
      </c>
      <c r="I656" s="113">
        <v>143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97.944299999999998</v>
      </c>
      <c r="G657" s="116">
        <v>100.3887</v>
      </c>
      <c r="H657" s="116">
        <v>16.440000000000001</v>
      </c>
      <c r="I657" s="113">
        <v>296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97.477400000000003</v>
      </c>
      <c r="G658" s="116">
        <v>103.7324</v>
      </c>
      <c r="H658" s="116">
        <v>16.59</v>
      </c>
      <c r="I658" s="113">
        <v>378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101.6932</v>
      </c>
      <c r="G659" s="116">
        <v>102.6855</v>
      </c>
      <c r="H659" s="116">
        <v>16.399999999999999</v>
      </c>
      <c r="I659" s="113">
        <v>1419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94.947199999999995</v>
      </c>
      <c r="G660" s="116">
        <v>95.647199999999998</v>
      </c>
      <c r="H660" s="116">
        <v>16.53</v>
      </c>
      <c r="I660" s="113">
        <v>336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97.667500000000004</v>
      </c>
      <c r="G661" s="116">
        <v>101.9314</v>
      </c>
      <c r="H661" s="116">
        <v>16.61</v>
      </c>
      <c r="I661" s="113">
        <v>800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13341.240000000002</v>
      </c>
      <c r="G663" s="116">
        <v>13341.240000000002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271476.71520000004</v>
      </c>
      <c r="G664" s="116">
        <v>271476.71520000004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108530.31360000002</v>
      </c>
      <c r="G665" s="116">
        <v>108530.31360000002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16.658000000000001</v>
      </c>
      <c r="I666" s="113">
        <v>1432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371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17.221</v>
      </c>
      <c r="I668" s="113">
        <v>766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17.420999999999999</v>
      </c>
      <c r="I669" s="113">
        <v>1160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1625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17.620999999999999</v>
      </c>
      <c r="I671" s="113">
        <v>1935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99.876400000000004</v>
      </c>
      <c r="G672" s="116">
        <v>99.876400000000004</v>
      </c>
      <c r="H672" s="116">
        <v>11.798</v>
      </c>
      <c r="I672" s="113">
        <v>89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99.945899999999995</v>
      </c>
      <c r="G673" s="116">
        <v>99.945899999999995</v>
      </c>
      <c r="H673" s="116">
        <v>11.798</v>
      </c>
      <c r="I673" s="113">
        <v>392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99.840999999999994</v>
      </c>
      <c r="G674" s="116">
        <v>99.840999999999994</v>
      </c>
      <c r="H674" s="116">
        <v>11.798</v>
      </c>
      <c r="I674" s="113">
        <v>211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100</v>
      </c>
      <c r="G675" s="116">
        <v>100</v>
      </c>
      <c r="H675" s="116">
        <v>11.798</v>
      </c>
      <c r="I675" s="113">
        <v>360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99.907499999999999</v>
      </c>
      <c r="G676" s="116">
        <v>99.907499999999999</v>
      </c>
      <c r="H676" s="116">
        <v>11.798</v>
      </c>
      <c r="I676" s="113">
        <v>60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99.861000000000004</v>
      </c>
      <c r="G677" s="116">
        <v>99.861000000000004</v>
      </c>
      <c r="H677" s="116">
        <v>11.888</v>
      </c>
      <c r="I677" s="113">
        <v>1185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99.906300000000002</v>
      </c>
      <c r="G678" s="116">
        <v>99.906300000000002</v>
      </c>
      <c r="H678" s="116">
        <v>11.798</v>
      </c>
      <c r="I678" s="113">
        <v>61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99.877799999999993</v>
      </c>
      <c r="G679" s="116">
        <v>99.877799999999993</v>
      </c>
      <c r="H679" s="116">
        <v>11.798</v>
      </c>
      <c r="I679" s="113">
        <v>270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99.833100000000002</v>
      </c>
      <c r="G680" s="116">
        <v>99.833100000000002</v>
      </c>
      <c r="H680" s="116">
        <v>11.888</v>
      </c>
      <c r="I680" s="113">
        <v>1616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99.877799999999993</v>
      </c>
      <c r="G681" s="116">
        <v>99.877799999999993</v>
      </c>
      <c r="H681" s="116">
        <v>11.798</v>
      </c>
      <c r="I681" s="113">
        <v>270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99.953599999999994</v>
      </c>
      <c r="G682" s="116">
        <v>99.953599999999994</v>
      </c>
      <c r="H682" s="116">
        <v>11.798</v>
      </c>
      <c r="I682" s="113">
        <v>332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99.855400000000003</v>
      </c>
      <c r="G683" s="116">
        <v>99.855400000000003</v>
      </c>
      <c r="H683" s="116">
        <v>11.798</v>
      </c>
      <c r="I683" s="113">
        <v>601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99.951999999999998</v>
      </c>
      <c r="G684" s="116">
        <v>99.951999999999998</v>
      </c>
      <c r="H684" s="116">
        <v>11.798</v>
      </c>
      <c r="I684" s="113">
        <v>691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1260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99.909800000000004</v>
      </c>
      <c r="G686" s="116">
        <v>99.909800000000004</v>
      </c>
      <c r="H686" s="116">
        <v>11.798</v>
      </c>
      <c r="I686" s="113">
        <v>1380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99.911000000000001</v>
      </c>
      <c r="G687" s="116">
        <v>99.911000000000001</v>
      </c>
      <c r="H687" s="116">
        <v>11.798</v>
      </c>
      <c r="I687" s="113">
        <v>661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99.877399999999994</v>
      </c>
      <c r="G688" s="116">
        <v>99.877399999999994</v>
      </c>
      <c r="H688" s="116">
        <v>11.798</v>
      </c>
      <c r="I688" s="113">
        <v>808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897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99.998199999999997</v>
      </c>
      <c r="G690" s="116">
        <v>99.998199999999997</v>
      </c>
      <c r="H690" s="116">
        <v>11.798</v>
      </c>
      <c r="I690" s="113">
        <v>1439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99.8797</v>
      </c>
      <c r="G691" s="116">
        <v>99.8797</v>
      </c>
      <c r="H691" s="116">
        <v>11.798</v>
      </c>
      <c r="I691" s="113">
        <v>1712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99.998199999999997</v>
      </c>
      <c r="G692" s="116">
        <v>99.998199999999997</v>
      </c>
      <c r="H692" s="116">
        <v>11.798</v>
      </c>
      <c r="I692" s="113">
        <v>1079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99.851799999999997</v>
      </c>
      <c r="G693" s="116">
        <v>99.851799999999997</v>
      </c>
      <c r="H693" s="116">
        <v>11.798</v>
      </c>
      <c r="I693" s="113">
        <v>1202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99.911000000000001</v>
      </c>
      <c r="G694" s="116">
        <v>99.911000000000001</v>
      </c>
      <c r="H694" s="116">
        <v>11.798</v>
      </c>
      <c r="I694" s="113">
        <v>1381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99.839600000000004</v>
      </c>
      <c r="G695" s="116">
        <v>99.839600000000004</v>
      </c>
      <c r="H695" s="116">
        <v>11.798</v>
      </c>
      <c r="I695" s="113">
        <v>1590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99.947400000000002</v>
      </c>
      <c r="G696" s="116">
        <v>99.947400000000002</v>
      </c>
      <c r="H696" s="116">
        <v>11.798</v>
      </c>
      <c r="I696" s="113">
        <v>1831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99.950500000000005</v>
      </c>
      <c r="G697" s="116">
        <v>99.950500000000005</v>
      </c>
      <c r="H697" s="116">
        <v>11.798</v>
      </c>
      <c r="I697" s="113">
        <v>2189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99.8523</v>
      </c>
      <c r="G698" s="116">
        <v>99.8523</v>
      </c>
      <c r="H698" s="116">
        <v>11.798</v>
      </c>
      <c r="I698" s="113">
        <v>2281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90.225800000000007</v>
      </c>
      <c r="G699" s="116">
        <v>93.085800000000006</v>
      </c>
      <c r="H699" s="116">
        <v>17.309999999999999</v>
      </c>
      <c r="I699" s="113">
        <v>621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95.229399999999998</v>
      </c>
      <c r="G700" s="116">
        <v>102.6669</v>
      </c>
      <c r="H700" s="116">
        <v>17.09</v>
      </c>
      <c r="I700" s="113">
        <v>1265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84.878500000000003</v>
      </c>
      <c r="G701" s="116">
        <v>90.578500000000005</v>
      </c>
      <c r="H701" s="116">
        <v>16.97</v>
      </c>
      <c r="I701" s="113">
        <v>1629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86.286600000000007</v>
      </c>
      <c r="G702" s="116">
        <v>90.215500000000006</v>
      </c>
      <c r="H702" s="116">
        <v>17.23</v>
      </c>
      <c r="I702" s="113">
        <v>944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83.022999999999996</v>
      </c>
      <c r="G703" s="116">
        <v>89.222999999999999</v>
      </c>
      <c r="H703" s="116">
        <v>16.920000000000002</v>
      </c>
      <c r="I703" s="113">
        <v>1974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91.195800000000006</v>
      </c>
      <c r="G704" s="116">
        <v>98.171400000000006</v>
      </c>
      <c r="H704" s="116">
        <v>16.850000000000001</v>
      </c>
      <c r="I704" s="113">
        <v>2348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84.535600000000002</v>
      </c>
      <c r="G705" s="116">
        <v>93.289699999999996</v>
      </c>
      <c r="H705" s="116">
        <v>17.149999999999999</v>
      </c>
      <c r="I705" s="113">
        <v>1139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82.415300000000002</v>
      </c>
      <c r="G706" s="116">
        <v>83.294499999999999</v>
      </c>
      <c r="H706" s="116">
        <v>17.04</v>
      </c>
      <c r="I706" s="113">
        <v>1410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82.054900000000004</v>
      </c>
      <c r="G707" s="116">
        <v>88.288200000000003</v>
      </c>
      <c r="H707" s="116">
        <v>17.010000000000002</v>
      </c>
      <c r="I707" s="113">
        <v>1596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89.685400000000001</v>
      </c>
      <c r="G708" s="116">
        <v>93.807599999999994</v>
      </c>
      <c r="H708" s="116">
        <v>16.89</v>
      </c>
      <c r="I708" s="113">
        <v>2054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89.958799999999997</v>
      </c>
      <c r="G709" s="116">
        <v>93.290300000000002</v>
      </c>
      <c r="H709" s="116">
        <v>16.809999999999999</v>
      </c>
      <c r="I709" s="113">
        <v>2797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94.0244</v>
      </c>
      <c r="G710" s="116">
        <v>95.414699999999996</v>
      </c>
      <c r="H710" s="116">
        <v>17.14</v>
      </c>
      <c r="I710" s="113">
        <v>305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84.383300000000006</v>
      </c>
      <c r="G711" s="116">
        <v>88.905500000000004</v>
      </c>
      <c r="H711" s="116">
        <v>17.09</v>
      </c>
      <c r="I711" s="113">
        <v>1292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88.838899999999995</v>
      </c>
      <c r="G712" s="116">
        <v>92.688900000000004</v>
      </c>
      <c r="H712" s="116">
        <v>16.84</v>
      </c>
      <c r="I712" s="113">
        <v>2421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89.755799999999994</v>
      </c>
      <c r="G713" s="116">
        <v>96.683599999999998</v>
      </c>
      <c r="H713" s="116">
        <v>16.78</v>
      </c>
      <c r="I713" s="113">
        <v>3068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89.465999999999994</v>
      </c>
      <c r="G714" s="116">
        <v>93.766000000000005</v>
      </c>
      <c r="H714" s="116">
        <v>17.309999999999999</v>
      </c>
      <c r="I714" s="113">
        <v>548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87.634900000000002</v>
      </c>
      <c r="G715" s="116">
        <v>89.009900000000002</v>
      </c>
      <c r="H715" s="116">
        <v>17.32</v>
      </c>
      <c r="I715" s="113">
        <v>665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77.209000000000003</v>
      </c>
      <c r="G716" s="116">
        <v>81.815399999999997</v>
      </c>
      <c r="H716" s="116">
        <v>16.88</v>
      </c>
      <c r="I716" s="113">
        <v>1999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86.997600000000006</v>
      </c>
      <c r="G717" s="116">
        <v>94.5809</v>
      </c>
      <c r="H717" s="116">
        <v>16.78</v>
      </c>
      <c r="I717" s="113">
        <v>3405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75.780799999999999</v>
      </c>
      <c r="G718" s="116">
        <v>76.727500000000006</v>
      </c>
      <c r="H718" s="116">
        <v>16.82</v>
      </c>
      <c r="I718" s="113">
        <v>2488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74.192499999999995</v>
      </c>
      <c r="G719" s="116">
        <v>74.340999999999994</v>
      </c>
      <c r="H719" s="116">
        <v>16.79</v>
      </c>
      <c r="I719" s="113">
        <v>2875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85.612899999999996</v>
      </c>
      <c r="G720" s="116">
        <v>87.023899999999998</v>
      </c>
      <c r="H720" s="116">
        <v>17.329999999999998</v>
      </c>
      <c r="I720" s="113">
        <v>652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70.447999999999993</v>
      </c>
      <c r="G721" s="116">
        <v>72.98</v>
      </c>
      <c r="H721" s="116">
        <v>16.87</v>
      </c>
      <c r="I721" s="113">
        <v>2052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70.784000000000006</v>
      </c>
      <c r="G722" s="116">
        <v>76.153199999999998</v>
      </c>
      <c r="H722" s="116">
        <v>16.78</v>
      </c>
      <c r="I722" s="113">
        <v>3049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86.340100000000007</v>
      </c>
      <c r="G723" s="116">
        <v>90.100099999999998</v>
      </c>
      <c r="H723" s="116">
        <v>16.71</v>
      </c>
      <c r="I723" s="113">
        <v>4584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98.972399999999993</v>
      </c>
      <c r="G724" s="116">
        <v>103.6217</v>
      </c>
      <c r="H724" s="116">
        <v>16.25</v>
      </c>
      <c r="I724" s="113">
        <v>35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97.6631</v>
      </c>
      <c r="G725" s="116">
        <v>101.57980000000001</v>
      </c>
      <c r="H725" s="116">
        <v>16.510000000000002</v>
      </c>
      <c r="I725" s="113">
        <v>78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67.820400000000006</v>
      </c>
      <c r="G726" s="116">
        <v>70.918700000000001</v>
      </c>
      <c r="H726" s="116">
        <v>16.82</v>
      </c>
      <c r="I726" s="113">
        <v>2388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69.915199999999999</v>
      </c>
      <c r="G727" s="116">
        <v>74.698499999999996</v>
      </c>
      <c r="H727" s="116">
        <v>16.739999999999998</v>
      </c>
      <c r="I727" s="113">
        <v>3432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97.549899999999994</v>
      </c>
      <c r="G728" s="116">
        <v>101.8121</v>
      </c>
      <c r="H728" s="116">
        <v>16.52</v>
      </c>
      <c r="I728" s="113">
        <v>86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90.237300000000005</v>
      </c>
      <c r="G729" s="116">
        <v>90.390100000000004</v>
      </c>
      <c r="H729" s="116">
        <v>17.23</v>
      </c>
      <c r="I729" s="113">
        <v>350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87.163499999999999</v>
      </c>
      <c r="G730" s="116">
        <v>90.982900000000001</v>
      </c>
      <c r="H730" s="116">
        <v>17.34</v>
      </c>
      <c r="I730" s="113">
        <v>445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84.668599999999998</v>
      </c>
      <c r="G731" s="116">
        <v>86.971400000000003</v>
      </c>
      <c r="H731" s="116">
        <v>17.309999999999999</v>
      </c>
      <c r="I731" s="113">
        <v>569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80.851600000000005</v>
      </c>
      <c r="G732" s="116">
        <v>86.036600000000007</v>
      </c>
      <c r="H732" s="116">
        <v>17.329999999999998</v>
      </c>
      <c r="I732" s="113">
        <v>740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81.768299999999996</v>
      </c>
      <c r="G733" s="116">
        <v>87.257199999999997</v>
      </c>
      <c r="H733" s="116">
        <v>17.3</v>
      </c>
      <c r="I733" s="113">
        <v>776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76.442300000000003</v>
      </c>
      <c r="G734" s="116">
        <v>81.616600000000005</v>
      </c>
      <c r="H734" s="116">
        <v>17.14</v>
      </c>
      <c r="I734" s="113">
        <v>1182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74.514099999999999</v>
      </c>
      <c r="G735" s="116">
        <v>74.834100000000007</v>
      </c>
      <c r="H735" s="116">
        <v>17.04</v>
      </c>
      <c r="I735" s="113">
        <v>1425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72.356499999999997</v>
      </c>
      <c r="G736" s="116">
        <v>76.708500000000001</v>
      </c>
      <c r="H736" s="116">
        <v>17</v>
      </c>
      <c r="I736" s="113">
        <v>1596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66.319599999999994</v>
      </c>
      <c r="G737" s="116">
        <v>69.783600000000007</v>
      </c>
      <c r="H737" s="116">
        <v>16.78</v>
      </c>
      <c r="I737" s="113">
        <v>2736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65.399500000000003</v>
      </c>
      <c r="G738" s="116">
        <v>68.337000000000003</v>
      </c>
      <c r="H738" s="116">
        <v>16.78</v>
      </c>
      <c r="I738" s="113">
        <v>2755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70.948599999999999</v>
      </c>
      <c r="G739" s="116">
        <v>71.038399999999996</v>
      </c>
      <c r="H739" s="116">
        <v>16.72</v>
      </c>
      <c r="I739" s="113">
        <v>3957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71.671099999999996</v>
      </c>
      <c r="G740" s="116">
        <v>78.116900000000001</v>
      </c>
      <c r="H740" s="116">
        <v>16.72</v>
      </c>
      <c r="I740" s="113">
        <v>4110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79.868399999999994</v>
      </c>
      <c r="G741" s="116">
        <v>84.417599999999993</v>
      </c>
      <c r="H741" s="116">
        <v>17.3</v>
      </c>
      <c r="I741" s="113">
        <v>771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75.588399999999993</v>
      </c>
      <c r="G742" s="116">
        <v>77.394000000000005</v>
      </c>
      <c r="H742" s="116">
        <v>17.23</v>
      </c>
      <c r="I742" s="113">
        <v>950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73.841800000000006</v>
      </c>
      <c r="G743" s="116">
        <v>79.005700000000004</v>
      </c>
      <c r="H743" s="116">
        <v>17.18</v>
      </c>
      <c r="I743" s="113">
        <v>1102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59.828899999999997</v>
      </c>
      <c r="G744" s="116">
        <v>60.488500000000002</v>
      </c>
      <c r="H744" s="116">
        <v>16.7</v>
      </c>
      <c r="I744" s="113">
        <v>3932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60.048200000000001</v>
      </c>
      <c r="G745" s="116">
        <v>64.808999999999997</v>
      </c>
      <c r="H745" s="116">
        <v>16.71</v>
      </c>
      <c r="I745" s="113">
        <v>4123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56.564399999999999</v>
      </c>
      <c r="G746" s="116">
        <v>58.458799999999997</v>
      </c>
      <c r="H746" s="116">
        <v>16.8</v>
      </c>
      <c r="I746" s="113">
        <v>2396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61.5334</v>
      </c>
      <c r="G747" s="116">
        <v>63.909599999999998</v>
      </c>
      <c r="H747" s="116">
        <v>16.739999999999998</v>
      </c>
      <c r="I747" s="113">
        <v>3134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60.123399999999997</v>
      </c>
      <c r="G748" s="116">
        <v>64.808499999999995</v>
      </c>
      <c r="H748" s="116">
        <v>16.739999999999998</v>
      </c>
      <c r="I748" s="113">
        <v>3391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53.983400000000003</v>
      </c>
      <c r="G749" s="116">
        <v>59.425600000000003</v>
      </c>
      <c r="H749" s="116">
        <v>16.68</v>
      </c>
      <c r="I749" s="113">
        <v>4792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55.868299999999998</v>
      </c>
      <c r="G750" s="116">
        <v>56.633699999999997</v>
      </c>
      <c r="H750" s="116">
        <v>16.670000000000002</v>
      </c>
      <c r="I750" s="113">
        <v>5007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55.329300000000003</v>
      </c>
      <c r="G751" s="116">
        <v>59.5608</v>
      </c>
      <c r="H751" s="116">
        <v>16.68</v>
      </c>
      <c r="I751" s="113">
        <v>5218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54.386899999999997</v>
      </c>
      <c r="G752" s="116">
        <v>62.364100000000001</v>
      </c>
      <c r="H752" s="116">
        <v>16.670000000000002</v>
      </c>
      <c r="I752" s="113">
        <v>6868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99.77</v>
      </c>
      <c r="G753" s="116">
        <v>99.77</v>
      </c>
      <c r="H753" s="116">
        <v>14.288</v>
      </c>
      <c r="I753" s="113">
        <v>2012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63304.85760000001</v>
      </c>
      <c r="G754" s="116">
        <v>63304.85760000001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486.17634720000007</v>
      </c>
      <c r="G755" s="116">
        <v>486.17634720000007</v>
      </c>
      <c r="H755" s="116">
        <v>0</v>
      </c>
      <c r="I755" s="113">
        <v>2040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7274.3448000000017</v>
      </c>
      <c r="G756" s="116">
        <v>7274.3448000000017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80.867819003313812</v>
      </c>
      <c r="G757" s="116">
        <v>82.867819003313812</v>
      </c>
      <c r="H757" s="116">
        <v>19.260000000000002</v>
      </c>
      <c r="I757" s="113">
        <v>1380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99.640799999999999</v>
      </c>
      <c r="G758" s="116">
        <v>106.6811</v>
      </c>
      <c r="H758" s="116">
        <v>19</v>
      </c>
      <c r="I758" s="113">
        <v>223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99.656299898054385</v>
      </c>
      <c r="G759" s="116">
        <v>103.96189989805438</v>
      </c>
      <c r="H759" s="116">
        <v>14.83</v>
      </c>
      <c r="I759" s="113">
        <v>25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98.68266935051939</v>
      </c>
      <c r="G760" s="116">
        <v>99.446569350519383</v>
      </c>
      <c r="H760" s="116">
        <v>14.21</v>
      </c>
      <c r="I760" s="113">
        <v>155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98.041445549380143</v>
      </c>
      <c r="G761" s="116">
        <v>101.00534554938014</v>
      </c>
      <c r="H761" s="116">
        <v>13.84</v>
      </c>
      <c r="I761" s="113">
        <v>263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98.969914140070131</v>
      </c>
      <c r="G762" s="116">
        <v>101.30321414007014</v>
      </c>
      <c r="H762" s="116">
        <v>14.24</v>
      </c>
      <c r="I762" s="113">
        <v>100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89.698602787433899</v>
      </c>
      <c r="G763" s="116">
        <v>91.6430027874339</v>
      </c>
      <c r="H763" s="116">
        <v>13.54</v>
      </c>
      <c r="I763" s="113">
        <v>1370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38765.061600000008</v>
      </c>
      <c r="G764" s="116">
        <v>38765.061600000008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659601.68640000012</v>
      </c>
      <c r="G765" s="116">
        <v>659601.68640000012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98.471340443714055</v>
      </c>
      <c r="G766" s="116">
        <v>101.69074044371405</v>
      </c>
      <c r="H766" s="116">
        <v>19.79</v>
      </c>
      <c r="I766" s="113">
        <v>839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42201.441600000006</v>
      </c>
      <c r="G767" s="116">
        <v>42201.441600000006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869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96.602689704245506</v>
      </c>
      <c r="G772" s="116">
        <v>96.633089704245506</v>
      </c>
      <c r="H772" s="116">
        <v>18.41</v>
      </c>
      <c r="I772" s="113">
        <v>179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35.839106509919063</v>
      </c>
      <c r="G773" s="116">
        <v>37.161306509919065</v>
      </c>
      <c r="H773" s="116">
        <v>18.920000000000002</v>
      </c>
      <c r="I773" s="113">
        <v>3481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105.93640000000001</v>
      </c>
      <c r="H775" s="116">
        <v>7.08</v>
      </c>
      <c r="I775" s="113">
        <v>2189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100.2372</v>
      </c>
      <c r="H776" s="116">
        <v>6.09</v>
      </c>
      <c r="I776" s="113">
        <v>2116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105.185</v>
      </c>
      <c r="H777" s="116">
        <v>6.08</v>
      </c>
      <c r="I777" s="113">
        <v>2544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105.185</v>
      </c>
      <c r="H778" s="116">
        <v>6.08</v>
      </c>
      <c r="I778" s="113">
        <v>2544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104.0497</v>
      </c>
      <c r="H779" s="116">
        <v>6.08</v>
      </c>
      <c r="I779" s="113">
        <v>2611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99.195899999999995</v>
      </c>
      <c r="G780" s="116">
        <v>99.195899999999995</v>
      </c>
      <c r="H780" s="116">
        <v>14.79</v>
      </c>
      <c r="I780" s="113">
        <v>20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97687.524000000019</v>
      </c>
      <c r="G781" s="116">
        <v>97687.524000000019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100.46145074205849</v>
      </c>
      <c r="G782" s="116">
        <v>103.81145074205848</v>
      </c>
      <c r="H782" s="116">
        <v>5.9</v>
      </c>
      <c r="I782" s="113">
        <v>2319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105.104</v>
      </c>
      <c r="G783" s="116">
        <v>105.554</v>
      </c>
      <c r="H783" s="116">
        <v>4.5599999999999996</v>
      </c>
      <c r="I783" s="113">
        <v>1413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100.8634</v>
      </c>
      <c r="H784" s="116">
        <v>19.5</v>
      </c>
      <c r="I784" s="113">
        <v>104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100.26086079754577</v>
      </c>
      <c r="G785" s="116">
        <v>101.59416079754577</v>
      </c>
      <c r="H785" s="116">
        <v>19.46</v>
      </c>
      <c r="I785" s="113">
        <v>186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100.22768362932717</v>
      </c>
      <c r="G786" s="116">
        <v>100.56098362932718</v>
      </c>
      <c r="H786" s="116">
        <v>19.62</v>
      </c>
      <c r="I786" s="113">
        <v>234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126790.29360000002</v>
      </c>
      <c r="G787" s="116">
        <v>126790.29360000002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86.232196779993473</v>
      </c>
      <c r="G788" s="116">
        <v>94.241896779993468</v>
      </c>
      <c r="H788" s="116">
        <v>23.56</v>
      </c>
      <c r="I788" s="113">
        <v>3157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94.803313030707457</v>
      </c>
      <c r="G789" s="116">
        <v>95.970013030707463</v>
      </c>
      <c r="H789" s="116">
        <v>17</v>
      </c>
      <c r="I789" s="113">
        <v>320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88.386925644341559</v>
      </c>
      <c r="G790" s="116">
        <v>91.916125644341562</v>
      </c>
      <c r="H790" s="116">
        <v>17.12</v>
      </c>
      <c r="I790" s="113">
        <v>779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25175.863200000003</v>
      </c>
      <c r="G791" s="116">
        <v>25175.863200000003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104.58669999999999</v>
      </c>
      <c r="H792" s="116">
        <v>9.59</v>
      </c>
      <c r="I792" s="113">
        <v>368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100.376</v>
      </c>
      <c r="G793" s="116">
        <v>100.4104</v>
      </c>
      <c r="H793" s="116">
        <v>3.93</v>
      </c>
      <c r="I793" s="113">
        <v>717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99.107520595710724</v>
      </c>
      <c r="G794" s="116">
        <v>99.340120595710729</v>
      </c>
      <c r="H794" s="116">
        <v>4.6500000000000004</v>
      </c>
      <c r="I794" s="113">
        <v>145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13462.524000000003</v>
      </c>
      <c r="G795" s="116">
        <v>13462.524000000003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39665.258400000006</v>
      </c>
      <c r="G796" s="116">
        <v>39665.258400000006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98.349000000000004</v>
      </c>
      <c r="G798" s="116">
        <v>98.807299999999998</v>
      </c>
      <c r="H798" s="116">
        <v>4.28</v>
      </c>
      <c r="I798" s="113">
        <v>1216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97.185000000000002</v>
      </c>
      <c r="G799" s="116">
        <v>97.41</v>
      </c>
      <c r="H799" s="116">
        <v>4.2300000000000004</v>
      </c>
      <c r="I799" s="113">
        <v>873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100.4278</v>
      </c>
      <c r="H800" s="116">
        <v>14</v>
      </c>
      <c r="I800" s="113">
        <v>1879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100.57503840597145</v>
      </c>
      <c r="G801" s="116">
        <v>101.62503840597145</v>
      </c>
      <c r="H801" s="116">
        <v>17.309999999999999</v>
      </c>
      <c r="I801" s="113">
        <v>339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100.57503840597145</v>
      </c>
      <c r="G802" s="116">
        <v>101.62503840597145</v>
      </c>
      <c r="H802" s="116">
        <v>17.309999999999999</v>
      </c>
      <c r="I802" s="113">
        <v>339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3405.98</v>
      </c>
      <c r="G803" s="116">
        <v>3405.98</v>
      </c>
      <c r="H803" s="116">
        <v>0</v>
      </c>
      <c r="I803" s="113">
        <v>210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100.0826</v>
      </c>
      <c r="H804" s="116">
        <v>4.24</v>
      </c>
      <c r="I804" s="113">
        <v>293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100.0865</v>
      </c>
      <c r="H805" s="116">
        <v>0.35</v>
      </c>
      <c r="I805" s="113">
        <v>91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100.0826</v>
      </c>
      <c r="H806" s="116">
        <v>0.35</v>
      </c>
      <c r="I806" s="113">
        <v>275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100.0885</v>
      </c>
      <c r="H807" s="116">
        <v>0.35</v>
      </c>
      <c r="I807" s="113">
        <v>629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3092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101.0675</v>
      </c>
      <c r="H809" s="116">
        <v>6.08</v>
      </c>
      <c r="I809" s="113">
        <v>1707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105.93640000000001</v>
      </c>
      <c r="H810" s="116">
        <v>7.08</v>
      </c>
      <c r="I810" s="113">
        <v>2189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90.426999283453611</v>
      </c>
      <c r="G811" s="116">
        <v>92.449199283453623</v>
      </c>
      <c r="H811" s="116">
        <v>20.49</v>
      </c>
      <c r="I811" s="113">
        <v>3560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100.2372</v>
      </c>
      <c r="H812" s="116">
        <v>6.09</v>
      </c>
      <c r="I812" s="113">
        <v>2116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105.185</v>
      </c>
      <c r="H813" s="116">
        <v>6.08</v>
      </c>
      <c r="I813" s="113">
        <v>2544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105.185</v>
      </c>
      <c r="H814" s="116">
        <v>6.08</v>
      </c>
      <c r="I814" s="113">
        <v>2544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104.0497</v>
      </c>
      <c r="H815" s="116">
        <v>6.08</v>
      </c>
      <c r="I815" s="113">
        <v>2611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37622.296800000004</v>
      </c>
      <c r="G816" s="116">
        <v>37622.296800000004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99.103540605192094</v>
      </c>
      <c r="G818" s="116">
        <v>99.87994060519209</v>
      </c>
      <c r="H818" s="116">
        <v>4.45</v>
      </c>
      <c r="I818" s="113">
        <v>274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98.561000000000007</v>
      </c>
      <c r="G819" s="116">
        <v>99.936000000000007</v>
      </c>
      <c r="H819" s="116">
        <v>4.09</v>
      </c>
      <c r="I819" s="113">
        <v>1668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99.756</v>
      </c>
      <c r="G820" s="116">
        <v>101.5782</v>
      </c>
      <c r="H820" s="116">
        <v>4.07</v>
      </c>
      <c r="I820" s="113">
        <v>1276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101.252</v>
      </c>
      <c r="G821" s="116">
        <v>102.8145</v>
      </c>
      <c r="H821" s="116">
        <v>4</v>
      </c>
      <c r="I821" s="113">
        <v>955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85359.679200000013</v>
      </c>
      <c r="G822" s="116">
        <v>85359.679200000013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308842.96800000005</v>
      </c>
      <c r="G823" s="116">
        <v>308842.96800000005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95.706428181525283</v>
      </c>
      <c r="G825" s="116">
        <v>101.78972818152529</v>
      </c>
      <c r="H825" s="116">
        <v>31.8</v>
      </c>
      <c r="I825" s="113">
        <v>1637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73.21445224438672</v>
      </c>
      <c r="G826" s="116">
        <v>77.436652244386721</v>
      </c>
      <c r="H826" s="116">
        <v>29.95</v>
      </c>
      <c r="I826" s="113">
        <v>2084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70.505376555202574</v>
      </c>
      <c r="G827" s="116">
        <v>74.838676555202568</v>
      </c>
      <c r="H827" s="116">
        <v>29.9</v>
      </c>
      <c r="I827" s="113">
        <v>2802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238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98.63741316259258</v>
      </c>
      <c r="G836" s="116">
        <v>100.38951316259258</v>
      </c>
      <c r="H836" s="116">
        <v>4.2</v>
      </c>
      <c r="I836" s="113">
        <v>906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100.458</v>
      </c>
      <c r="G837" s="116">
        <v>102.0622</v>
      </c>
      <c r="H837" s="116">
        <v>4.24</v>
      </c>
      <c r="I837" s="113">
        <v>1308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97.632000000000005</v>
      </c>
      <c r="G838" s="116">
        <v>97.805599999999998</v>
      </c>
      <c r="H838" s="116">
        <v>4.22</v>
      </c>
      <c r="I838" s="113">
        <v>515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98.832999999999998</v>
      </c>
      <c r="G839" s="116">
        <v>99.934399999999997</v>
      </c>
      <c r="H839" s="116">
        <v>4.29</v>
      </c>
      <c r="I839" s="113">
        <v>418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533.83017840000014</v>
      </c>
      <c r="G840" s="116">
        <v>533.83017840000014</v>
      </c>
      <c r="H840" s="116">
        <v>0</v>
      </c>
      <c r="I840" s="113">
        <v>592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47384.311200000011</v>
      </c>
      <c r="G841" s="116">
        <v>47384.311200000011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93.812639286059749</v>
      </c>
      <c r="G842" s="116">
        <v>95.387639286059752</v>
      </c>
      <c r="H842" s="116">
        <v>23.66</v>
      </c>
      <c r="I842" s="113">
        <v>872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451</v>
      </c>
      <c r="E843" s="115" t="s">
        <v>2018</v>
      </c>
      <c r="F843" s="116">
        <v>967.9</v>
      </c>
      <c r="G843" s="116">
        <v>967.9</v>
      </c>
      <c r="H843" s="116">
        <v>0</v>
      </c>
      <c r="I843" s="113">
        <v>0</v>
      </c>
      <c r="J843" s="115" t="s">
        <v>240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100.4132</v>
      </c>
      <c r="H844" s="116">
        <v>4.24</v>
      </c>
      <c r="I844" s="113">
        <v>265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101.5347</v>
      </c>
      <c r="H845" s="116">
        <v>4.24</v>
      </c>
      <c r="I845" s="113">
        <v>530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100.0788</v>
      </c>
      <c r="H846" s="116">
        <v>0.35</v>
      </c>
      <c r="I846" s="113">
        <v>279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95.525092561342632</v>
      </c>
      <c r="G847" s="116">
        <v>100.29509256134263</v>
      </c>
      <c r="H847" s="116">
        <v>19.600000000000001</v>
      </c>
      <c r="I847" s="113">
        <v>201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3092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101.0675</v>
      </c>
      <c r="H849" s="116">
        <v>6.08</v>
      </c>
      <c r="I849" s="113">
        <v>1707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105.93640000000001</v>
      </c>
      <c r="H850" s="116">
        <v>7.08</v>
      </c>
      <c r="I850" s="113">
        <v>2189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100.2372</v>
      </c>
      <c r="H851" s="116">
        <v>6.09</v>
      </c>
      <c r="I851" s="113">
        <v>2116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105.185</v>
      </c>
      <c r="H852" s="116">
        <v>6.08</v>
      </c>
      <c r="I852" s="113">
        <v>2544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105.185</v>
      </c>
      <c r="H853" s="116">
        <v>6.08</v>
      </c>
      <c r="I853" s="113">
        <v>2544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104.0497</v>
      </c>
      <c r="H854" s="116">
        <v>6.08</v>
      </c>
      <c r="I854" s="113">
        <v>2611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91.581869028201837</v>
      </c>
      <c r="G857" s="116">
        <v>92.956869028201837</v>
      </c>
      <c r="H857" s="116">
        <v>20.95</v>
      </c>
      <c r="I857" s="113">
        <v>504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100.12739999999999</v>
      </c>
      <c r="H858" s="116">
        <v>0.35</v>
      </c>
      <c r="I858" s="113">
        <v>49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100.0865</v>
      </c>
      <c r="H859" s="116">
        <v>0.35</v>
      </c>
      <c r="I859" s="113">
        <v>91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100.0788</v>
      </c>
      <c r="H860" s="116">
        <v>0.35</v>
      </c>
      <c r="I860" s="113">
        <v>279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3092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101.0675</v>
      </c>
      <c r="H862" s="116">
        <v>6.08</v>
      </c>
      <c r="I862" s="113">
        <v>1707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105.93640000000001</v>
      </c>
      <c r="H863" s="116">
        <v>7.08</v>
      </c>
      <c r="I863" s="113">
        <v>2189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90.426999283453611</v>
      </c>
      <c r="G864" s="116">
        <v>92.449199283453623</v>
      </c>
      <c r="H864" s="116">
        <v>20.49</v>
      </c>
      <c r="I864" s="113">
        <v>3560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90.424129911119039</v>
      </c>
      <c r="G865" s="116">
        <v>91.839729911119036</v>
      </c>
      <c r="H865" s="116">
        <v>20.5</v>
      </c>
      <c r="I865" s="113">
        <v>3572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100.2372</v>
      </c>
      <c r="H866" s="116">
        <v>6.09</v>
      </c>
      <c r="I866" s="113">
        <v>2116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105.185</v>
      </c>
      <c r="H867" s="116">
        <v>6.08</v>
      </c>
      <c r="I867" s="113">
        <v>2544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105.185</v>
      </c>
      <c r="H868" s="116">
        <v>6.08</v>
      </c>
      <c r="I868" s="113">
        <v>2544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104.0497</v>
      </c>
      <c r="H869" s="116">
        <v>6.08</v>
      </c>
      <c r="I869" s="113">
        <v>2611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87.014158847876843</v>
      </c>
      <c r="G870" s="116">
        <v>87.743358847876834</v>
      </c>
      <c r="H870" s="116">
        <v>18.809999999999999</v>
      </c>
      <c r="I870" s="113">
        <v>695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96.694000000000003</v>
      </c>
      <c r="G871" s="116">
        <v>97.360699999999994</v>
      </c>
      <c r="H871" s="116">
        <v>4.95</v>
      </c>
      <c r="I871" s="113">
        <v>420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98.272840273278661</v>
      </c>
      <c r="G873" s="116">
        <v>101.01064027327865</v>
      </c>
      <c r="H873" s="116">
        <v>18.16</v>
      </c>
      <c r="I873" s="113">
        <v>92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94.979806871271776</v>
      </c>
      <c r="G874" s="116">
        <v>95.613106871271768</v>
      </c>
      <c r="H874" s="116">
        <v>30.13</v>
      </c>
      <c r="I874" s="113">
        <v>3232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348333.03840000008</v>
      </c>
      <c r="G875" s="116">
        <v>348333.03840000008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101.0308</v>
      </c>
      <c r="G877" s="116">
        <v>101.0308</v>
      </c>
      <c r="H877" s="116">
        <v>20.5</v>
      </c>
      <c r="I877" s="113">
        <v>990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101.5333</v>
      </c>
      <c r="H878" s="116">
        <v>11.49</v>
      </c>
      <c r="I878" s="113">
        <v>2292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103.575</v>
      </c>
      <c r="H879" s="116">
        <v>12.98</v>
      </c>
      <c r="I879" s="113">
        <v>1161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101.9778</v>
      </c>
      <c r="H880" s="116">
        <v>7.98</v>
      </c>
      <c r="I880" s="113">
        <v>451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101.9778</v>
      </c>
      <c r="H881" s="116">
        <v>8</v>
      </c>
      <c r="I881" s="113">
        <v>2251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102.9778</v>
      </c>
      <c r="H882" s="116">
        <v>7.98</v>
      </c>
      <c r="I882" s="113">
        <v>226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102.9778</v>
      </c>
      <c r="H883" s="116">
        <v>7.98</v>
      </c>
      <c r="I883" s="113">
        <v>226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102.9778</v>
      </c>
      <c r="H884" s="116">
        <v>7.99</v>
      </c>
      <c r="I884" s="113">
        <v>586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102.9778</v>
      </c>
      <c r="H885" s="116">
        <v>7.99</v>
      </c>
      <c r="I885" s="113">
        <v>586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90.35590733944359</v>
      </c>
      <c r="G886" s="116">
        <v>90.849707339443597</v>
      </c>
      <c r="H886" s="116">
        <v>23.61</v>
      </c>
      <c r="I886" s="113">
        <v>1431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100.3069</v>
      </c>
      <c r="H887" s="116">
        <v>4.24</v>
      </c>
      <c r="I887" s="113">
        <v>274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100.0933</v>
      </c>
      <c r="H888" s="116">
        <v>0.35</v>
      </c>
      <c r="I888" s="113">
        <v>84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100.0788</v>
      </c>
      <c r="H889" s="116">
        <v>0.35</v>
      </c>
      <c r="I889" s="113">
        <v>279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100.1011</v>
      </c>
      <c r="H890" s="116">
        <v>0.35</v>
      </c>
      <c r="I890" s="113">
        <v>616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100.01390000000001</v>
      </c>
      <c r="H891" s="116">
        <v>0.02</v>
      </c>
      <c r="I891" s="113">
        <v>3092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104.8122</v>
      </c>
      <c r="H892" s="116">
        <v>7.05</v>
      </c>
      <c r="I892" s="113">
        <v>2189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100.0038</v>
      </c>
      <c r="H893" s="116">
        <v>0.02</v>
      </c>
      <c r="I893" s="113">
        <v>3092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100.0043</v>
      </c>
      <c r="H894" s="116">
        <v>0.02</v>
      </c>
      <c r="I894" s="113">
        <v>3092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101.0675</v>
      </c>
      <c r="H895" s="116">
        <v>6.08</v>
      </c>
      <c r="I895" s="113">
        <v>1707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100.2372</v>
      </c>
      <c r="H896" s="116">
        <v>6.09</v>
      </c>
      <c r="I896" s="113">
        <v>2116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102.98220000000001</v>
      </c>
      <c r="H897" s="116">
        <v>6.06</v>
      </c>
      <c r="I897" s="113">
        <v>2614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105.185</v>
      </c>
      <c r="H898" s="116">
        <v>6.08</v>
      </c>
      <c r="I898" s="113">
        <v>2544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105.185</v>
      </c>
      <c r="H899" s="116">
        <v>6.08</v>
      </c>
      <c r="I899" s="113">
        <v>2544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104.0497</v>
      </c>
      <c r="H900" s="116">
        <v>6.08</v>
      </c>
      <c r="I900" s="113">
        <v>2611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46443.686400000006</v>
      </c>
      <c r="G901" s="116">
        <v>46443.686400000006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94.541720883247933</v>
      </c>
      <c r="G902" s="116">
        <v>98.443520883247942</v>
      </c>
      <c r="H902" s="116">
        <v>20.69</v>
      </c>
      <c r="I902" s="113">
        <v>237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86.260392841584618</v>
      </c>
      <c r="G903" s="116">
        <v>87.23819284158462</v>
      </c>
      <c r="H903" s="116">
        <v>19.989999999999998</v>
      </c>
      <c r="I903" s="113">
        <v>686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27.262235477833947</v>
      </c>
      <c r="G904" s="116">
        <v>27.306635477833947</v>
      </c>
      <c r="H904" s="116">
        <v>19.43</v>
      </c>
      <c r="I904" s="113">
        <v>3232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66.438127036001418</v>
      </c>
      <c r="G905" s="116">
        <v>71.07002703600142</v>
      </c>
      <c r="H905" s="116">
        <v>19.510000000000002</v>
      </c>
      <c r="I905" s="113">
        <v>3275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66.540106365664798</v>
      </c>
      <c r="G906" s="116">
        <v>71.842906365664803</v>
      </c>
      <c r="H906" s="116">
        <v>19.52</v>
      </c>
      <c r="I906" s="113">
        <v>3254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105.741</v>
      </c>
      <c r="G909" s="116">
        <v>108.325</v>
      </c>
      <c r="H909" s="116">
        <v>5.86</v>
      </c>
      <c r="I909" s="113">
        <v>1318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82.545483142557984</v>
      </c>
      <c r="G911" s="116">
        <v>84.645483142557993</v>
      </c>
      <c r="H911" s="116">
        <v>17.170000000000002</v>
      </c>
      <c r="I911" s="113">
        <v>996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9.5119180578921316</v>
      </c>
      <c r="G912" s="116">
        <v>9.554118057892131</v>
      </c>
      <c r="H912" s="116">
        <v>16.670000000000002</v>
      </c>
      <c r="I912" s="113">
        <v>5463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26.428813746851358</v>
      </c>
      <c r="G913" s="116">
        <v>26.487113746851357</v>
      </c>
      <c r="H913" s="116">
        <v>17.350000000000001</v>
      </c>
      <c r="I913" s="113">
        <v>3030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26.428813746851358</v>
      </c>
      <c r="G914" s="116">
        <v>26.487113746851357</v>
      </c>
      <c r="H914" s="116">
        <v>17.350000000000001</v>
      </c>
      <c r="I914" s="113">
        <v>3030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4.6478279382845606</v>
      </c>
      <c r="G915" s="116">
        <v>4.7042279382845607</v>
      </c>
      <c r="H915" s="116">
        <v>16.82</v>
      </c>
      <c r="I915" s="113">
        <v>7263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9.5123986027414187</v>
      </c>
      <c r="G916" s="116">
        <v>9.5965986027414196</v>
      </c>
      <c r="H916" s="116">
        <v>15.92</v>
      </c>
      <c r="I916" s="113">
        <v>5463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26.575308621267794</v>
      </c>
      <c r="G917" s="116">
        <v>26.662208621267794</v>
      </c>
      <c r="H917" s="116">
        <v>16.34</v>
      </c>
      <c r="I917" s="113">
        <v>3017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26.495642636808569</v>
      </c>
      <c r="G918" s="116">
        <v>26.555642636808571</v>
      </c>
      <c r="H918" s="116">
        <v>17.36</v>
      </c>
      <c r="I918" s="113">
        <v>3024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26.428813746851358</v>
      </c>
      <c r="G919" s="116">
        <v>26.487113746851357</v>
      </c>
      <c r="H919" s="116">
        <v>17.350000000000001</v>
      </c>
      <c r="I919" s="113">
        <v>3030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26.495642636808569</v>
      </c>
      <c r="G920" s="116">
        <v>26.555642636808571</v>
      </c>
      <c r="H920" s="116">
        <v>17.36</v>
      </c>
      <c r="I920" s="113">
        <v>3024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97.42561001964232</v>
      </c>
      <c r="G921" s="116">
        <v>103.52561001964233</v>
      </c>
      <c r="H921" s="116">
        <v>17.34</v>
      </c>
      <c r="I921" s="113">
        <v>116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84.916662009408157</v>
      </c>
      <c r="G922" s="116">
        <v>85.895862009408148</v>
      </c>
      <c r="H922" s="116">
        <v>17.260000000000002</v>
      </c>
      <c r="I922" s="113">
        <v>673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190054.72320000004</v>
      </c>
      <c r="G924" s="116">
        <v>190054.72320000004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91.622600000000006</v>
      </c>
      <c r="G925" s="116">
        <v>94.022599999999997</v>
      </c>
      <c r="H925" s="116">
        <v>22</v>
      </c>
      <c r="I925" s="113">
        <v>1032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99.753184254975352</v>
      </c>
      <c r="G926" s="116">
        <v>99.80878425497535</v>
      </c>
      <c r="H926" s="116">
        <v>21.04</v>
      </c>
      <c r="I926" s="113">
        <v>89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99.759542307616456</v>
      </c>
      <c r="G927" s="116">
        <v>100.09284230761646</v>
      </c>
      <c r="H927" s="116">
        <v>21.05</v>
      </c>
      <c r="I927" s="113">
        <v>84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110295.66960000002</v>
      </c>
      <c r="G928" s="116">
        <v>110295.66960000002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15510.876000000002</v>
      </c>
      <c r="G929" s="116">
        <v>15510.876000000002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52222.195200000009</v>
      </c>
      <c r="G930" s="116">
        <v>52222.195200000009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21650.541600000004</v>
      </c>
      <c r="G932" s="116">
        <v>21650.541600000004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96.578125</v>
      </c>
      <c r="G933" s="116">
        <v>96.702825000000004</v>
      </c>
      <c r="H933" s="116">
        <v>4.04</v>
      </c>
      <c r="I933" s="113">
        <v>2728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98.578125</v>
      </c>
      <c r="G934" s="116">
        <v>98.716125000000005</v>
      </c>
      <c r="H934" s="116">
        <v>4.09</v>
      </c>
      <c r="I934" s="113">
        <v>2909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107.8359375</v>
      </c>
      <c r="G935" s="116">
        <v>108.0273375</v>
      </c>
      <c r="H935" s="116">
        <v>3.78</v>
      </c>
      <c r="I935" s="113">
        <v>1997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97.390625</v>
      </c>
      <c r="G936" s="116">
        <v>97.673524999999998</v>
      </c>
      <c r="H936" s="116">
        <v>3.76</v>
      </c>
      <c r="I936" s="113">
        <v>490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92.9453125</v>
      </c>
      <c r="G937" s="116">
        <v>93.167612500000004</v>
      </c>
      <c r="H937" s="116">
        <v>3.64</v>
      </c>
      <c r="I937" s="113">
        <v>1221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87.09375</v>
      </c>
      <c r="G938" s="116">
        <v>87.133849999999995</v>
      </c>
      <c r="H938" s="116">
        <v>3.76</v>
      </c>
      <c r="I938" s="113">
        <v>1997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99.28125</v>
      </c>
      <c r="G939" s="116">
        <v>99.326449999999994</v>
      </c>
      <c r="H939" s="116">
        <v>0.9</v>
      </c>
      <c r="I939" s="113">
        <v>505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100.00682090779644</v>
      </c>
      <c r="G940" s="116">
        <v>102.48632090779644</v>
      </c>
      <c r="H940" s="116">
        <v>4.1100000000000003</v>
      </c>
      <c r="I940" s="113">
        <v>3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100.06581433077737</v>
      </c>
      <c r="G941" s="116">
        <v>102.12061433077737</v>
      </c>
      <c r="H941" s="116">
        <v>4.22</v>
      </c>
      <c r="I941" s="113">
        <v>33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100.1875</v>
      </c>
      <c r="G942" s="116">
        <v>101.3762</v>
      </c>
      <c r="H942" s="116">
        <v>4.1100000000000003</v>
      </c>
      <c r="I942" s="113">
        <v>94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102.283625</v>
      </c>
      <c r="H943" s="116">
        <v>3.81</v>
      </c>
      <c r="I943" s="113">
        <v>444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103.9609375</v>
      </c>
      <c r="G944" s="116">
        <v>105.0886375</v>
      </c>
      <c r="H944" s="116">
        <v>3.85</v>
      </c>
      <c r="I944" s="113">
        <v>2102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101.53125</v>
      </c>
      <c r="G945" s="116">
        <v>102.78985</v>
      </c>
      <c r="H945" s="116">
        <v>4.16</v>
      </c>
      <c r="I945" s="113">
        <v>3182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99.906032825792195</v>
      </c>
      <c r="G946" s="116">
        <v>99.906032825792195</v>
      </c>
      <c r="H946" s="116">
        <v>4.84</v>
      </c>
      <c r="I946" s="113">
        <v>6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99.581508709647707</v>
      </c>
      <c r="G947" s="116">
        <v>99.581508709647707</v>
      </c>
      <c r="H947" s="116">
        <v>4.32</v>
      </c>
      <c r="I947" s="113">
        <v>34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100.31640625</v>
      </c>
      <c r="G948" s="116">
        <v>102.60990624999999</v>
      </c>
      <c r="H948" s="116">
        <v>3.98</v>
      </c>
      <c r="I948" s="113">
        <v>184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100.05859375</v>
      </c>
      <c r="G949" s="116">
        <v>100.38459374999999</v>
      </c>
      <c r="H949" s="116">
        <v>4.0999999999999996</v>
      </c>
      <c r="I949" s="113">
        <v>156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97.4921875</v>
      </c>
      <c r="G950" s="116">
        <v>98.026387499999998</v>
      </c>
      <c r="H950" s="116">
        <v>3.83</v>
      </c>
      <c r="I950" s="113">
        <v>429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98.515625</v>
      </c>
      <c r="G951" s="116">
        <v>99.882024999999999</v>
      </c>
      <c r="H951" s="116">
        <v>4.87</v>
      </c>
      <c r="I951" s="113">
        <v>6653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99.273757313166783</v>
      </c>
      <c r="G952" s="116">
        <v>99.273757313166783</v>
      </c>
      <c r="H952" s="116">
        <v>4.18</v>
      </c>
      <c r="I952" s="113">
        <v>62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98.95762572617889</v>
      </c>
      <c r="G953" s="116">
        <v>98.95762572617889</v>
      </c>
      <c r="H953" s="116">
        <v>4.12</v>
      </c>
      <c r="I953" s="113">
        <v>90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98.671754840157931</v>
      </c>
      <c r="G954" s="116">
        <v>98.671754840157931</v>
      </c>
      <c r="H954" s="116">
        <v>4.04</v>
      </c>
      <c r="I954" s="113">
        <v>118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98.405045554702411</v>
      </c>
      <c r="G955" s="116">
        <v>98.405045554702411</v>
      </c>
      <c r="H955" s="116">
        <v>3.97</v>
      </c>
      <c r="I955" s="113">
        <v>144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98.131360820290936</v>
      </c>
      <c r="G956" s="116">
        <v>98.131360820290936</v>
      </c>
      <c r="H956" s="116">
        <v>3.92</v>
      </c>
      <c r="I956" s="113">
        <v>171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97.877126686443276</v>
      </c>
      <c r="G957" s="116">
        <v>97.877126686443276</v>
      </c>
      <c r="H957" s="116">
        <v>3.85</v>
      </c>
      <c r="I957" s="113">
        <v>201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100.4921875</v>
      </c>
      <c r="G958" s="116">
        <v>100.8085875</v>
      </c>
      <c r="H958" s="116">
        <v>3.77</v>
      </c>
      <c r="I958" s="113">
        <v>521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97.626536194224741</v>
      </c>
      <c r="G959" s="116">
        <v>97.626536194224741</v>
      </c>
      <c r="H959" s="116">
        <v>3.79</v>
      </c>
      <c r="I959" s="113">
        <v>228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97.363083164300207</v>
      </c>
      <c r="G960" s="116">
        <v>97.363083164300207</v>
      </c>
      <c r="H960" s="116">
        <v>3.76</v>
      </c>
      <c r="I960" s="113">
        <v>256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99.682449098091894</v>
      </c>
      <c r="G961" s="116">
        <v>99.682449098091894</v>
      </c>
      <c r="H961" s="116">
        <v>4.41</v>
      </c>
      <c r="I961" s="113">
        <v>25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109.1484375</v>
      </c>
      <c r="G962" s="116">
        <v>109.3666375</v>
      </c>
      <c r="H962" s="116">
        <v>3.63</v>
      </c>
      <c r="I962" s="113">
        <v>1448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86.4140625</v>
      </c>
      <c r="G963" s="116">
        <v>86.6657625</v>
      </c>
      <c r="H963" s="116">
        <v>3.77</v>
      </c>
      <c r="I963" s="113">
        <v>1905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75.90625</v>
      </c>
      <c r="G964" s="116">
        <v>76.76925</v>
      </c>
      <c r="H964" s="116">
        <v>4.96</v>
      </c>
      <c r="I964" s="113">
        <v>7019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72.078125</v>
      </c>
      <c r="G965" s="116">
        <v>72.725425000000001</v>
      </c>
      <c r="H965" s="116">
        <v>4.8</v>
      </c>
      <c r="I965" s="113">
        <v>5739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98.45703125</v>
      </c>
      <c r="G966" s="116">
        <v>98.485831250000004</v>
      </c>
      <c r="H966" s="116">
        <v>4.05</v>
      </c>
      <c r="I966" s="113">
        <v>156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99.790762820640609</v>
      </c>
      <c r="G967" s="116">
        <v>100.77706282064061</v>
      </c>
      <c r="H967" s="116">
        <v>4.1900000000000004</v>
      </c>
      <c r="I967" s="113">
        <v>64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85.40625</v>
      </c>
      <c r="G968" s="116">
        <v>86.556950000000001</v>
      </c>
      <c r="H968" s="116">
        <v>4.99</v>
      </c>
      <c r="I968" s="113">
        <v>9941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98.1640625</v>
      </c>
      <c r="G969" s="116">
        <v>98.472262499999999</v>
      </c>
      <c r="H969" s="116">
        <v>3.93</v>
      </c>
      <c r="I969" s="113">
        <v>215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97.515625</v>
      </c>
      <c r="G970" s="116">
        <v>97.657025000000004</v>
      </c>
      <c r="H970" s="116">
        <v>3.91</v>
      </c>
      <c r="I970" s="113">
        <v>306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99.97225990213056</v>
      </c>
      <c r="G971" s="116">
        <v>100.78325990213055</v>
      </c>
      <c r="H971" s="116">
        <v>4.08</v>
      </c>
      <c r="I971" s="113">
        <v>109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99.883464324815677</v>
      </c>
      <c r="G972" s="116">
        <v>101.11636432481568</v>
      </c>
      <c r="H972" s="116">
        <v>4.28</v>
      </c>
      <c r="I972" s="113">
        <v>33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99.982740157895705</v>
      </c>
      <c r="G973" s="116">
        <v>101.3464401578957</v>
      </c>
      <c r="H973" s="116">
        <v>4.84</v>
      </c>
      <c r="I973" s="113">
        <v>3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93.59375</v>
      </c>
      <c r="G974" s="116">
        <v>94.420850000000002</v>
      </c>
      <c r="H974" s="116">
        <v>3.97</v>
      </c>
      <c r="I974" s="113">
        <v>2452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100.15560000000001</v>
      </c>
      <c r="H975" s="116">
        <v>0.35</v>
      </c>
      <c r="I975" s="113">
        <v>320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100.1215</v>
      </c>
      <c r="H976" s="116">
        <v>0.35</v>
      </c>
      <c r="I976" s="113">
        <v>55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100.0408</v>
      </c>
      <c r="H977" s="116">
        <v>0.35</v>
      </c>
      <c r="I977" s="113">
        <v>678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3092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90.424129911119039</v>
      </c>
      <c r="G979" s="116">
        <v>91.839729911119036</v>
      </c>
      <c r="H979" s="116">
        <v>20.5</v>
      </c>
      <c r="I979" s="113">
        <v>3572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99.291087083316356</v>
      </c>
      <c r="G982" s="116">
        <v>104.01608708331635</v>
      </c>
      <c r="H982" s="116">
        <v>20.59</v>
      </c>
      <c r="I982" s="113">
        <v>996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100.0885</v>
      </c>
      <c r="H983" s="116">
        <v>0.35</v>
      </c>
      <c r="I983" s="113">
        <v>629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100.0038</v>
      </c>
      <c r="H984" s="116">
        <v>0.02</v>
      </c>
      <c r="I984" s="113">
        <v>3092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100.0042</v>
      </c>
      <c r="H985" s="116">
        <v>0.02</v>
      </c>
      <c r="I985" s="113">
        <v>3092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101.0675</v>
      </c>
      <c r="H986" s="116">
        <v>6.08</v>
      </c>
      <c r="I986" s="113">
        <v>1707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105.93640000000001</v>
      </c>
      <c r="H987" s="116">
        <v>7.08</v>
      </c>
      <c r="I987" s="113">
        <v>2189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90.426999283453611</v>
      </c>
      <c r="G988" s="116">
        <v>92.449199283453623</v>
      </c>
      <c r="H988" s="116">
        <v>20.49</v>
      </c>
      <c r="I988" s="113">
        <v>3560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90.424129911119039</v>
      </c>
      <c r="G989" s="116">
        <v>91.839729911119036</v>
      </c>
      <c r="H989" s="116">
        <v>20.5</v>
      </c>
      <c r="I989" s="113">
        <v>3572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100.2372</v>
      </c>
      <c r="H990" s="116">
        <v>6.09</v>
      </c>
      <c r="I990" s="113">
        <v>2116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105.185</v>
      </c>
      <c r="H991" s="116">
        <v>6.08</v>
      </c>
      <c r="I991" s="113">
        <v>2544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105.185</v>
      </c>
      <c r="H992" s="116">
        <v>6.08</v>
      </c>
      <c r="I992" s="113">
        <v>2544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104.0497</v>
      </c>
      <c r="H993" s="116">
        <v>6.08</v>
      </c>
      <c r="I993" s="113">
        <v>2611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23693.503200000003</v>
      </c>
      <c r="G994" s="116">
        <v>23693.503200000003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43403.500800000009</v>
      </c>
      <c r="G995" s="116">
        <v>43403.500800000009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45915.427200000006</v>
      </c>
      <c r="G996" s="116">
        <v>45915.427200000006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60423.688800000011</v>
      </c>
      <c r="G997" s="116">
        <v>60423.688800000011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2817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2656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100.46040000000001</v>
      </c>
      <c r="H1001" s="116">
        <v>4.24</v>
      </c>
      <c r="I1001" s="113">
        <v>261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100.0865</v>
      </c>
      <c r="H1002" s="116">
        <v>0.35</v>
      </c>
      <c r="I1002" s="113">
        <v>91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100.09820000000001</v>
      </c>
      <c r="H1003" s="116">
        <v>0.35</v>
      </c>
      <c r="I1003" s="113">
        <v>259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100.1264</v>
      </c>
      <c r="H1004" s="116">
        <v>0.35</v>
      </c>
      <c r="I1004" s="113">
        <v>590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100.0408</v>
      </c>
      <c r="H1005" s="116">
        <v>0.35</v>
      </c>
      <c r="I1005" s="113">
        <v>678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100.0038</v>
      </c>
      <c r="H1006" s="116">
        <v>0.02</v>
      </c>
      <c r="I1006" s="113">
        <v>3092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101.0675</v>
      </c>
      <c r="H1007" s="116">
        <v>6.08</v>
      </c>
      <c r="I1007" s="113">
        <v>1707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105.93640000000001</v>
      </c>
      <c r="H1008" s="116">
        <v>7.08</v>
      </c>
      <c r="I1008" s="113">
        <v>2189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90.426999283453611</v>
      </c>
      <c r="G1009" s="116">
        <v>92.449199283453623</v>
      </c>
      <c r="H1009" s="116">
        <v>20.49</v>
      </c>
      <c r="I1009" s="113">
        <v>3560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100.2372</v>
      </c>
      <c r="H1010" s="116">
        <v>6.09</v>
      </c>
      <c r="I1010" s="113">
        <v>2116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105.185</v>
      </c>
      <c r="H1011" s="116">
        <v>6.08</v>
      </c>
      <c r="I1011" s="113">
        <v>2544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105.185</v>
      </c>
      <c r="H1012" s="116">
        <v>6.08</v>
      </c>
      <c r="I1012" s="113">
        <v>2544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28.08.25</vt:lpstr>
      <vt:lpstr>Риск цены за 28.08.25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2025-08-29T07:54:32Z</dcterms:modified>
</cp:coreProperties>
</file>