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02D32BB0-0BF8-4020-8929-2CC7CDC059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6.08.25" sheetId="2" r:id="rId2"/>
    <sheet name="Риск цены за 26.08.25" sheetId="4" r:id="rId3"/>
  </sheets>
  <definedNames>
    <definedName name="_xlnm._FilterDatabase" localSheetId="1" hidden="1">'KASE за 26.08.25'!#REF!</definedName>
    <definedName name="_xlnm._FilterDatabase" localSheetId="0" hidden="1">ДУ!$A$67:$T$67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1" i="1"/>
  <c r="D64" i="1"/>
  <c r="M69" i="1"/>
  <c r="L69" i="1"/>
  <c r="L70" i="1"/>
  <c r="M70" i="1" s="1"/>
  <c r="L71" i="1"/>
  <c r="M71" i="1" s="1"/>
  <c r="L73" i="1"/>
  <c r="J73" i="1"/>
  <c r="I73" i="1"/>
  <c r="C73" i="1"/>
  <c r="B92" i="1"/>
  <c r="B91" i="1"/>
  <c r="B88" i="1"/>
  <c r="M68" i="1"/>
  <c r="L68" i="1"/>
  <c r="C24" i="1"/>
  <c r="K61" i="1"/>
  <c r="J60" i="1"/>
  <c r="I60" i="1"/>
  <c r="D60" i="1"/>
  <c r="N60" i="1" s="1"/>
  <c r="J37" i="1"/>
  <c r="I37" i="1"/>
  <c r="J36" i="1"/>
  <c r="I36" i="1"/>
  <c r="J23" i="1"/>
  <c r="I23" i="1"/>
  <c r="M73" i="1" l="1"/>
  <c r="O60" i="1"/>
  <c r="L60" i="1"/>
  <c r="B90" i="1"/>
  <c r="B86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H6" i="1" s="1"/>
  <c r="C6" i="1"/>
  <c r="L27" i="1" l="1"/>
  <c r="L29" i="1"/>
  <c r="L51" i="1"/>
  <c r="L55" i="1"/>
  <c r="C61" i="1"/>
  <c r="L58" i="1"/>
  <c r="B96" i="1"/>
  <c r="L24" i="1"/>
  <c r="N24" i="1"/>
  <c r="O24" i="1" s="1"/>
  <c r="D61" i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1" i="1" l="1"/>
  <c r="M60" i="1" s="1"/>
  <c r="H61" i="1"/>
  <c r="M32" i="1" l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1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1" i="1" l="1"/>
</calcChain>
</file>

<file path=xl/sharedStrings.xml><?xml version="1.0" encoding="utf-8"?>
<sst xmlns="http://schemas.openxmlformats.org/spreadsheetml/2006/main" count="6510" uniqueCount="2846">
  <si>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</si>
  <si>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</si>
  <si>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</si>
  <si>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</si>
  <si>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</si>
  <si>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</si>
  <si>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</si>
  <si>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</si>
  <si>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</si>
  <si>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</si>
  <si>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</si>
  <si>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</si>
  <si>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</si>
  <si>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</si>
  <si>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</si>
  <si>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</si>
  <si>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</si>
  <si>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</si>
  <si>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</si>
  <si>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</si>
  <si>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</si>
  <si>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</si>
  <si>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</si>
  <si>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</si>
  <si>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</si>
  <si>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</si>
  <si>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</si>
  <si>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</si>
  <si>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</si>
  <si>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</si>
  <si>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</si>
  <si>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</si>
  <si>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</si>
  <si>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</si>
  <si>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</si>
  <si>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</si>
  <si>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</si>
  <si>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</si>
  <si>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</si>
  <si>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</si>
  <si>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</si>
  <si>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</si>
  <si>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</si>
  <si>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</si>
  <si>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</si>
  <si>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</si>
  <si>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</si>
  <si>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</si>
  <si>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</si>
  <si>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</si>
  <si>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</si>
  <si>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</si>
  <si>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</si>
  <si>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</si>
  <si>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</si>
  <si>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</si>
  <si>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</si>
  <si>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</si>
  <si>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</si>
  <si>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</si>
  <si>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</si>
  <si>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</si>
  <si>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</si>
  <si>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</si>
  <si>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</si>
  <si>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</si>
  <si>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</si>
  <si>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</si>
  <si>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</si>
  <si>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</si>
  <si>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</si>
  <si>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</si>
  <si>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</si>
  <si>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</si>
  <si>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</si>
  <si>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</si>
  <si>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</si>
  <si>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</si>
  <si>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</si>
  <si>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</si>
  <si>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</si>
  <si>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</si>
  <si>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</si>
  <si>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</si>
  <si>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</si>
  <si>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</si>
  <si>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</si>
  <si>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</si>
  <si>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</si>
  <si>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</si>
  <si>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</si>
  <si>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</si>
  <si>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</si>
  <si>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</si>
  <si>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</si>
  <si>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</si>
  <si>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</si>
  <si>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</si>
  <si>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</si>
  <si>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</si>
  <si>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</si>
  <si>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</si>
  <si>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</si>
  <si>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</si>
  <si>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</si>
  <si>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</si>
  <si>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</si>
  <si>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</si>
  <si>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</si>
  <si>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</si>
  <si>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</si>
  <si>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</si>
  <si>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</si>
  <si>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</si>
  <si>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</si>
  <si>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</si>
  <si>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</si>
  <si>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</si>
  <si>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</si>
  <si>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</si>
  <si>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</si>
  <si>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</si>
  <si>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</si>
  <si>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</si>
  <si>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</si>
  <si>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</si>
  <si>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</si>
  <si>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</si>
  <si>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</si>
  <si>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</si>
  <si>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</si>
  <si>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</si>
  <si>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</si>
  <si>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</si>
  <si>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</si>
  <si>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</si>
  <si>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</si>
  <si>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</si>
  <si>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</si>
  <si>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</si>
  <si>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</si>
  <si>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</si>
  <si>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</si>
  <si>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</si>
  <si>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</si>
  <si>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</si>
  <si>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</si>
  <si>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</si>
  <si>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</si>
  <si>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</si>
  <si>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</si>
  <si>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</si>
  <si>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</si>
  <si>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</si>
  <si>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</si>
  <si>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</si>
  <si>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</si>
  <si>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</si>
  <si>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</si>
  <si>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</si>
  <si>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</si>
  <si>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</si>
  <si>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</si>
  <si>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</si>
  <si>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</si>
  <si>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</si>
  <si>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</si>
  <si>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</si>
  <si>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</si>
  <si>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</si>
  <si>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</si>
  <si>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</si>
  <si>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</si>
  <si>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</si>
  <si>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</si>
  <si>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</si>
  <si>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</si>
  <si>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</si>
  <si>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</si>
  <si>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</si>
  <si>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</si>
  <si>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</si>
  <si>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</si>
  <si>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</si>
  <si>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</si>
  <si>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</si>
  <si>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</si>
  <si>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</si>
  <si>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</si>
  <si>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</si>
  <si>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</si>
  <si>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</si>
  <si>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</si>
  <si>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</si>
  <si>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</si>
  <si>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</si>
  <si>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</si>
  <si>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</si>
  <si>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</si>
  <si>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</si>
  <si>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</si>
  <si>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</si>
  <si>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</si>
  <si>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</si>
  <si>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</si>
  <si>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</si>
  <si>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</si>
  <si>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</si>
  <si>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</si>
  <si>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</si>
  <si>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</si>
  <si>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</si>
  <si>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</si>
  <si>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</si>
  <si>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</si>
  <si>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</si>
  <si>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</si>
  <si>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</si>
  <si>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</si>
  <si>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</si>
  <si>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</si>
  <si>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</si>
  <si>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</si>
  <si>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</si>
  <si>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</si>
  <si>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</si>
  <si>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</si>
  <si>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</si>
  <si>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</si>
  <si>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</si>
  <si>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</si>
  <si>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</si>
  <si>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</si>
  <si>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</si>
  <si>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</si>
  <si>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</si>
  <si>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</si>
  <si>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</si>
  <si>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</si>
  <si>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</si>
  <si>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</si>
  <si>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</si>
  <si>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</si>
  <si>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</si>
  <si>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</si>
  <si>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</si>
  <si>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</si>
  <si>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</si>
  <si>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</si>
  <si>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</si>
  <si>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</si>
  <si>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</si>
  <si>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</si>
  <si>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</si>
  <si>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</si>
  <si>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</si>
  <si>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</si>
  <si>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</si>
  <si>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</si>
  <si>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</si>
  <si>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</si>
  <si>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</si>
  <si>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</si>
  <si>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</si>
  <si>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</si>
  <si>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</si>
  <si>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</si>
  <si>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</si>
  <si>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</si>
  <si>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</si>
  <si>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</si>
  <si>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</si>
  <si>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</si>
  <si>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</si>
  <si>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</si>
  <si>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</si>
  <si>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</si>
  <si>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</si>
  <si>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</si>
  <si>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</si>
  <si>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</si>
  <si>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</si>
  <si>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</si>
  <si>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</si>
  <si>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</si>
  <si>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</si>
  <si>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</si>
  <si>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</si>
  <si>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</si>
  <si>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</si>
  <si>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</si>
  <si>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</si>
  <si>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</si>
  <si>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</si>
  <si>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</si>
  <si>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</si>
  <si>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</si>
  <si>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</si>
  <si>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</si>
  <si>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</si>
  <si>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</si>
  <si>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</si>
  <si>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</si>
  <si>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</si>
  <si>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</si>
  <si>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</si>
  <si>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</si>
  <si>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</si>
  <si>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</si>
  <si>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</si>
  <si>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</si>
  <si>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</si>
  <si>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</si>
  <si>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</si>
  <si>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</si>
  <si>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</si>
  <si>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</si>
  <si>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</si>
  <si>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</si>
  <si>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</si>
  <si>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</si>
  <si>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</si>
  <si>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</si>
  <si>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</si>
  <si>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</si>
  <si>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</si>
  <si>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</si>
  <si>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</si>
  <si>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</si>
  <si>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</si>
  <si>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</si>
  <si>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</si>
  <si>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</si>
  <si>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</si>
  <si>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</si>
  <si>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</si>
  <si>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</si>
  <si>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</si>
  <si>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</si>
  <si>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</si>
  <si>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</si>
  <si>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</si>
  <si>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</si>
  <si>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</si>
  <si>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</si>
  <si>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</si>
  <si>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</si>
  <si>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</si>
  <si>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</si>
  <si>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</si>
  <si>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</si>
  <si>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</si>
  <si>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</si>
  <si>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</si>
  <si>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</si>
  <si>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</si>
  <si>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</si>
  <si>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</si>
  <si>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</si>
  <si>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</si>
  <si>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</si>
  <si>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</si>
  <si>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</si>
  <si>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</si>
  <si>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</si>
  <si>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</si>
  <si>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</si>
  <si>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</si>
  <si>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</si>
  <si>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</si>
  <si>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</si>
  <si>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</si>
  <si>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</si>
  <si>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</si>
  <si>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</si>
  <si>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</si>
  <si>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</si>
  <si>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</si>
  <si>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</si>
  <si>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</si>
  <si>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</si>
  <si>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</si>
  <si>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</si>
  <si>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</si>
  <si>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</si>
  <si>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</si>
  <si>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</si>
  <si>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</si>
  <si>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</si>
  <si>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</si>
  <si>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</si>
  <si>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</si>
  <si>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</si>
  <si>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</si>
  <si>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</si>
  <si>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</si>
  <si>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</si>
  <si>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</si>
  <si>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</si>
  <si>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</si>
  <si>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</si>
  <si>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</si>
  <si>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</si>
  <si>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</si>
  <si>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</si>
  <si>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</si>
  <si>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</si>
  <si>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</si>
  <si>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</si>
  <si>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</si>
  <si>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</si>
  <si>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</si>
  <si>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</si>
  <si>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</si>
  <si>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</si>
  <si>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</si>
  <si>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</si>
  <si>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</si>
  <si>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</si>
  <si>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</si>
  <si>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</si>
  <si>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</si>
  <si>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</si>
  <si>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</si>
  <si>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</si>
  <si>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</si>
  <si>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</si>
  <si>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</si>
  <si>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</si>
  <si>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</si>
  <si>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</si>
  <si>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</si>
  <si>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</si>
  <si>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</si>
  <si>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</si>
  <si>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</si>
  <si>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</si>
  <si>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</si>
  <si>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</si>
  <si>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</si>
  <si>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</si>
  <si>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</si>
  <si>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</si>
  <si>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</si>
  <si>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</si>
  <si>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</si>
  <si>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</si>
  <si>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</si>
  <si>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</si>
  <si>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</si>
  <si>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</si>
  <si>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</si>
  <si>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</si>
  <si>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</si>
  <si>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</si>
  <si>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</si>
  <si>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</si>
  <si>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</si>
  <si>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</si>
  <si>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</si>
  <si>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</si>
  <si>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</si>
  <si>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</si>
  <si>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</si>
  <si>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</si>
  <si>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</si>
  <si>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</si>
  <si>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</si>
  <si>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</si>
  <si>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</si>
  <si>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</si>
  <si>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</si>
  <si>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</si>
  <si>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</si>
  <si>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</si>
  <si>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</si>
  <si>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</si>
  <si>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</si>
  <si>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</si>
  <si>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</si>
  <si>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</si>
  <si>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</si>
  <si>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</si>
  <si>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</si>
  <si>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</si>
  <si>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</si>
  <si>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</si>
  <si>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</si>
  <si>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</si>
  <si>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</si>
  <si>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</si>
  <si>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</si>
  <si>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</si>
  <si>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</si>
  <si>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</si>
  <si>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</si>
  <si>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</si>
  <si>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</si>
  <si>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</si>
  <si>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</si>
  <si>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</si>
  <si>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</si>
  <si>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</si>
  <si>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</si>
  <si>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</si>
  <si>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</si>
  <si>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</si>
  <si>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</si>
  <si>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</si>
  <si>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</si>
  <si>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</si>
  <si>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</si>
  <si>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</si>
  <si>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</si>
  <si>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</si>
  <si>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</si>
  <si>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</si>
  <si>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</si>
  <si>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</si>
  <si>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</si>
  <si>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</si>
  <si>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</si>
  <si>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</si>
  <si>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</si>
  <si>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</si>
  <si>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</si>
  <si>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</si>
  <si>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</si>
  <si>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</si>
  <si>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</si>
  <si>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</si>
  <si>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</si>
  <si>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</si>
  <si>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</si>
  <si>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</si>
  <si>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</si>
  <si>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</si>
  <si>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</si>
  <si>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</si>
  <si>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</si>
  <si>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</si>
  <si>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</si>
  <si>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</si>
  <si>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</si>
  <si>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</si>
  <si>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</si>
  <si>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</si>
  <si>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</si>
  <si>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</si>
  <si>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</si>
  <si>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</si>
  <si>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</si>
  <si>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</si>
  <si>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</si>
  <si>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</si>
  <si>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</si>
  <si>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</si>
  <si>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</si>
  <si>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</si>
  <si>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</si>
  <si>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</si>
  <si>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</si>
  <si>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</si>
  <si>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</si>
  <si>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</si>
  <si>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</si>
  <si>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</si>
  <si>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</si>
  <si>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</si>
  <si>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</si>
  <si>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</si>
  <si>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</si>
  <si>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</si>
  <si>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</si>
  <si>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</si>
  <si>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</si>
  <si>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</si>
  <si>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</si>
  <si>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</si>
  <si>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</si>
  <si>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</si>
  <si>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</si>
  <si>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</si>
  <si>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</si>
  <si>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</si>
  <si>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</si>
  <si>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</si>
  <si>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</si>
  <si>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</si>
  <si>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</si>
  <si>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</si>
  <si>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</si>
  <si>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</si>
  <si>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</si>
  <si>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</si>
  <si>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</si>
  <si>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</si>
  <si>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</si>
  <si>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</si>
  <si>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</si>
  <si>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</si>
  <si>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</si>
  <si>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</si>
  <si>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</si>
  <si>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</si>
  <si>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</si>
  <si>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</si>
  <si>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</si>
  <si>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</si>
  <si>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</si>
  <si>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</si>
  <si>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</si>
  <si>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</si>
  <si>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</si>
  <si>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</si>
  <si>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</si>
  <si>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</si>
  <si>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</si>
  <si>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</si>
  <si>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</si>
  <si>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</si>
  <si>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</si>
  <si>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</si>
  <si>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</si>
  <si>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</si>
  <si>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</si>
  <si>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</si>
  <si>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</si>
  <si>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</si>
  <si>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</si>
  <si>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</si>
  <si>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</si>
  <si>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</si>
  <si>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</si>
  <si>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</si>
  <si>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</si>
  <si>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</si>
  <si>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</si>
  <si>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</si>
  <si>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</si>
  <si>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</si>
  <si>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</si>
  <si>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</si>
  <si>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</si>
  <si>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</si>
  <si>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</si>
  <si>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</si>
  <si>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</si>
  <si>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</si>
  <si>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</si>
  <si>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</si>
  <si>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</si>
  <si>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</si>
  <si>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</si>
  <si>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</si>
  <si>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</si>
  <si>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</si>
  <si>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</si>
  <si>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</si>
  <si>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</si>
  <si>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</si>
  <si>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</si>
  <si>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</si>
  <si>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</si>
  <si>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</si>
  <si>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</si>
  <si>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</si>
  <si>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</si>
  <si>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</si>
  <si>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</si>
  <si>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</si>
  <si>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</si>
  <si>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</si>
  <si>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</si>
  <si>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</si>
  <si>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</si>
  <si>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</si>
  <si>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</si>
  <si>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</si>
  <si>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</si>
  <si>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</si>
  <si>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</si>
  <si>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</si>
  <si>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</si>
  <si>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</si>
  <si>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</si>
  <si>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</si>
  <si>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</si>
  <si>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</si>
  <si>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</si>
  <si>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</si>
  <si>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</si>
  <si>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</si>
  <si>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</si>
  <si>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</si>
  <si>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</si>
  <si>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</si>
  <si>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</si>
  <si>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</si>
  <si>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</si>
  <si>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</si>
  <si>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</si>
  <si>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</si>
  <si>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</si>
  <si>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</si>
  <si>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</si>
  <si>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</si>
  <si>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</si>
  <si>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</si>
  <si>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</si>
  <si>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</si>
  <si>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</si>
  <si>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</si>
  <si>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</si>
  <si>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</si>
  <si>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</si>
  <si>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</si>
  <si>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</si>
  <si>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</si>
  <si>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</si>
  <si>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</si>
  <si>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</si>
  <si>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</si>
  <si>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</si>
  <si>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</si>
  <si>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</si>
  <si>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</si>
  <si>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</si>
  <si>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</si>
  <si>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</si>
  <si>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</si>
  <si>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</si>
  <si>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</si>
  <si>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</si>
  <si>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</si>
  <si>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</si>
  <si>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</si>
  <si>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</si>
  <si>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</si>
  <si>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</si>
  <si>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</si>
  <si>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</si>
  <si>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</si>
  <si>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</si>
  <si>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</si>
  <si>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</si>
  <si>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</si>
  <si>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</si>
  <si>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</si>
  <si>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</si>
  <si>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</si>
  <si>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</si>
  <si>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</si>
  <si>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</si>
  <si>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</si>
  <si>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</si>
  <si>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</si>
  <si>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</si>
  <si>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</si>
  <si>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</si>
  <si>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</si>
  <si>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</si>
  <si>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</si>
  <si>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</si>
  <si>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</si>
  <si>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</si>
  <si>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</si>
  <si>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</si>
  <si>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</si>
  <si>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</si>
  <si>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</si>
  <si>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</si>
  <si>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</si>
  <si>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</si>
  <si>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</si>
  <si>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</si>
  <si>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</si>
  <si>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</si>
  <si>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</si>
  <si>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</si>
  <si>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</si>
  <si>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</si>
  <si>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</si>
  <si>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</si>
  <si>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</si>
  <si>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</si>
  <si>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</si>
  <si>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</si>
  <si>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</si>
  <si>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</si>
  <si>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</si>
  <si>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</si>
  <si>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</si>
  <si>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</si>
  <si>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</si>
  <si>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</si>
  <si>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</si>
  <si>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</si>
  <si>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</si>
  <si>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</si>
  <si>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</si>
  <si>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</si>
  <si>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</si>
  <si>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</si>
  <si>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</si>
  <si>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</si>
  <si>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</si>
  <si>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</si>
  <si>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</si>
  <si>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</si>
  <si>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</si>
  <si>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</si>
  <si>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</si>
  <si>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</si>
  <si>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</si>
  <si>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</si>
  <si>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</si>
  <si>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</si>
  <si>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</si>
  <si>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</si>
  <si>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</si>
  <si>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</si>
  <si>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</si>
  <si>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</si>
  <si>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</si>
  <si>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</si>
  <si>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</si>
  <si>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</si>
  <si>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</si>
  <si>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</si>
  <si>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</si>
  <si>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</si>
  <si>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</si>
  <si>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</si>
  <si>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</si>
  <si>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</si>
  <si>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</si>
  <si>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</si>
  <si>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</si>
  <si>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</si>
  <si>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</si>
  <si>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</si>
  <si>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</si>
  <si>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</si>
  <si>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</si>
  <si>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</si>
  <si>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</si>
  <si>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</si>
  <si>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</si>
  <si>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</si>
  <si>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</si>
  <si>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</si>
  <si>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</si>
  <si>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</si>
  <si>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</si>
  <si>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</si>
  <si>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</si>
  <si>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</si>
  <si>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</si>
  <si>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</si>
  <si>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</si>
  <si>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</si>
  <si>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</si>
  <si>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</si>
  <si>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</si>
  <si>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</si>
  <si>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</si>
  <si>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</si>
  <si>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</si>
  <si>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</si>
  <si>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</si>
  <si>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</si>
  <si>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</si>
  <si>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</si>
  <si>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</si>
  <si>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</si>
  <si>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</si>
  <si>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</si>
  <si>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</si>
  <si>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</si>
  <si>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</si>
  <si>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</si>
  <si>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</si>
  <si>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</si>
  <si>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</si>
  <si>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</si>
  <si>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</si>
  <si>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</si>
  <si>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</si>
  <si>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</si>
  <si>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</si>
  <si>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</si>
  <si>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</si>
  <si>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</si>
  <si>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</si>
  <si>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</si>
  <si>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</si>
  <si>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</si>
  <si>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</si>
  <si>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</si>
  <si>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</si>
  <si>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</si>
  <si>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</si>
  <si>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</si>
  <si>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</si>
  <si>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</si>
  <si>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</si>
  <si>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</si>
  <si>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</si>
  <si>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</si>
  <si>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</si>
  <si>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</si>
  <si>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</si>
  <si>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</si>
  <si>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</si>
  <si>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</si>
  <si>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</si>
  <si>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</si>
  <si>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</si>
  <si>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</si>
  <si>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</si>
  <si>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</si>
  <si>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</si>
  <si>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</si>
  <si>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</si>
  <si>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</si>
  <si>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</si>
  <si>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</si>
  <si>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</si>
  <si>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</si>
  <si>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</si>
  <si>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</si>
  <si>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</si>
  <si>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</si>
  <si>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</si>
  <si>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</si>
  <si>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</si>
  <si>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</si>
  <si>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</si>
  <si>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</si>
  <si>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</si>
  <si>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</si>
  <si>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</si>
  <si>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</si>
  <si>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</si>
  <si>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</si>
  <si>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</si>
  <si>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</si>
  <si>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</si>
  <si>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</si>
  <si>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</si>
  <si>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</si>
  <si>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</si>
  <si>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</si>
  <si>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</si>
  <si>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</si>
  <si>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</si>
  <si>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</si>
  <si>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</si>
  <si>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</si>
  <si>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</si>
  <si>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</si>
  <si>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</si>
  <si>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</si>
  <si>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</si>
  <si>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</si>
  <si>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</si>
  <si>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</si>
  <si>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</si>
  <si>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</si>
  <si>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</si>
  <si>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</si>
  <si>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</si>
  <si>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</si>
  <si>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</si>
  <si>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</si>
  <si>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</si>
  <si>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</si>
  <si>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</si>
  <si>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</si>
  <si>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</si>
  <si>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</si>
  <si>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</si>
  <si>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</si>
  <si>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</si>
  <si>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</si>
  <si>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</si>
  <si>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</si>
  <si>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</si>
  <si>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</si>
  <si>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</si>
  <si>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</si>
  <si>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</si>
  <si>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</si>
  <si>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</si>
  <si>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</si>
  <si>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</si>
  <si>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</si>
  <si>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</si>
  <si>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</si>
  <si>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</si>
  <si>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</si>
  <si>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</si>
  <si>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</si>
  <si>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</si>
  <si>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</si>
  <si>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</si>
  <si>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</si>
  <si>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</si>
  <si>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</si>
  <si>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</si>
  <si>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</si>
  <si>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</si>
  <si>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</si>
  <si>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</si>
  <si>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</si>
  <si>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</si>
  <si>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</si>
  <si>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</si>
  <si>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</si>
  <si>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</si>
  <si>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</si>
  <si>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</si>
  <si>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</si>
  <si>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</si>
  <si>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</si>
  <si>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</si>
  <si>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</si>
  <si>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</si>
  <si>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</si>
  <si>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</si>
  <si>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</si>
  <si>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</si>
  <si>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</si>
  <si>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</si>
  <si>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</si>
  <si>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</si>
  <si>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</si>
  <si>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</si>
  <si>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</si>
  <si>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</si>
  <si>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</si>
  <si>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</si>
  <si>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</si>
  <si>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</si>
  <si>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</si>
  <si>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</si>
  <si>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</si>
  <si>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</si>
  <si>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</si>
  <si>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</si>
  <si>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</si>
  <si>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</si>
  <si>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</si>
  <si>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</si>
  <si>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</si>
  <si>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</si>
  <si>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</si>
  <si>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</si>
  <si>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</si>
  <si>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</si>
  <si>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</si>
  <si>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</si>
  <si>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</si>
  <si>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</si>
  <si>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</si>
  <si>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</si>
  <si>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</si>
  <si>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</si>
  <si>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</si>
  <si>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</si>
  <si>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</si>
  <si>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</si>
  <si>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</si>
  <si>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</si>
  <si>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</si>
  <si>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</si>
  <si>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</si>
  <si>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</si>
  <si>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</si>
  <si>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</si>
  <si>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</si>
  <si>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</si>
  <si>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</si>
  <si>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</si>
  <si>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</si>
  <si>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</si>
  <si>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</si>
  <si>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</si>
  <si>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</si>
  <si>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</si>
  <si>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</si>
  <si>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</si>
  <si>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</si>
  <si>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</si>
  <si>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</si>
  <si>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</si>
  <si>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</si>
  <si>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</si>
  <si>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</si>
  <si>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</si>
  <si>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</si>
  <si>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</si>
  <si>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</si>
  <si>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</si>
  <si>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</si>
  <si>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</si>
  <si>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</si>
  <si>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</si>
  <si>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</si>
  <si>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</si>
  <si>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</si>
  <si>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</si>
  <si>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</si>
  <si>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</si>
  <si>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</si>
  <si>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</si>
  <si>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</si>
  <si>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</si>
  <si>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</si>
  <si>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</si>
  <si>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</si>
  <si>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</si>
  <si>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</si>
  <si>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</si>
  <si>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</si>
  <si>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</si>
  <si>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</si>
  <si>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</si>
  <si>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</si>
  <si>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</si>
  <si>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</si>
  <si>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</si>
  <si>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</si>
  <si>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</si>
  <si>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</si>
  <si>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</si>
  <si>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</si>
  <si>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</si>
  <si>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</si>
  <si>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</si>
  <si>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</si>
  <si>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</si>
  <si>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</si>
  <si>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</si>
  <si>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</si>
  <si>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</si>
  <si>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</si>
  <si>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</si>
  <si>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</si>
  <si>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</si>
  <si>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</si>
  <si>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</si>
  <si>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</si>
  <si>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</si>
  <si>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</si>
  <si>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</si>
  <si>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</si>
  <si>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</si>
  <si>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</si>
  <si>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</si>
  <si>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</si>
  <si>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</si>
  <si>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</si>
  <si>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</si>
  <si>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</si>
  <si>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</si>
  <si>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</si>
  <si>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</si>
  <si>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</si>
  <si>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</si>
  <si>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</si>
  <si>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</si>
  <si>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</si>
  <si>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</si>
  <si>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</si>
  <si>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</si>
  <si>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</si>
  <si>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</si>
  <si>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</si>
  <si>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</si>
  <si>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</si>
  <si>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</si>
  <si>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</si>
  <si>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</si>
  <si>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</si>
  <si>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</si>
  <si>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</si>
  <si>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</si>
  <si>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</si>
  <si>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</si>
  <si>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</si>
  <si>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</si>
  <si>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</si>
  <si>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</si>
  <si>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</si>
  <si>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</si>
  <si>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</si>
  <si>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</si>
  <si>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</si>
  <si>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</si>
  <si>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</si>
  <si>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</si>
  <si>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</si>
  <si>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</si>
  <si>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</si>
  <si>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</si>
  <si>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</si>
  <si>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</si>
  <si>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</si>
  <si>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</si>
  <si>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</si>
  <si>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</si>
  <si>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</si>
  <si>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</si>
  <si>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</si>
  <si>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</si>
  <si>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</si>
  <si>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</si>
  <si>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</si>
  <si>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</si>
  <si>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</si>
  <si>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</si>
  <si>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</si>
  <si>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</si>
  <si>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</si>
  <si>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</si>
  <si>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</si>
  <si>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</si>
  <si>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</si>
  <si>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</si>
  <si>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</si>
  <si>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</si>
  <si>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</si>
  <si>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</si>
  <si>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</si>
  <si>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</si>
  <si>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</si>
  <si>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</si>
  <si>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</si>
  <si>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</si>
  <si>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</si>
  <si>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</si>
  <si>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</si>
  <si>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</si>
  <si>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</si>
  <si>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</si>
  <si>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</si>
  <si>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</si>
  <si>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</si>
  <si>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</si>
  <si>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</si>
  <si>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</si>
  <si>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</si>
  <si>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</si>
  <si>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</si>
  <si>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</si>
  <si>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</si>
  <si>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</si>
  <si>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</si>
  <si>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</si>
  <si>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</si>
  <si>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</si>
  <si>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</si>
  <si>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</si>
  <si>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</si>
  <si>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</si>
  <si>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</si>
  <si>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</si>
  <si>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</si>
  <si>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</si>
  <si>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</si>
  <si>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</si>
  <si>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</si>
  <si>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</si>
  <si>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</si>
  <si>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</si>
  <si>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</si>
  <si>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</si>
  <si>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</si>
  <si>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</si>
  <si>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</si>
  <si>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</si>
  <si>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</si>
  <si>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</si>
  <si>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</si>
  <si>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</si>
  <si>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</si>
  <si>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</si>
  <si>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</si>
  <si>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</si>
  <si>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</si>
  <si>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</si>
  <si>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</si>
  <si>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</si>
  <si>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</si>
  <si>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</si>
  <si>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</si>
  <si>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</si>
  <si>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</si>
  <si>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</si>
  <si>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</si>
  <si>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</si>
  <si>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</si>
  <si>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</si>
  <si>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</si>
  <si>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</si>
  <si>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</si>
  <si>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</si>
  <si>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</si>
  <si>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</si>
  <si>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</si>
  <si>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</si>
  <si>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</si>
  <si>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</si>
  <si>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</si>
  <si>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</si>
  <si>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</si>
  <si>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</si>
  <si>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</si>
  <si>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</si>
  <si>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</si>
  <si>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</si>
  <si>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</si>
  <si>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</si>
  <si>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</si>
  <si>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</si>
  <si>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</si>
  <si>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</si>
  <si>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</si>
  <si>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</si>
  <si>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</si>
  <si>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</si>
  <si>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</si>
  <si>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</si>
  <si>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</si>
  <si>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</si>
  <si>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</si>
  <si>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</si>
  <si>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</si>
  <si>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</si>
  <si>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</si>
  <si>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</si>
  <si>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</si>
  <si>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</si>
  <si>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</si>
  <si>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</si>
  <si>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</si>
  <si>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</si>
  <si>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</si>
  <si>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</si>
  <si>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</si>
  <si>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</si>
  <si>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</si>
  <si>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</si>
  <si>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</si>
  <si>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</si>
  <si>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</si>
  <si>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</si>
  <si>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</si>
  <si>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</si>
  <si>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</si>
  <si>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</si>
  <si>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</si>
  <si>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</si>
  <si>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</si>
  <si>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</si>
  <si>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</si>
  <si>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</si>
  <si>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</si>
  <si>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</si>
  <si>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</si>
  <si>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</si>
  <si>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</si>
  <si>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</si>
  <si>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</si>
  <si>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</si>
  <si>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</si>
  <si>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</si>
  <si>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</si>
  <si>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</si>
  <si>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</si>
  <si>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</si>
  <si>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</si>
  <si>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</si>
  <si>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</si>
  <si>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</si>
  <si>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</si>
  <si>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</si>
  <si>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</si>
  <si>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</si>
  <si>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</si>
  <si>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</si>
  <si>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</si>
  <si>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</si>
  <si>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</si>
  <si>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</si>
  <si>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</si>
  <si>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</si>
  <si>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</si>
  <si>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</si>
  <si>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</si>
  <si>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</si>
  <si>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</si>
  <si>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</si>
  <si>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</si>
  <si>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</si>
  <si>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</si>
  <si>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</si>
  <si>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</si>
  <si>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</si>
  <si>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</si>
  <si>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</si>
  <si>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</si>
  <si>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</si>
  <si>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</si>
  <si>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</si>
  <si>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</si>
  <si>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</si>
  <si>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</si>
  <si>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</si>
  <si>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</si>
  <si>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</si>
  <si>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</si>
  <si>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</si>
  <si>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</si>
  <si>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</si>
  <si>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</si>
  <si>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</si>
  <si>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</si>
  <si>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</si>
  <si>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</si>
  <si>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</si>
  <si>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</si>
  <si>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</si>
  <si>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</si>
  <si>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</si>
  <si>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</si>
  <si>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</si>
  <si>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</si>
  <si>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</si>
  <si>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</si>
  <si>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</si>
  <si>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</si>
  <si>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</si>
  <si>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</si>
  <si>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</si>
  <si>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</si>
  <si>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</si>
  <si>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</si>
  <si>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</si>
  <si>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</si>
  <si>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</si>
  <si>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</si>
  <si>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</si>
  <si>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</si>
  <si>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</si>
  <si>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</si>
  <si>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</si>
  <si>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</si>
  <si>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</si>
  <si>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</si>
  <si>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</si>
  <si>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</si>
  <si>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</si>
  <si>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</si>
  <si>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</si>
  <si>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</si>
  <si>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</si>
  <si>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</si>
  <si>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</si>
  <si>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</si>
  <si>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</si>
  <si>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</si>
  <si>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</si>
  <si>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</si>
  <si>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</si>
  <si>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</si>
  <si>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</si>
  <si>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</si>
  <si>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</si>
  <si>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</si>
  <si>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</si>
  <si>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</si>
  <si>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</si>
  <si>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</si>
  <si>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</si>
  <si>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</si>
  <si>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</si>
  <si>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</si>
  <si>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</si>
  <si>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</si>
  <si>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</si>
  <si>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</si>
  <si>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</si>
  <si>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</si>
  <si>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</si>
  <si>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</si>
  <si>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</si>
  <si>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</si>
  <si>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</si>
  <si>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</si>
  <si>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</si>
  <si>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</si>
  <si>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</si>
  <si>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</si>
  <si>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</si>
  <si>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</si>
  <si>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</si>
  <si>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</si>
  <si>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</si>
  <si>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</si>
  <si>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</si>
  <si>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</si>
  <si>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</si>
  <si>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</si>
  <si>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</si>
  <si>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</si>
  <si>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</si>
  <si>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</si>
  <si>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</si>
  <si>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</si>
  <si>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</si>
  <si>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</si>
  <si>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</si>
  <si>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</si>
  <si>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</si>
  <si>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</si>
  <si>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</si>
  <si>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</si>
  <si>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</si>
  <si>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</si>
  <si>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</si>
  <si>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</si>
  <si>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</si>
  <si>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</si>
  <si>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</si>
  <si>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</si>
  <si>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</si>
  <si>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</si>
  <si>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</si>
  <si>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</si>
  <si>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</si>
  <si>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</si>
  <si>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</si>
  <si>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</si>
  <si>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</si>
  <si>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</si>
  <si>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</si>
  <si>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</si>
  <si>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</si>
  <si>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</si>
  <si>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</si>
  <si>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</si>
  <si>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</si>
  <si>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</si>
  <si>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</si>
  <si>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</si>
  <si>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</si>
  <si>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</si>
  <si>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</si>
  <si>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</si>
  <si>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</si>
  <si>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</si>
  <si>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</si>
  <si>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</si>
  <si>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</si>
  <si>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</si>
  <si>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</si>
  <si>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</si>
  <si>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</si>
  <si>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</si>
  <si>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</si>
  <si>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</si>
  <si>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</si>
  <si>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</si>
  <si>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</si>
  <si>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</si>
  <si>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</si>
  <si>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</si>
  <si>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</si>
  <si>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</si>
  <si>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</si>
  <si>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</si>
  <si>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</si>
  <si>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</si>
  <si>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</si>
  <si>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</si>
  <si>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</si>
  <si>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</si>
  <si>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</si>
  <si>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</si>
  <si>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</si>
  <si>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</si>
  <si>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</si>
  <si>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</si>
  <si>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</si>
  <si>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</si>
  <si>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</si>
  <si>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</si>
  <si>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</si>
  <si>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</si>
  <si>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</si>
  <si>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</si>
  <si>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</si>
  <si>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</si>
  <si>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</si>
  <si>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</si>
  <si>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</si>
  <si>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</si>
  <si>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</si>
  <si>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</si>
  <si>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</si>
  <si>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</si>
  <si>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</si>
  <si>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</si>
  <si>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</si>
  <si>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</si>
  <si>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</si>
  <si>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</si>
  <si>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</si>
  <si>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</si>
  <si>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</si>
  <si>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</si>
  <si>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</si>
  <si>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</si>
  <si>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</si>
  <si>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</si>
  <si>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</si>
  <si>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</si>
  <si>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</si>
  <si>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</si>
  <si>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</si>
  <si>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</si>
  <si>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</si>
  <si>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</si>
  <si>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</si>
  <si>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</si>
  <si>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</si>
  <si>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</si>
  <si>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</si>
  <si>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</si>
  <si>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</si>
  <si>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</si>
  <si>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</si>
  <si>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</si>
  <si>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</si>
  <si>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</si>
  <si>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</si>
  <si>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</si>
  <si>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</si>
  <si>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</si>
  <si>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</si>
  <si>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</si>
  <si>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</si>
  <si>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</si>
  <si>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</si>
  <si>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</si>
  <si>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</si>
  <si>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</si>
  <si>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</si>
  <si>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</si>
  <si>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</si>
  <si>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</si>
  <si>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</si>
  <si>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</si>
  <si>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</si>
  <si>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</si>
  <si>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</si>
  <si>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</si>
  <si>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</si>
  <si>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</si>
  <si>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</si>
  <si>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</si>
  <si>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</si>
  <si>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</si>
  <si>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</si>
  <si>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</si>
  <si>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</si>
  <si>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</si>
  <si>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</si>
  <si>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</si>
  <si>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</si>
  <si>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</si>
  <si>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</si>
  <si>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</si>
  <si>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</si>
  <si>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</si>
  <si>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</si>
  <si>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</si>
  <si>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</si>
  <si>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</si>
  <si>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</si>
  <si>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</si>
  <si>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</si>
  <si>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</si>
  <si>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</si>
  <si>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</si>
  <si>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</si>
  <si>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</si>
  <si>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</si>
  <si>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</si>
  <si>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</si>
  <si>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</si>
  <si>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</si>
  <si>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</si>
  <si>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</si>
  <si>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</si>
  <si>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</si>
  <si>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</si>
  <si>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</si>
  <si>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</si>
  <si>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</si>
  <si>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</si>
  <si>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</si>
  <si>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</si>
  <si>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</si>
  <si>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</si>
  <si>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</si>
  <si>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</si>
  <si>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</si>
  <si>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</si>
  <si>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</si>
  <si>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</si>
  <si>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</si>
  <si>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</si>
  <si>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</si>
  <si>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</si>
  <si>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</si>
  <si>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</si>
  <si>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</si>
  <si>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</si>
  <si>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</si>
  <si>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</si>
  <si>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</si>
  <si>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</si>
  <si>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</si>
  <si>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</si>
  <si>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</si>
  <si>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</si>
  <si>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</si>
  <si>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</si>
  <si>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</si>
  <si>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</si>
  <si>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</si>
  <si>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</si>
  <si>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</si>
  <si>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</si>
  <si>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</si>
  <si>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</si>
  <si>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</si>
  <si>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</si>
  <si>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</si>
  <si>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</si>
  <si>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</si>
  <si>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</si>
  <si>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</si>
  <si>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</si>
  <si>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</si>
  <si>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</si>
  <si>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</si>
  <si>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</si>
  <si>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</si>
  <si>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</si>
  <si>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</si>
  <si>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</si>
  <si>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</si>
  <si>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</si>
  <si>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</si>
  <si>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</si>
  <si>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</si>
  <si>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</si>
  <si>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</si>
  <si>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</si>
  <si>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</si>
  <si>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</si>
  <si>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</si>
  <si>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</si>
  <si>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</si>
  <si>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</si>
  <si>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</si>
  <si>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</si>
  <si>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</si>
  <si>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</si>
  <si>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</si>
  <si>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</si>
  <si>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</si>
  <si>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</si>
  <si>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</si>
  <si>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</si>
  <si>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</si>
  <si>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</si>
  <si>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</si>
  <si>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</si>
  <si>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</si>
  <si>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</si>
  <si>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</si>
  <si>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</si>
  <si>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</si>
  <si>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</si>
  <si>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</si>
  <si>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</si>
  <si>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</si>
  <si>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</si>
  <si>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</si>
  <si>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</si>
  <si>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</si>
  <si>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</si>
  <si>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</si>
  <si>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</si>
  <si>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</si>
  <si>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</si>
  <si>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</si>
  <si>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</si>
  <si>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</si>
  <si>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</si>
  <si>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</si>
  <si>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</si>
  <si>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</si>
  <si>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</si>
  <si>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</si>
  <si>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</si>
  <si>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</si>
  <si>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</si>
  <si>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</si>
  <si>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</si>
  <si>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</si>
  <si>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</si>
  <si>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</si>
  <si>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</si>
  <si>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</si>
  <si>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</si>
  <si>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</si>
  <si>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</si>
  <si>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</si>
  <si>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</si>
  <si>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</si>
  <si>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</si>
  <si>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</si>
  <si>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</si>
  <si>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</si>
  <si>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</si>
  <si>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</si>
  <si>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</si>
  <si>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</si>
  <si>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</si>
  <si>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</si>
  <si>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</si>
  <si>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</si>
  <si>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</si>
  <si>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</si>
  <si>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</si>
  <si>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</si>
  <si>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</si>
  <si>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</si>
  <si>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</si>
  <si>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</si>
  <si>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</si>
  <si>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</si>
  <si>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</si>
  <si>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</si>
  <si>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</si>
  <si>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</si>
  <si>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</si>
  <si>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</si>
  <si>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</si>
  <si>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</si>
  <si>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</si>
  <si>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</si>
  <si>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</si>
  <si>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</si>
  <si>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</si>
  <si>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</si>
  <si>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</si>
  <si>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</si>
  <si>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</si>
  <si>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</si>
  <si>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</si>
  <si>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</si>
  <si>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</si>
  <si>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</si>
  <si>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</si>
  <si>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</si>
  <si>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</si>
  <si>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</si>
  <si>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</si>
  <si>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</si>
  <si>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</si>
  <si>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</si>
  <si>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</si>
  <si>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</si>
  <si>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</si>
  <si>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</si>
  <si>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</si>
  <si>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</si>
  <si>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</si>
  <si>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</si>
  <si>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</si>
  <si>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</si>
  <si>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</si>
  <si>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</si>
  <si>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</si>
  <si>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</si>
  <si>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</si>
  <si>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</si>
  <si>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</si>
  <si>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</si>
  <si>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</si>
  <si>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</si>
  <si>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</si>
  <si>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</si>
  <si>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</si>
  <si>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</si>
  <si>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</si>
  <si>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</si>
  <si>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</si>
  <si>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</si>
  <si>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</si>
  <si>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</si>
  <si>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</si>
  <si>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</si>
  <si>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</si>
  <si>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</si>
  <si>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</si>
  <si>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</si>
  <si>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</si>
  <si>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</si>
  <si>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</si>
  <si>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</si>
  <si>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</si>
  <si>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</si>
  <si>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</si>
  <si>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</si>
  <si>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</si>
  <si>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</si>
  <si>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</si>
  <si>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</si>
  <si>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</si>
  <si>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</si>
  <si>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</si>
  <si>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</si>
  <si>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</si>
  <si>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</si>
  <si>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</si>
  <si>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</si>
  <si>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</si>
  <si>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</si>
  <si>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</si>
  <si>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</si>
  <si>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</si>
  <si>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</si>
  <si>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</si>
  <si>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</si>
  <si>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</si>
  <si>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</si>
  <si>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</si>
  <si>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</si>
  <si>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</si>
  <si>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</si>
  <si>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</si>
  <si>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</si>
  <si>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</si>
  <si>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</si>
  <si>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</si>
  <si>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</si>
  <si>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</si>
  <si>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</si>
  <si>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</si>
  <si>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</si>
  <si>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</si>
  <si>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</si>
  <si>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</si>
  <si>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</si>
  <si>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</si>
  <si>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</si>
  <si>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</si>
  <si>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</si>
  <si>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</si>
  <si>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</si>
  <si>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</si>
  <si>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</si>
  <si>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</si>
  <si>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</si>
  <si>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</si>
  <si>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</si>
  <si>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</si>
  <si>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</si>
  <si>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</si>
  <si>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</si>
  <si>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</si>
  <si>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</si>
  <si>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</si>
  <si>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</si>
  <si>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</si>
  <si>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</si>
  <si>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</si>
  <si>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</si>
  <si>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</si>
  <si>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</si>
  <si>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</si>
  <si>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</si>
  <si>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</si>
  <si>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</si>
  <si>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</si>
  <si>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</si>
  <si>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</si>
  <si>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</si>
  <si>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</si>
  <si>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</si>
  <si>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</si>
  <si>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</si>
  <si>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</si>
  <si>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</si>
  <si>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</si>
  <si>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</si>
  <si>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</si>
  <si>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</si>
  <si>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</si>
  <si>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</si>
  <si>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</si>
  <si>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</si>
  <si>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</si>
  <si>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</si>
  <si>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</si>
  <si>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</si>
  <si>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</si>
  <si>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</si>
  <si>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</si>
  <si>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</si>
  <si>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</si>
  <si>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</si>
  <si>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</si>
  <si>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</si>
  <si>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</si>
  <si>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</si>
  <si>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</si>
  <si>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</si>
  <si>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</si>
  <si>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</si>
  <si>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</si>
  <si>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</si>
  <si>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</si>
  <si>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</si>
  <si>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</si>
  <si>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</si>
  <si>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</si>
  <si>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</si>
  <si>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</si>
  <si>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</si>
  <si>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</si>
  <si>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</si>
  <si>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</si>
  <si>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</si>
  <si>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</si>
  <si>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</si>
  <si>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</si>
  <si>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</si>
  <si>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</si>
  <si>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</si>
  <si>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</si>
  <si>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</si>
  <si>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</si>
  <si>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</si>
  <si>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</si>
  <si>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</si>
  <si>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</si>
  <si>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</si>
  <si>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</si>
  <si>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</si>
  <si>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</si>
  <si>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</si>
  <si>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</si>
  <si>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</si>
  <si>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</si>
  <si>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</si>
  <si>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</si>
  <si>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</si>
  <si>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</si>
  <si>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</si>
  <si>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</si>
  <si>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</si>
  <si>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</si>
  <si>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</si>
  <si>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</si>
  <si>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</si>
  <si>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</si>
  <si>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</si>
  <si>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</si>
  <si>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</si>
  <si>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</si>
  <si>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</si>
  <si>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</si>
  <si>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</si>
  <si>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</si>
  <si>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</si>
  <si>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</si>
  <si>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</si>
  <si>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</si>
  <si>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</si>
  <si>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</si>
  <si>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</si>
  <si>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</si>
  <si>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</si>
  <si>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</si>
  <si>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</si>
  <si>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</si>
  <si>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</si>
  <si>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</si>
  <si>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</si>
  <si>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</si>
  <si>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</si>
  <si>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</si>
  <si>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</si>
  <si>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</si>
  <si>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</si>
  <si>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</si>
  <si>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</si>
  <si>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</si>
  <si>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</si>
  <si>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</si>
  <si>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</si>
  <si>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</si>
  <si>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</si>
  <si>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</si>
  <si>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</si>
  <si>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</si>
  <si>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</si>
  <si>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</si>
  <si>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</si>
  <si>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</si>
  <si>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</si>
  <si>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</si>
  <si>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</si>
  <si>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</si>
  <si>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</si>
  <si>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</si>
  <si>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</si>
  <si>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</si>
  <si>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</si>
  <si>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</si>
  <si>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</si>
  <si>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</si>
  <si>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</si>
  <si>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</si>
  <si>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</si>
  <si>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</si>
  <si>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</si>
  <si>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</si>
  <si>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</si>
  <si>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</si>
  <si>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</si>
  <si>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</si>
  <si>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</si>
  <si>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</si>
  <si>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</si>
  <si>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</si>
  <si>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</si>
  <si>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</si>
  <si>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</si>
  <si>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</si>
  <si>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</si>
  <si>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</si>
  <si>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</si>
  <si>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</si>
  <si>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</si>
  <si>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</si>
  <si>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</si>
  <si>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</si>
  <si>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</si>
  <si>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</si>
  <si>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</si>
  <si>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</si>
  <si>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</si>
  <si>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</si>
  <si>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</si>
  <si>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</si>
  <si>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</si>
  <si>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</si>
  <si>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</si>
  <si>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</si>
  <si>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</si>
  <si>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</si>
  <si>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</si>
  <si>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</si>
  <si>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</si>
  <si>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</si>
  <si>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</si>
  <si>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</si>
  <si>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</si>
  <si>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</si>
  <si>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</si>
  <si>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</si>
  <si>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</si>
  <si>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</si>
  <si>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</si>
  <si>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</si>
  <si>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</si>
  <si>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</si>
  <si>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</si>
  <si>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</si>
  <si>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</si>
  <si>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</si>
  <si>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</si>
  <si>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</si>
  <si>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</si>
  <si>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</si>
  <si>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</si>
  <si>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</si>
  <si>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</si>
  <si>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</si>
  <si>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</si>
  <si>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</si>
  <si>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</si>
  <si>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</si>
  <si>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</si>
  <si>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</si>
  <si>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</si>
  <si>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</si>
  <si>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</si>
  <si>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</si>
  <si>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</si>
  <si>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</si>
  <si>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</si>
  <si>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</si>
  <si>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</si>
  <si>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</si>
  <si>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</si>
  <si>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</si>
  <si>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</si>
  <si>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</si>
  <si>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</si>
  <si>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</si>
  <si>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</si>
  <si>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</si>
  <si>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</si>
  <si>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</si>
  <si>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</si>
  <si>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</si>
  <si>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</si>
  <si>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</si>
  <si>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</si>
  <si>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</si>
  <si>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</si>
  <si>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</si>
  <si>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</si>
  <si>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</si>
  <si>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</si>
  <si>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</si>
  <si>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</si>
  <si>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</si>
  <si>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</si>
  <si>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</si>
  <si>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</si>
  <si>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</si>
  <si>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</si>
  <si>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</si>
  <si>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</si>
  <si>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</si>
  <si>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</si>
  <si>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</si>
  <si>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</si>
  <si>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</si>
  <si>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</si>
  <si>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</si>
  <si>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</si>
  <si>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</si>
  <si>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</si>
  <si>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</si>
  <si>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</si>
  <si>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</si>
  <si>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</si>
  <si>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</si>
  <si>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</si>
  <si>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</si>
  <si>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</si>
  <si>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</si>
  <si>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</si>
  <si>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</si>
  <si>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</si>
  <si>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</si>
  <si>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</si>
  <si>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</si>
  <si>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</si>
  <si>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</si>
  <si>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</si>
  <si>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</si>
  <si>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</si>
  <si>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</si>
  <si>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</si>
  <si>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</si>
  <si>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</si>
  <si>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</si>
  <si>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</si>
  <si>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</si>
  <si>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</si>
  <si>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</si>
  <si>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</si>
  <si>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</si>
  <si>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</si>
  <si>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</si>
  <si>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</si>
  <si>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</si>
  <si>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</si>
  <si>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</si>
  <si>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</si>
  <si>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</si>
  <si>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</si>
  <si>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</si>
  <si>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</si>
  <si>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</si>
  <si>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</si>
  <si>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</si>
  <si>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</si>
  <si>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</si>
  <si>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</si>
  <si>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</si>
  <si>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</si>
  <si>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</si>
  <si>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</si>
  <si>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</si>
  <si>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</si>
  <si>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</si>
  <si>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</si>
  <si>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</si>
  <si>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</si>
  <si>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</si>
  <si>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</si>
  <si>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</si>
  <si>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</si>
  <si>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</si>
  <si>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</si>
  <si>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</si>
  <si>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</si>
  <si>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</si>
  <si>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</si>
  <si>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</si>
  <si>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</si>
  <si>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</si>
  <si>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</si>
  <si>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</si>
  <si>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</si>
  <si>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</si>
  <si>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</si>
  <si>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</si>
  <si>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</si>
  <si>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</si>
  <si>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</si>
  <si>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</si>
  <si>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</si>
  <si>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</si>
  <si>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</si>
  <si>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</si>
  <si>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</si>
  <si>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</si>
  <si>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</si>
  <si>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</si>
  <si>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</si>
  <si>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</si>
  <si>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</si>
  <si>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</si>
  <si>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</si>
  <si>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</si>
  <si>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</si>
  <si>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</si>
  <si>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</si>
  <si>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</si>
  <si>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</si>
  <si>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</si>
  <si>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</si>
  <si>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</si>
  <si>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</si>
  <si>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</si>
  <si>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</si>
  <si>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</si>
  <si>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</si>
  <si>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</si>
  <si>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</si>
  <si>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</si>
  <si>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</si>
  <si>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</si>
  <si>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</si>
  <si>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</si>
  <si>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</si>
  <si>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</si>
  <si>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</si>
  <si>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</si>
  <si>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</si>
  <si>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</si>
  <si>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</si>
  <si>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</si>
  <si>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</si>
  <si>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</si>
  <si>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</si>
  <si>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</si>
  <si>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</si>
  <si>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</si>
  <si>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</si>
  <si>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</si>
  <si>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</si>
  <si>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</si>
  <si>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</si>
  <si>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</si>
  <si>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</si>
  <si>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</si>
  <si>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</si>
  <si>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</si>
  <si>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</si>
  <si>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</si>
  <si>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</si>
  <si>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</si>
  <si>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</si>
  <si>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</si>
  <si>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</si>
  <si>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</si>
  <si>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</si>
  <si>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</si>
  <si>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</si>
  <si>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</si>
  <si>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</si>
  <si>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</si>
  <si>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</si>
  <si>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</si>
  <si>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</si>
  <si>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</si>
  <si>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</si>
  <si>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</si>
  <si>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16,77</t>
  </si>
  <si>
    <t>22,00</t>
  </si>
  <si>
    <t>KFUSb72</t>
  </si>
  <si>
    <t>KZ2C00011989</t>
  </si>
  <si>
    <t>MFRFb21</t>
  </si>
  <si>
    <t>KZ2P00014723</t>
  </si>
  <si>
    <t>16,25</t>
  </si>
  <si>
    <t>16,64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</si>
  <si>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</si>
  <si>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</si>
  <si>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</si>
  <si>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</si>
  <si>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</si>
  <si>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</si>
  <si>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</si>
  <si>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6,15</t>
  </si>
  <si>
    <t>Казахстанский фонд устойчивости</t>
  </si>
  <si>
    <t>16,72</t>
  </si>
  <si>
    <t>16,73</t>
  </si>
  <si>
    <t>11,80</t>
  </si>
  <si>
    <t>16,75</t>
  </si>
  <si>
    <t>16,76</t>
  </si>
  <si>
    <t>16,74</t>
  </si>
  <si>
    <t>KZW100014320</t>
  </si>
  <si>
    <t>MFCFb2</t>
  </si>
  <si>
    <t>KZ2P00014640</t>
  </si>
  <si>
    <t>NTK028_2866</t>
  </si>
  <si>
    <t>KGK024_241</t>
  </si>
  <si>
    <t>KZMJ00002418</t>
  </si>
  <si>
    <t>7,99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</si>
  <si>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</si>
  <si>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</si>
  <si>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</si>
  <si>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</si>
  <si>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</si>
  <si>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</si>
  <si>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</si>
  <si>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</si>
  <si>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</si>
  <si>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</si>
  <si>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</si>
  <si>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</si>
  <si>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</si>
  <si>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22,04</t>
  </si>
  <si>
    <t>63 (0)</t>
  </si>
  <si>
    <t>16,05</t>
  </si>
  <si>
    <t>11,63</t>
  </si>
  <si>
    <t>16,71</t>
  </si>
  <si>
    <t>16,65</t>
  </si>
  <si>
    <t>16,78</t>
  </si>
  <si>
    <t>16,66</t>
  </si>
  <si>
    <t>16,69</t>
  </si>
  <si>
    <t>18,75</t>
  </si>
  <si>
    <t>48MFLGb8</t>
  </si>
  <si>
    <t>Ломбард "GoldFinMarket"</t>
  </si>
  <si>
    <t>21,02</t>
  </si>
  <si>
    <t>49MFMCb2</t>
  </si>
  <si>
    <t>50MFMOb10</t>
  </si>
  <si>
    <t>51MFMOb17</t>
  </si>
  <si>
    <t>52MFMOb25</t>
  </si>
  <si>
    <t>53MFMOb26</t>
  </si>
  <si>
    <t>54MFMOb28</t>
  </si>
  <si>
    <t>55MFOKb16</t>
  </si>
  <si>
    <t>56MFOKb18</t>
  </si>
  <si>
    <t>57MFOKb19</t>
  </si>
  <si>
    <t>10,05</t>
  </si>
  <si>
    <t>58MFOKb20</t>
  </si>
  <si>
    <t>59MFOKb21</t>
  </si>
  <si>
    <t>60MFOKb22</t>
  </si>
  <si>
    <t>22,23</t>
  </si>
  <si>
    <t>61MFOKb24</t>
  </si>
  <si>
    <t>62MFOKb25</t>
  </si>
  <si>
    <t>63MFOKb26</t>
  </si>
  <si>
    <t>64MFRFb12</t>
  </si>
  <si>
    <t>71MFTSb1</t>
  </si>
  <si>
    <t>МФО "TAS FINANCE GROUP" (ТАС ФИНАНС ГРУПП)</t>
  </si>
  <si>
    <t>21,49</t>
  </si>
  <si>
    <t>72MFTSb2</t>
  </si>
  <si>
    <t>21,59</t>
  </si>
  <si>
    <t>73MFTSb3</t>
  </si>
  <si>
    <t>21,67</t>
  </si>
  <si>
    <t>74MKM012_0159</t>
  </si>
  <si>
    <t>75MKM012_0160</t>
  </si>
  <si>
    <t>15,67</t>
  </si>
  <si>
    <t>76MKM012_0161</t>
  </si>
  <si>
    <t>16,14</t>
  </si>
  <si>
    <t>77MOM048_0052</t>
  </si>
  <si>
    <t>15,80</t>
  </si>
  <si>
    <t>78MOM048_0053</t>
  </si>
  <si>
    <t>15,89</t>
  </si>
  <si>
    <t>299 (1)</t>
  </si>
  <si>
    <t>79MOM048_0054</t>
  </si>
  <si>
    <t>15,97</t>
  </si>
  <si>
    <t>80MOM048_0056</t>
  </si>
  <si>
    <t>81MOM060_0052</t>
  </si>
  <si>
    <t>15,94</t>
  </si>
  <si>
    <t>82MOM060_0054</t>
  </si>
  <si>
    <t>83MTC048_0001</t>
  </si>
  <si>
    <t>84MTM048_0001</t>
  </si>
  <si>
    <t>17,03</t>
  </si>
  <si>
    <t>85MTM060_0001</t>
  </si>
  <si>
    <t>17,18</t>
  </si>
  <si>
    <t>86MTM072_0001</t>
  </si>
  <si>
    <t>17,38</t>
  </si>
  <si>
    <t>87MTM084_0001</t>
  </si>
  <si>
    <t>17,48</t>
  </si>
  <si>
    <t>88MTM096_0001</t>
  </si>
  <si>
    <t>17,60</t>
  </si>
  <si>
    <t>89MUJ144_0005</t>
  </si>
  <si>
    <t>11,29</t>
  </si>
  <si>
    <t>90MUJ156_0004</t>
  </si>
  <si>
    <t>91MUJ168_0004</t>
  </si>
  <si>
    <t>92MUJ168_0005</t>
  </si>
  <si>
    <t>93MUJ180_0007</t>
  </si>
  <si>
    <t>11,24</t>
  </si>
  <si>
    <t>94MUJ180_0008</t>
  </si>
  <si>
    <t>95MUJ192_0002</t>
  </si>
  <si>
    <t>96MUJ192_0003</t>
  </si>
  <si>
    <t>97MUJ192_0004</t>
  </si>
  <si>
    <t>98MUJ204_0001</t>
  </si>
  <si>
    <t>99MUJ204_0002</t>
  </si>
  <si>
    <t>100MUJ204_0003</t>
  </si>
  <si>
    <t>101MUJ204_0004</t>
  </si>
  <si>
    <t>102MUJ204_0005</t>
  </si>
  <si>
    <t>103MUJ204_0006</t>
  </si>
  <si>
    <t>1 383 (4)</t>
  </si>
  <si>
    <t>104MUJ216_0001</t>
  </si>
  <si>
    <t>105MUJ216_0002</t>
  </si>
  <si>
    <t>106MUJ216_0003</t>
  </si>
  <si>
    <t>107MUJ216_0004</t>
  </si>
  <si>
    <t>108MUJ216_0005</t>
  </si>
  <si>
    <t>109MUJ228_0001</t>
  </si>
  <si>
    <t>110MUJ228_0002</t>
  </si>
  <si>
    <t>111MUJ228_0003</t>
  </si>
  <si>
    <t>112MUJ228_0004</t>
  </si>
  <si>
    <t>113MUJ228_0005</t>
  </si>
  <si>
    <t>114MUJ228_0006</t>
  </si>
  <si>
    <t>115MUJ240_0001</t>
  </si>
  <si>
    <t>116MUM072_0013</t>
  </si>
  <si>
    <t>117MUM072_0014</t>
  </si>
  <si>
    <t>118MUM072_0015</t>
  </si>
  <si>
    <t>119MUM084_0018</t>
  </si>
  <si>
    <t>120MUM084_0019</t>
  </si>
  <si>
    <t>121MUM084_0020</t>
  </si>
  <si>
    <t>122MUM096_0011</t>
  </si>
  <si>
    <t>123MUM096_0012</t>
  </si>
  <si>
    <t>124MUM096_0013</t>
  </si>
  <si>
    <t>125MUM096_0014</t>
  </si>
  <si>
    <t>126MUM096_0015</t>
  </si>
  <si>
    <t>127MUM108_0012</t>
  </si>
  <si>
    <t>16,53</t>
  </si>
  <si>
    <t>128MUM108_0013</t>
  </si>
  <si>
    <t>129MUM108_0014</t>
  </si>
  <si>
    <t>130MUM108_0015</t>
  </si>
  <si>
    <t>131MUM120_0017</t>
  </si>
  <si>
    <t>16,62</t>
  </si>
  <si>
    <t>132MUM120_0018</t>
  </si>
  <si>
    <t>133MUM120_0019</t>
  </si>
  <si>
    <t>134MUM120_0020</t>
  </si>
  <si>
    <t>135MUM132_0007</t>
  </si>
  <si>
    <t>136MUM144_0009</t>
  </si>
  <si>
    <t>137MUM156_0005</t>
  </si>
  <si>
    <t>16,67</t>
  </si>
  <si>
    <t>138MUM156_0006</t>
  </si>
  <si>
    <t>139MUM156_0007</t>
  </si>
  <si>
    <t>140MUM156_0008</t>
  </si>
  <si>
    <t>141MUM168_0001</t>
  </si>
  <si>
    <t>142MUM168_0002</t>
  </si>
  <si>
    <t>16,27</t>
  </si>
  <si>
    <t>143MUM168_0003</t>
  </si>
  <si>
    <t>144MUM168_0005</t>
  </si>
  <si>
    <t>145MUM180_0003</t>
  </si>
  <si>
    <t>146MUM180_0004</t>
  </si>
  <si>
    <t>16,58</t>
  </si>
  <si>
    <t>147MUM180_0005</t>
  </si>
  <si>
    <t>148MUM180_0006</t>
  </si>
  <si>
    <t>149MUM180_0007</t>
  </si>
  <si>
    <t>16,70</t>
  </si>
  <si>
    <t>150MUM180_0008</t>
  </si>
  <si>
    <t>151MUM180_0009</t>
  </si>
  <si>
    <t>152MUM180_0011</t>
  </si>
  <si>
    <t>153MUM180_0012</t>
  </si>
  <si>
    <t>154MUM180_0013</t>
  </si>
  <si>
    <t>155MUM180_0014</t>
  </si>
  <si>
    <t>156MUM180_0015</t>
  </si>
  <si>
    <t>157MUM180_0016</t>
  </si>
  <si>
    <t>158MUM192_0001</t>
  </si>
  <si>
    <t>159MUM192_0002</t>
  </si>
  <si>
    <t>160MUM192_0003</t>
  </si>
  <si>
    <t>161MUM216_0001</t>
  </si>
  <si>
    <t>162MUM216_0002</t>
  </si>
  <si>
    <t>163MUM240_0001</t>
  </si>
  <si>
    <t>164MUM240_0002</t>
  </si>
  <si>
    <t>165MUM240_0004</t>
  </si>
  <si>
    <t>166MUM300_0001</t>
  </si>
  <si>
    <t>167MUM300_0002</t>
  </si>
  <si>
    <t>168MUM300_0003</t>
  </si>
  <si>
    <t>169MUM360_0001</t>
  </si>
  <si>
    <t>170MUX072_0003</t>
  </si>
  <si>
    <t>171NCOMb3</t>
  </si>
  <si>
    <t>172NCOMb6</t>
  </si>
  <si>
    <t>173NTK028_2866</t>
  </si>
  <si>
    <t>14,66</t>
  </si>
  <si>
    <t>174PRKRe1</t>
  </si>
  <si>
    <t>213 (1)</t>
  </si>
  <si>
    <t>175SKKZe1</t>
  </si>
  <si>
    <t>MFECb3</t>
  </si>
  <si>
    <t>KZ2P00014210</t>
  </si>
  <si>
    <t>MFLGb19</t>
  </si>
  <si>
    <t>KZ2P00014277</t>
  </si>
  <si>
    <t>Расчетная цена на 26.08.25</t>
  </si>
  <si>
    <t>Расчетная грязная цена 26.08.25</t>
  </si>
  <si>
    <t>MFAFb10</t>
  </si>
  <si>
    <t>KZ2P00014996</t>
  </si>
  <si>
    <t>840 (2)</t>
  </si>
  <si>
    <t>633 (2)</t>
  </si>
  <si>
    <t>1 661 (5)</t>
  </si>
  <si>
    <t>5,97</t>
  </si>
  <si>
    <t>207 (1)</t>
  </si>
  <si>
    <t>972 (3)</t>
  </si>
  <si>
    <t>204 (1)</t>
  </si>
  <si>
    <t>913 (3)</t>
  </si>
  <si>
    <t>944 (3)</t>
  </si>
  <si>
    <t>18FFINgw</t>
  </si>
  <si>
    <t>19FHJIag</t>
  </si>
  <si>
    <t>20FHJIpc</t>
  </si>
  <si>
    <t>21HCBNb13</t>
  </si>
  <si>
    <t>901 (3)</t>
  </si>
  <si>
    <t>22HCBNb17</t>
  </si>
  <si>
    <t>1 758 (5)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</si>
  <si>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</si>
  <si>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</si>
  <si>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</si>
  <si>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</si>
  <si>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</si>
  <si>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</si>
  <si>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</si>
  <si>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</si>
  <si>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</si>
  <si>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32KFUSb44</t>
  </si>
  <si>
    <t>17,29</t>
  </si>
  <si>
    <t>98 (0)</t>
  </si>
  <si>
    <t>33KFUSb45</t>
  </si>
  <si>
    <t>17,33</t>
  </si>
  <si>
    <t>34 (0)</t>
  </si>
  <si>
    <t>34KMGZ</t>
  </si>
  <si>
    <t>35KMGZe12</t>
  </si>
  <si>
    <t>6,59</t>
  </si>
  <si>
    <t>7 793 (22)</t>
  </si>
  <si>
    <t>36KMGZe14</t>
  </si>
  <si>
    <t>4,93</t>
  </si>
  <si>
    <t>1 678 (5)</t>
  </si>
  <si>
    <t>37KMGZe15</t>
  </si>
  <si>
    <t>6,72</t>
  </si>
  <si>
    <t>8 338 (23)</t>
  </si>
  <si>
    <t>38KMGZe16</t>
  </si>
  <si>
    <t>5,35</t>
  </si>
  <si>
    <t>2 748 (8)</t>
  </si>
  <si>
    <t>39KSPI</t>
  </si>
  <si>
    <t>40KSPId</t>
  </si>
  <si>
    <t>41KZAP</t>
  </si>
  <si>
    <t>42KZTCb3</t>
  </si>
  <si>
    <t>921 (3)</t>
  </si>
  <si>
    <t>43KZTK</t>
  </si>
  <si>
    <t>44KZTKp</t>
  </si>
  <si>
    <t>45KZTO</t>
  </si>
  <si>
    <t>46KZ_23_3504</t>
  </si>
  <si>
    <t>5,05</t>
  </si>
  <si>
    <t>3 463 (10)</t>
  </si>
  <si>
    <t>47MFLGb19</t>
  </si>
  <si>
    <t>540 (2)</t>
  </si>
  <si>
    <t>438 (1)</t>
  </si>
  <si>
    <t>24,23</t>
  </si>
  <si>
    <t>436 (1)</t>
  </si>
  <si>
    <t>31,46</t>
  </si>
  <si>
    <t>175 (0)</t>
  </si>
  <si>
    <t>705 (2)</t>
  </si>
  <si>
    <t>13,10</t>
  </si>
  <si>
    <t>620 (2)</t>
  </si>
  <si>
    <t>654 (2)</t>
  </si>
  <si>
    <t>23,08</t>
  </si>
  <si>
    <t>78 (0)</t>
  </si>
  <si>
    <t>21,28</t>
  </si>
  <si>
    <t>240 (1)</t>
  </si>
  <si>
    <t>562 (2)</t>
  </si>
  <si>
    <t>22,53</t>
  </si>
  <si>
    <t>709 (2)</t>
  </si>
  <si>
    <t>20,36</t>
  </si>
  <si>
    <t>872 (2)</t>
  </si>
  <si>
    <t>415 (1)</t>
  </si>
  <si>
    <t>20,99</t>
  </si>
  <si>
    <t>916 (3)</t>
  </si>
  <si>
    <t>22,25</t>
  </si>
  <si>
    <t>935 (3)</t>
  </si>
  <si>
    <t>20,70</t>
  </si>
  <si>
    <t>1 014 (3)</t>
  </si>
  <si>
    <t>211,77</t>
  </si>
  <si>
    <t>53 (0)</t>
  </si>
  <si>
    <t>65MFRFb14</t>
  </si>
  <si>
    <t>40,10</t>
  </si>
  <si>
    <t>424 (1)</t>
  </si>
  <si>
    <t>66MFRFb16</t>
  </si>
  <si>
    <t>28,01</t>
  </si>
  <si>
    <t>932 (3)</t>
  </si>
  <si>
    <t>67MFRFb18</t>
  </si>
  <si>
    <t>24,45</t>
  </si>
  <si>
    <t>686 (2)</t>
  </si>
  <si>
    <t>68MFRFb19</t>
  </si>
  <si>
    <t>1 020 (3)</t>
  </si>
  <si>
    <t>69MFRFb21</t>
  </si>
  <si>
    <t>702 (2)</t>
  </si>
  <si>
    <t>70MFSCb4</t>
  </si>
  <si>
    <t>МФО "Swiss Capital (Свисс Капитал)</t>
  </si>
  <si>
    <t>20,65</t>
  </si>
  <si>
    <t>108 (0)</t>
  </si>
  <si>
    <t>323 (1)</t>
  </si>
  <si>
    <t>679 (2)</t>
  </si>
  <si>
    <t>14,99</t>
  </si>
  <si>
    <t>59 (0)</t>
  </si>
  <si>
    <t>164 (0)</t>
  </si>
  <si>
    <t>262 (1)</t>
  </si>
  <si>
    <t>145 (0)</t>
  </si>
  <si>
    <t>298 (1)</t>
  </si>
  <si>
    <t>380 (1)</t>
  </si>
  <si>
    <t>16,10</t>
  </si>
  <si>
    <t>1 421 (4)</t>
  </si>
  <si>
    <t>338 (1)</t>
  </si>
  <si>
    <t>802 (2)</t>
  </si>
  <si>
    <t>1 434 (4)</t>
  </si>
  <si>
    <t>373 (1)</t>
  </si>
  <si>
    <t>768 (2)</t>
  </si>
  <si>
    <t>1 162 (3)</t>
  </si>
  <si>
    <t>1 627 (5)</t>
  </si>
  <si>
    <t>1 937 (5)</t>
  </si>
  <si>
    <t>91 (0)</t>
  </si>
  <si>
    <t>394 (1)</t>
  </si>
  <si>
    <t>11,51</t>
  </si>
  <si>
    <t>362 (1)</t>
  </si>
  <si>
    <t>62 (0)</t>
  </si>
  <si>
    <t>1 187 (3)</t>
  </si>
  <si>
    <t>272 (1)</t>
  </si>
  <si>
    <t>1 618 (4)</t>
  </si>
  <si>
    <t>334 (1)</t>
  </si>
  <si>
    <t>603 (2)</t>
  </si>
  <si>
    <t>693 (2)</t>
  </si>
  <si>
    <t>1 262 (4)</t>
  </si>
  <si>
    <t>1 382 (4)</t>
  </si>
  <si>
    <t>663 (2)</t>
  </si>
  <si>
    <t>810 (2)</t>
  </si>
  <si>
    <t>899 (2)</t>
  </si>
  <si>
    <t>1 441 (4)</t>
  </si>
  <si>
    <t>1 714 (5)</t>
  </si>
  <si>
    <t>1 081 (3)</t>
  </si>
  <si>
    <t>1 204 (3)</t>
  </si>
  <si>
    <t>1 592 (4)</t>
  </si>
  <si>
    <t>1 833 (5)</t>
  </si>
  <si>
    <t>2 191 (6)</t>
  </si>
  <si>
    <t>2 283 (6)</t>
  </si>
  <si>
    <t>623 (2)</t>
  </si>
  <si>
    <t>1 267 (4)</t>
  </si>
  <si>
    <t>1 631 (5)</t>
  </si>
  <si>
    <t>946 (3)</t>
  </si>
  <si>
    <t>1 976 (5)</t>
  </si>
  <si>
    <t>2 350 (7)</t>
  </si>
  <si>
    <t>1 141 (3)</t>
  </si>
  <si>
    <t>1 412 (4)</t>
  </si>
  <si>
    <t>1 598 (4)</t>
  </si>
  <si>
    <t>2 056 (6)</t>
  </si>
  <si>
    <t>2 799 (8)</t>
  </si>
  <si>
    <t>307 (1)</t>
  </si>
  <si>
    <t>1 295 (4)</t>
  </si>
  <si>
    <t>2 423 (7)</t>
  </si>
  <si>
    <t>3 070 (9)</t>
  </si>
  <si>
    <t>550 (2)</t>
  </si>
  <si>
    <t>667 (2)</t>
  </si>
  <si>
    <t>2 001 (6)</t>
  </si>
  <si>
    <t>3 407 (9)</t>
  </si>
  <si>
    <t>2 490 (7)</t>
  </si>
  <si>
    <t>2 877 (8)</t>
  </si>
  <si>
    <t>2 054 (6)</t>
  </si>
  <si>
    <t>3 051 (8)</t>
  </si>
  <si>
    <t>4 586 (13)</t>
  </si>
  <si>
    <t>16,06</t>
  </si>
  <si>
    <t>37 (0)</t>
  </si>
  <si>
    <t>80 (0)</t>
  </si>
  <si>
    <t>2 390 (7)</t>
  </si>
  <si>
    <t>3 434 (10)</t>
  </si>
  <si>
    <t>88 (0)</t>
  </si>
  <si>
    <t>352 (1)</t>
  </si>
  <si>
    <t>447 (1)</t>
  </si>
  <si>
    <t>571 (2)</t>
  </si>
  <si>
    <t>742 (2)</t>
  </si>
  <si>
    <t>778 (2)</t>
  </si>
  <si>
    <t>1 184 (3)</t>
  </si>
  <si>
    <t>1 427 (4)</t>
  </si>
  <si>
    <t>2 738 (8)</t>
  </si>
  <si>
    <t>2 757 (8)</t>
  </si>
  <si>
    <t>3 959 (11)</t>
  </si>
  <si>
    <t>4 112 (11)</t>
  </si>
  <si>
    <t>773 (2)</t>
  </si>
  <si>
    <t>952 (3)</t>
  </si>
  <si>
    <t>1 104 (3)</t>
  </si>
  <si>
    <t>3 934 (11)</t>
  </si>
  <si>
    <t>4 125 (11)</t>
  </si>
  <si>
    <t>2 398 (7)</t>
  </si>
  <si>
    <t>3 136 (9)</t>
  </si>
  <si>
    <t>3 393 (9)</t>
  </si>
  <si>
    <t>4 794 (13)</t>
  </si>
  <si>
    <t>5 009 (14)</t>
  </si>
  <si>
    <t>5 220 (14)</t>
  </si>
  <si>
    <t>6 870 (19)</t>
  </si>
  <si>
    <t>2 015 (6)</t>
  </si>
  <si>
    <t>18,09</t>
  </si>
  <si>
    <t>225 (1)</t>
  </si>
  <si>
    <t>265 (1)</t>
  </si>
  <si>
    <t>22 (0)</t>
  </si>
  <si>
    <t>212 (1)</t>
  </si>
  <si>
    <t>5,07</t>
  </si>
  <si>
    <t>422 (1)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</si>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</sst>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4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BTRK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3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45895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2636</v>
      </c>
      <c r="J5" s="2" t="s">
        <v>2637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26.08.25'!$C$5:$F$162,4,0)</f>
        <v>85.404700000000005</v>
      </c>
      <c r="J6" s="32">
        <f>VLOOKUP(B6,'KASE за 26.08.25'!$C$5:$G$162,5,0)</f>
        <v>87.677000000000007</v>
      </c>
      <c r="K6" s="64">
        <v>39764375</v>
      </c>
      <c r="L6" s="29">
        <f>D6*I6/100+K6</f>
        <v>1534346625</v>
      </c>
      <c r="M6" s="33">
        <f t="shared" ref="M6:M49" si="0">L6/$L$61</f>
        <v>5.9142549984017238E-2</v>
      </c>
      <c r="N6" s="13">
        <f>D6*E6%/360</f>
        <v>266875.00000000006</v>
      </c>
      <c r="O6" s="12">
        <f>K6+N6</f>
        <v>40031250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26.08.25'!$C$5:$F$162,4,0)</f>
        <v>87.203900000000004</v>
      </c>
      <c r="J7" s="32">
        <f>VLOOKUP(B7,'KASE за 26.08.25'!$C$5:$G$162,5,0)</f>
        <v>91.075000000000003</v>
      </c>
      <c r="K7" s="64">
        <v>75486666.666666716</v>
      </c>
      <c r="L7" s="29">
        <f>D7*I7/100+K7</f>
        <v>1775962716.6666667</v>
      </c>
      <c r="M7" s="33">
        <f t="shared" si="0"/>
        <v>6.8455824797874071E-2</v>
      </c>
      <c r="N7" s="13">
        <f t="shared" ref="N7:N15" si="1">D7*E7%/360</f>
        <v>563333.33333333337</v>
      </c>
      <c r="O7" s="12">
        <f t="shared" ref="O7:O41" si="2">K7+N7</f>
        <v>76050000.000000045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26.08.25'!$C$5:$F$162,4,0)</f>
        <v>85.178600000000003</v>
      </c>
      <c r="J8" s="32">
        <f>VLOOKUP(B8,'KASE за 26.08.25'!$C$5:$G$162,5,0)</f>
        <v>89.639700000000005</v>
      </c>
      <c r="K8" s="64">
        <v>61489725</v>
      </c>
      <c r="L8" s="29">
        <f>D8*I8/100+K8</f>
        <v>1235548958.0999999</v>
      </c>
      <c r="M8" s="33">
        <f t="shared" si="0"/>
        <v>4.7625168147471024E-2</v>
      </c>
      <c r="N8" s="13">
        <f>D8*E8%/360</f>
        <v>421162.5</v>
      </c>
      <c r="O8" s="12">
        <f t="shared" si="2"/>
        <v>61910887.5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26.08.25'!$C$5:$F$162,4,0)</f>
        <v>83.138800000000003</v>
      </c>
      <c r="J9" s="32">
        <f>VLOOKUP(B9,'KASE за 26.08.25'!$C$5:$G$162,5,0)</f>
        <v>83.959400000000002</v>
      </c>
      <c r="K9" s="64">
        <v>6909077.7777777817</v>
      </c>
      <c r="L9" s="29">
        <f>D9*I9/100+K9</f>
        <v>706937773.77777779</v>
      </c>
      <c r="M9" s="33">
        <f t="shared" si="0"/>
        <v>2.7249450639122756E-2</v>
      </c>
      <c r="N9" s="13">
        <f>D9*E9%/360</f>
        <v>246752.77777777781</v>
      </c>
      <c r="O9" s="12">
        <f>K9+N9</f>
        <v>7155830.5555555597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26.08.25'!$C$5:$F$162,4,0)</f>
        <v>77.606499999999997</v>
      </c>
      <c r="J10" s="32">
        <f>VLOOKUP(B10,'KASE за 26.08.25'!$C$5:$G$162,5,0)</f>
        <v>82.155699999999996</v>
      </c>
      <c r="K10" s="64">
        <v>65962916.666666776</v>
      </c>
      <c r="L10" s="29">
        <f t="shared" ref="L10:L15" si="3">D10*I10/100+K10</f>
        <v>1191257166.6666667</v>
      </c>
      <c r="M10" s="33">
        <f t="shared" si="0"/>
        <v>4.591790758063035E-2</v>
      </c>
      <c r="N10" s="13">
        <f>D10*E10%/360</f>
        <v>414861.11111111112</v>
      </c>
      <c r="O10" s="12">
        <f t="shared" si="2"/>
        <v>66377777.777777888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26.08.25'!$C$5:$F$162,4,0)</f>
        <v>67.992400000000004</v>
      </c>
      <c r="J11" s="32">
        <f>VLOOKUP(B11,'KASE за 26.08.25'!$C$5:$G$162,5,0)</f>
        <v>71.043800000000005</v>
      </c>
      <c r="K11" s="64">
        <v>59502083.333333433</v>
      </c>
      <c r="L11" s="29">
        <f t="shared" si="3"/>
        <v>1385353883.3333335</v>
      </c>
      <c r="M11" s="33">
        <f t="shared" si="0"/>
        <v>5.3399512180368022E-2</v>
      </c>
      <c r="N11" s="13">
        <f t="shared" si="1"/>
        <v>457708.33333333326</v>
      </c>
      <c r="O11" s="12">
        <f t="shared" si="2"/>
        <v>59959791.666666768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26.08.25'!$C$5:$F$162,4,0)</f>
        <v>75.979699999999994</v>
      </c>
      <c r="J12" s="32">
        <f>VLOOKUP(B12,'KASE за 26.08.25'!$C$5:$G$162,5,0)</f>
        <v>76.867199999999997</v>
      </c>
      <c r="K12" s="64">
        <v>8715249.9999999981</v>
      </c>
      <c r="L12" s="29">
        <f>D12*I12/100+K12</f>
        <v>754835904</v>
      </c>
      <c r="M12" s="33">
        <f t="shared" si="0"/>
        <v>2.9095720259462776E-2</v>
      </c>
      <c r="N12" s="13">
        <f>D12*E12%/360</f>
        <v>290508.33333333331</v>
      </c>
      <c r="O12" s="12">
        <f t="shared" si="2"/>
        <v>9005758.3333333321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26.08.25'!$C$5:$F$162,4,0)</f>
        <v>75.979699999999994</v>
      </c>
      <c r="J13" s="32">
        <f>VLOOKUP(B13,'KASE за 26.08.25'!$C$5:$G$162,5,0)</f>
        <v>76.867199999999997</v>
      </c>
      <c r="K13" s="64">
        <v>2218749.9999999995</v>
      </c>
      <c r="L13" s="29">
        <f>D13*I13/100+K13</f>
        <v>192168000</v>
      </c>
      <c r="M13" s="33">
        <f t="shared" si="0"/>
        <v>7.4072607585190372E-3</v>
      </c>
      <c r="N13" s="13">
        <f>D13*E13%/360</f>
        <v>73958.333333333328</v>
      </c>
      <c r="O13" s="12">
        <f>K13+N13</f>
        <v>2292708.333333333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26.08.25'!$C$5:$F$173,4,0)</f>
        <v>61.462800000000001</v>
      </c>
      <c r="J14" s="32">
        <f>VLOOKUP(B14,'KASE за 26.08.25'!$C$5:$G$173,5,0)</f>
        <v>63.7941</v>
      </c>
      <c r="K14" s="64">
        <v>45461000.000000007</v>
      </c>
      <c r="L14" s="29">
        <f t="shared" si="3"/>
        <v>1243985600</v>
      </c>
      <c r="M14" s="33">
        <f t="shared" si="0"/>
        <v>4.7950364884074143E-2</v>
      </c>
      <c r="N14" s="13">
        <f t="shared" si="1"/>
        <v>437125.00000000006</v>
      </c>
      <c r="O14" s="12">
        <f t="shared" si="2"/>
        <v>45898125.000000007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26.08.25'!$C$5:$F$173,4,0)</f>
        <v>59.9923</v>
      </c>
      <c r="J15" s="32">
        <f>VLOOKUP(B15,'KASE за 26.08.25'!$C$5:$G$173,5,0)</f>
        <v>64.632599999999996</v>
      </c>
      <c r="K15" s="64">
        <v>90484875</v>
      </c>
      <c r="L15" s="29">
        <f t="shared" si="3"/>
        <v>1260334725</v>
      </c>
      <c r="M15" s="33">
        <f t="shared" si="0"/>
        <v>4.8580554260289864E-2</v>
      </c>
      <c r="N15" s="13">
        <f t="shared" si="1"/>
        <v>437125.00000000006</v>
      </c>
      <c r="O15" s="12">
        <f t="shared" si="2"/>
        <v>90922000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26.08.25'!$C$5:$F$174,4,0)</f>
        <v>56.648400000000002</v>
      </c>
      <c r="J16" s="32">
        <f>VLOOKUP(B16,'KASE за 26.08.25'!$C$5:$G$174,5,0)</f>
        <v>58.512300000000003</v>
      </c>
      <c r="K16" s="64">
        <v>5815314.6944444533</v>
      </c>
      <c r="L16" s="29">
        <f t="shared" ref="L16:L30" si="4">D16*I16/100+K16</f>
        <v>182557756.21044448</v>
      </c>
      <c r="M16" s="33">
        <f t="shared" si="0"/>
        <v>7.0368266503315355E-3</v>
      </c>
      <c r="N16" s="13">
        <f>D16*E16%/360</f>
        <v>47666.513888888891</v>
      </c>
      <c r="O16" s="12">
        <f t="shared" si="2"/>
        <v>5862981.2083333423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26.08.25'!$C$5:$F$174,4,0)</f>
        <v>56.648400000000002</v>
      </c>
      <c r="J17" s="32">
        <f>VLOOKUP(B17,'KASE за 26.08.25'!$C$5:$G$174,5,0)</f>
        <v>58.512300000000003</v>
      </c>
      <c r="K17" s="64">
        <v>9319444.444444444</v>
      </c>
      <c r="L17" s="29">
        <f t="shared" si="4"/>
        <v>292561444.44444442</v>
      </c>
      <c r="M17" s="33">
        <f t="shared" si="0"/>
        <v>1.1277001930024668E-2</v>
      </c>
      <c r="N17" s="13">
        <f t="shared" ref="N17:N27" si="5">D17*E17%/360</f>
        <v>76388.888888888891</v>
      </c>
      <c r="O17" s="12">
        <f t="shared" si="2"/>
        <v>9395833.3333333321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26.08.25'!$C$5:$F$174,4,0)</f>
        <v>56.648400000000002</v>
      </c>
      <c r="J18" s="32">
        <f>VLOOKUP(B18,'KASE за 26.08.25'!$C$5:$G$174,5,0)</f>
        <v>58.512300000000003</v>
      </c>
      <c r="K18" s="64">
        <v>9319444.444444444</v>
      </c>
      <c r="L18" s="29">
        <f>D18*I18/100+K18</f>
        <v>292561444.44444442</v>
      </c>
      <c r="M18" s="33">
        <f t="shared" si="0"/>
        <v>1.1277001930024668E-2</v>
      </c>
      <c r="N18" s="13">
        <f>D18*E18%/360</f>
        <v>76388.888888888891</v>
      </c>
      <c r="O18" s="12">
        <f t="shared" si="2"/>
        <v>9395833.3333333321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26.08.25'!$C$5:$F$174,4,0)</f>
        <v>56.648400000000002</v>
      </c>
      <c r="J19" s="32">
        <f>VLOOKUP(B19,'KASE за 26.08.25'!$C$5:$G$174,5,0)</f>
        <v>58.512300000000003</v>
      </c>
      <c r="K19" s="64">
        <v>5591666.6666666633</v>
      </c>
      <c r="L19" s="29">
        <f>D19*I19/100+K19</f>
        <v>175536866.66666666</v>
      </c>
      <c r="M19" s="33">
        <f t="shared" si="0"/>
        <v>6.7662011580148012E-3</v>
      </c>
      <c r="N19" s="13">
        <f>D19*E19%/360</f>
        <v>45833.333333333336</v>
      </c>
      <c r="O19" s="12">
        <f t="shared" si="2"/>
        <v>5637499.9999999963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26.08.25'!$C$5:$F$174,4,0)</f>
        <v>56.648400000000002</v>
      </c>
      <c r="J20" s="32">
        <f>VLOOKUP(B20,'KASE за 26.08.25'!$C$5:$G$174,5,0)</f>
        <v>58.512300000000003</v>
      </c>
      <c r="K20" s="64">
        <v>5591666.6666666633</v>
      </c>
      <c r="L20" s="29">
        <f>D20*I20/100+K20</f>
        <v>175536866.66666666</v>
      </c>
      <c r="M20" s="33">
        <f t="shared" si="0"/>
        <v>6.7662011580148012E-3</v>
      </c>
      <c r="N20" s="13">
        <f>D20*E20%/360</f>
        <v>45833.333333333336</v>
      </c>
      <c r="O20" s="12">
        <f t="shared" si="2"/>
        <v>5637499.9999999963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26.08.25'!$C$5:$F$162,4,0)</f>
        <v>83.138800000000003</v>
      </c>
      <c r="J21" s="32">
        <f>VLOOKUP(B21,'KASE за 26.08.25'!$C$5:$G$162,5,0)</f>
        <v>83.959400000000002</v>
      </c>
      <c r="K21" s="64">
        <v>4102777.7777777803</v>
      </c>
      <c r="L21" s="29">
        <f t="shared" si="4"/>
        <v>419796777.77777779</v>
      </c>
      <c r="M21" s="33">
        <f t="shared" si="0"/>
        <v>1.6181383989977885E-2</v>
      </c>
      <c r="N21" s="13">
        <f>D21*E21%/360</f>
        <v>146527.77777777781</v>
      </c>
      <c r="O21" s="12">
        <f t="shared" si="2"/>
        <v>4249305.5555555578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26.08.25'!$C$5:$F$162,4,0)</f>
        <v>83.138800000000003</v>
      </c>
      <c r="J22" s="32">
        <f>VLOOKUP(B22,'KASE за 26.08.25'!$C$5:$G$162,5,0)</f>
        <v>83.959400000000002</v>
      </c>
      <c r="K22" s="64">
        <v>4541200.6111111091</v>
      </c>
      <c r="L22" s="29">
        <f t="shared" si="4"/>
        <v>464656261.45111108</v>
      </c>
      <c r="M22" s="33">
        <f t="shared" si="0"/>
        <v>1.7910526683146917E-2</v>
      </c>
      <c r="N22" s="13">
        <f t="shared" si="5"/>
        <v>162185.73611111112</v>
      </c>
      <c r="O22" s="12">
        <f t="shared" si="2"/>
        <v>4703386.3472222202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26.08.25'!$C$5:$F$174,4,0)</f>
        <v>76.390900000000002</v>
      </c>
      <c r="J23" s="32">
        <f>VLOOKUP(B23,'KASE за 26.08.25'!$C$5:$G$174,5,0)</f>
        <v>78.168700000000001</v>
      </c>
      <c r="K23" s="64">
        <v>11307644.444444424</v>
      </c>
      <c r="L23" s="29">
        <f t="shared" si="4"/>
        <v>497195783.43944442</v>
      </c>
      <c r="M23" s="33">
        <f t="shared" si="0"/>
        <v>1.9164787144436774E-2</v>
      </c>
      <c r="N23" s="13">
        <f t="shared" si="5"/>
        <v>88340.972222222219</v>
      </c>
      <c r="O23" s="12">
        <f t="shared" si="2"/>
        <v>11395985.416666646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26.08.25'!$C$5:$F$173,4,0)</f>
        <v>55.5548</v>
      </c>
      <c r="J24" s="32">
        <f>VLOOKUP(B24,'KASE за 26.08.25'!$C$5:$G$173,5,0)</f>
        <v>56.273800000000001</v>
      </c>
      <c r="K24" s="64">
        <v>5026622.5305555537</v>
      </c>
      <c r="L24" s="29">
        <f>D24*I24/100+K24</f>
        <v>393402451.65855557</v>
      </c>
      <c r="M24" s="33">
        <f t="shared" si="0"/>
        <v>1.5163994746657097E-2</v>
      </c>
      <c r="N24" s="13">
        <f t="shared" si="5"/>
        <v>162149.11388888888</v>
      </c>
      <c r="O24" s="12">
        <f t="shared" si="2"/>
        <v>5188771.6444444424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26.08.25'!$C$5:$F$173,4,0)</f>
        <v>55.5548</v>
      </c>
      <c r="J25" s="32">
        <f>VLOOKUP(B25,'KASE за 26.08.25'!$C$5:$G$173,5,0)</f>
        <v>56.273800000000001</v>
      </c>
      <c r="K25" s="64">
        <v>2042563.7791666649</v>
      </c>
      <c r="L25" s="29">
        <f>D25*I25/100+K25</f>
        <v>159858750.78316668</v>
      </c>
      <c r="M25" s="33">
        <f t="shared" si="0"/>
        <v>6.1618763351964159E-3</v>
      </c>
      <c r="N25" s="13">
        <f>D25*E25%/360</f>
        <v>65889.15416666666</v>
      </c>
      <c r="O25" s="12">
        <f t="shared" si="2"/>
        <v>2108452.9333333317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26.08.25'!$C$5:$F$162,4,0)</f>
        <v>72.889399999999995</v>
      </c>
      <c r="J26" s="32">
        <f>VLOOKUP(B26,'KASE за 26.08.25'!$C$5:$G$162,5,0)</f>
        <v>77.198700000000002</v>
      </c>
      <c r="K26" s="64">
        <v>21546666.666666307</v>
      </c>
      <c r="L26" s="29">
        <f t="shared" si="4"/>
        <v>385993666.66666633</v>
      </c>
      <c r="M26" s="33">
        <f t="shared" si="0"/>
        <v>1.4878417531206419E-2</v>
      </c>
      <c r="N26" s="13">
        <f t="shared" si="5"/>
        <v>106666.66666666667</v>
      </c>
      <c r="O26" s="12">
        <f t="shared" si="2"/>
        <v>21653333.333332974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26.08.25'!$C$5:$F$162,4,0)</f>
        <v>72.889399999999995</v>
      </c>
      <c r="J27" s="32">
        <f>VLOOKUP(B27,'KASE за 26.08.25'!$C$5:$G$162,5,0)</f>
        <v>77.198700000000002</v>
      </c>
      <c r="K27" s="64">
        <v>21546666.666666307</v>
      </c>
      <c r="L27" s="29">
        <f t="shared" si="4"/>
        <v>385993666.66666633</v>
      </c>
      <c r="M27" s="33">
        <f t="shared" si="0"/>
        <v>1.4878417531206419E-2</v>
      </c>
      <c r="N27" s="13">
        <f t="shared" si="5"/>
        <v>106666.66666666667</v>
      </c>
      <c r="O27" s="12">
        <f t="shared" si="2"/>
        <v>21653333.333332974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26.08.25'!$C$5:$F$162,4,0)</f>
        <v>72.889399999999995</v>
      </c>
      <c r="J28" s="32">
        <f>VLOOKUP(B28,'KASE за 26.08.25'!$C$5:$G$162,5,0)</f>
        <v>77.198700000000002</v>
      </c>
      <c r="K28" s="64">
        <v>21546666.666666307</v>
      </c>
      <c r="L28" s="29">
        <f>D28*I28/100+K28</f>
        <v>385993666.66666633</v>
      </c>
      <c r="M28" s="33">
        <f t="shared" si="0"/>
        <v>1.4878417531206419E-2</v>
      </c>
      <c r="N28" s="13">
        <f>D28*E28%/360</f>
        <v>106666.66666666667</v>
      </c>
      <c r="O28" s="12">
        <f t="shared" si="2"/>
        <v>21653333.333332974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26.08.25'!$C$4:$G$963,4,0)</f>
        <v>93.832529690418824</v>
      </c>
      <c r="J29" s="32">
        <f>VLOOKUP(B29,'Риск цены за 26.08.25'!$C$4:$G$963,5,0)</f>
        <v>107.85442969041883</v>
      </c>
      <c r="K29" s="64">
        <v>238373055.55556098</v>
      </c>
      <c r="L29" s="29">
        <f>D29*I29/100+K29</f>
        <v>1833526060.2926812</v>
      </c>
      <c r="M29" s="33">
        <f t="shared" si="0"/>
        <v>7.0674647371716345E-2</v>
      </c>
      <c r="N29" s="13">
        <f t="shared" ref="N29:N35" si="7">D29*E29%/360</f>
        <v>675277.77777777787</v>
      </c>
      <c r="O29" s="12">
        <f t="shared" si="2"/>
        <v>239048333.33333877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26.08.25'!$C$5:$F$162,4,0)</f>
        <v>83.480599999999995</v>
      </c>
      <c r="J30" s="32">
        <f>VLOOKUP(B30,'KASE за 26.08.25'!$C$5:$G$162,5,0)</f>
        <v>89.613900000000001</v>
      </c>
      <c r="K30" s="64">
        <v>30666666.666666426</v>
      </c>
      <c r="L30" s="29">
        <f t="shared" si="4"/>
        <v>448069666.66666645</v>
      </c>
      <c r="M30" s="33">
        <f t="shared" si="0"/>
        <v>1.7271183854662087E-2</v>
      </c>
      <c r="N30" s="13">
        <f t="shared" si="7"/>
        <v>166666.66666666666</v>
      </c>
      <c r="O30" s="12">
        <f t="shared" si="2"/>
        <v>30833333.333333094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26.08.25'!$C$5:$F$162,4,0)</f>
        <v>85.517899999999997</v>
      </c>
      <c r="J31" s="32">
        <f>VLOOKUP(B31,'KASE за 26.08.25'!$C$5:$G$162,5,0)</f>
        <v>91.151200000000003</v>
      </c>
      <c r="K31" s="64">
        <v>16900000</v>
      </c>
      <c r="L31" s="29">
        <f t="shared" ref="L31:L46" si="9">D31*I31/100+K31</f>
        <v>273453700</v>
      </c>
      <c r="M31" s="33">
        <f t="shared" si="0"/>
        <v>1.0540479482961978E-2</v>
      </c>
      <c r="N31" s="13">
        <f t="shared" si="7"/>
        <v>100000</v>
      </c>
      <c r="O31" s="12">
        <f t="shared" si="2"/>
        <v>17000000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26.08.25'!$C$5:$F$162,4,0)</f>
        <v>85.517899999999997</v>
      </c>
      <c r="J32" s="32">
        <f>VLOOKUP(B32,'KASE за 26.08.25'!$C$5:$G$162,5,0)</f>
        <v>91.151200000000003</v>
      </c>
      <c r="K32" s="64">
        <v>16256617</v>
      </c>
      <c r="L32" s="29">
        <f t="shared" si="9"/>
        <v>263043317.64099997</v>
      </c>
      <c r="M32" s="33">
        <f t="shared" si="0"/>
        <v>1.0139203429045614E-2</v>
      </c>
      <c r="N32" s="13">
        <f t="shared" si="7"/>
        <v>96193</v>
      </c>
      <c r="O32" s="12">
        <f t="shared" si="2"/>
        <v>16352810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26.08.25'!$C$4:$G$963,4,0)</f>
        <v>98.378654914734625</v>
      </c>
      <c r="J33" s="32">
        <f>VLOOKUP(B33,'Риск цены за 26.08.25'!$C$4:$G$963,5,0)</f>
        <v>101.77395491473462</v>
      </c>
      <c r="K33" s="64">
        <v>10186000</v>
      </c>
      <c r="L33" s="29">
        <f t="shared" si="9"/>
        <v>305321964.74420387</v>
      </c>
      <c r="M33" s="33">
        <f t="shared" si="0"/>
        <v>1.176886582658754E-2</v>
      </c>
      <c r="N33" s="13">
        <f t="shared" si="7"/>
        <v>115750</v>
      </c>
      <c r="O33" s="12">
        <f t="shared" si="2"/>
        <v>10301750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26.08.25'!$C$5:$F$162,4,0)</f>
        <v>70.766800000000003</v>
      </c>
      <c r="J34" s="32">
        <f>VLOOKUP(B34,'KASE за 26.08.25'!$C$5:$G$162,5,0)</f>
        <v>73.251900000000006</v>
      </c>
      <c r="K34" s="64">
        <v>173957.77777777801</v>
      </c>
      <c r="L34" s="29">
        <f t="shared" si="9"/>
        <v>5127633.777777778</v>
      </c>
      <c r="M34" s="33">
        <f t="shared" si="0"/>
        <v>1.9764851830788717E-4</v>
      </c>
      <c r="N34" s="13">
        <f t="shared" si="7"/>
        <v>1641.1111111111109</v>
      </c>
      <c r="O34" s="12">
        <f t="shared" si="2"/>
        <v>175598.88888888914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26.08.25'!$C$5:$F$162,4,0)</f>
        <v>89.159499999999994</v>
      </c>
      <c r="J35" s="32">
        <f>VLOOKUP(B35,'KASE за 26.08.25'!$C$5:$G$162,5,0)</f>
        <v>92.931700000000006</v>
      </c>
      <c r="K35" s="64">
        <v>377222.22222222143</v>
      </c>
      <c r="L35" s="29">
        <f t="shared" si="9"/>
        <v>9293172.222222222</v>
      </c>
      <c r="M35" s="33">
        <f t="shared" si="0"/>
        <v>3.5821234505133956E-4</v>
      </c>
      <c r="N35" s="13">
        <f t="shared" si="7"/>
        <v>3888.8888888888896</v>
      </c>
      <c r="O35" s="12">
        <f t="shared" si="2"/>
        <v>381111.11111111031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26.08.25'!$C$5:$F$174,4,0)</f>
        <v>59.811999999999998</v>
      </c>
      <c r="J36" s="32">
        <f>VLOOKUP(B36,'KASE за 26.08.25'!$C$5:$G$174,5,0)</f>
        <v>64.524500000000003</v>
      </c>
      <c r="K36" s="64">
        <v>14137500</v>
      </c>
      <c r="L36" s="29">
        <f t="shared" si="9"/>
        <v>193573500</v>
      </c>
      <c r="M36" s="33">
        <f t="shared" si="0"/>
        <v>7.4614368179883482E-3</v>
      </c>
      <c r="N36" s="13">
        <f t="shared" ref="N36:N60" si="10">D36*E36%/360</f>
        <v>72500</v>
      </c>
      <c r="O36" s="12">
        <f t="shared" si="2"/>
        <v>14210000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26.08.25'!$C$5:$F$174,4,0)</f>
        <v>59.811999999999998</v>
      </c>
      <c r="J37" s="32">
        <f>VLOOKUP(B37,'KASE за 26.08.25'!$C$5:$G$174,5,0)</f>
        <v>64.524500000000003</v>
      </c>
      <c r="K37" s="64">
        <v>9424999.9999996442</v>
      </c>
      <c r="L37" s="29">
        <f t="shared" si="9"/>
        <v>129048999.99999964</v>
      </c>
      <c r="M37" s="33">
        <f t="shared" si="0"/>
        <v>4.9742912119922185E-3</v>
      </c>
      <c r="N37" s="13">
        <f t="shared" si="10"/>
        <v>48333.333333333336</v>
      </c>
      <c r="O37" s="12">
        <f t="shared" si="2"/>
        <v>9473333.3333329782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26.08.25'!$C$5:$F$162,4,0)</f>
        <v>82.681200000000004</v>
      </c>
      <c r="J38" s="32">
        <f>VLOOKUP(B38,'KASE за 26.08.25'!$C$5:$G$162,5,0)</f>
        <v>88.853399999999993</v>
      </c>
      <c r="K38" s="64">
        <v>16232944.444444643</v>
      </c>
      <c r="L38" s="29">
        <f t="shared" si="9"/>
        <v>233684500.44444466</v>
      </c>
      <c r="M38" s="33">
        <f t="shared" si="0"/>
        <v>9.0075456372354368E-3</v>
      </c>
      <c r="N38" s="13">
        <f t="shared" si="10"/>
        <v>80361.111111111109</v>
      </c>
      <c r="O38" s="12">
        <f t="shared" si="2"/>
        <v>16313305.555555755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26.08.25'!$C$5:$F$162,4,0)</f>
        <v>96.146600000000007</v>
      </c>
      <c r="J39" s="32">
        <f>VLOOKUP(B39,'KASE за 26.08.25'!$C$5:$G$162,5,0)</f>
        <v>103.4991</v>
      </c>
      <c r="K39" s="64">
        <v>25072025</v>
      </c>
      <c r="L39" s="29">
        <f t="shared" si="9"/>
        <v>352931931.00000006</v>
      </c>
      <c r="M39" s="33">
        <f t="shared" si="0"/>
        <v>1.3604027949110408E-2</v>
      </c>
      <c r="N39" s="13">
        <f t="shared" si="10"/>
        <v>144925</v>
      </c>
      <c r="O39" s="12">
        <f t="shared" si="2"/>
        <v>25216950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26.08.25'!$C$5:$F$162,4,0)</f>
        <v>85.385300000000001</v>
      </c>
      <c r="J40" s="32">
        <f>VLOOKUP(B40,'KASE за 26.08.25'!$C$5:$G$162,5,0)</f>
        <v>94.081199999999995</v>
      </c>
      <c r="K40" s="64">
        <v>7193870.9808333619</v>
      </c>
      <c r="L40" s="29">
        <f t="shared" si="9"/>
        <v>77830568.111833364</v>
      </c>
      <c r="M40" s="33">
        <f t="shared" si="0"/>
        <v>3.0000380551810208E-3</v>
      </c>
      <c r="N40" s="13">
        <f t="shared" si="10"/>
        <v>24059.769166666669</v>
      </c>
      <c r="O40" s="12">
        <f t="shared" si="2"/>
        <v>7217930.7500000289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26.08.25'!$C$5:$F$162,4,0)</f>
        <v>75.150199999999998</v>
      </c>
      <c r="J41" s="32">
        <f>VLOOKUP(B41,'KASE за 26.08.25'!$C$5:$G$162,5,0)</f>
        <v>75.427499999999995</v>
      </c>
      <c r="K41" s="110">
        <v>630933.33333333337</v>
      </c>
      <c r="L41" s="29">
        <f t="shared" si="9"/>
        <v>171597638.33333334</v>
      </c>
      <c r="M41" s="33">
        <f t="shared" si="0"/>
        <v>6.6143606254997819E-3</v>
      </c>
      <c r="N41" s="13">
        <f t="shared" si="10"/>
        <v>48533.333333333336</v>
      </c>
      <c r="O41" s="12">
        <f t="shared" si="2"/>
        <v>679466.66666666674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26.08.25'!$C$5:$F$162,4,0)</f>
        <v>77.1952</v>
      </c>
      <c r="J42" s="32">
        <f>VLOOKUP(B42,'KASE за 26.08.25'!$C$5:$G$162,5,0)</f>
        <v>82.329400000000007</v>
      </c>
      <c r="K42" s="64">
        <v>25671111.111099869</v>
      </c>
      <c r="L42" s="29">
        <f t="shared" si="9"/>
        <v>411647111.11109984</v>
      </c>
      <c r="M42" s="33">
        <f t="shared" si="0"/>
        <v>1.5867248930576245E-2</v>
      </c>
      <c r="N42" s="13">
        <f t="shared" si="10"/>
        <v>100277.77777777778</v>
      </c>
      <c r="O42" s="12">
        <f t="shared" ref="O42:O60" si="11">K42+N42</f>
        <v>25771388.888877645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26.08.25'!$C$5:$F$162,4,0)</f>
        <v>96.146600000000007</v>
      </c>
      <c r="J43" s="32">
        <f>VLOOKUP(B43,'KASE за 26.08.25'!$C$5:$G$162,5,0)</f>
        <v>103.4991</v>
      </c>
      <c r="K43" s="64">
        <v>19042975</v>
      </c>
      <c r="L43" s="29">
        <f t="shared" si="9"/>
        <v>268062669</v>
      </c>
      <c r="M43" s="33">
        <f t="shared" si="0"/>
        <v>1.0332678119705558E-2</v>
      </c>
      <c r="N43" s="13">
        <f t="shared" si="10"/>
        <v>110075</v>
      </c>
      <c r="O43" s="12">
        <f t="shared" si="11"/>
        <v>19153050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26.08.25'!$C$4:$G$963,4,0)</f>
        <v>99.962423014808536</v>
      </c>
      <c r="J44" s="32">
        <f>VLOOKUP(B44,'Риск цены за 26.08.25'!$C$4:$G$963,5,0)</f>
        <v>106.27132301480853</v>
      </c>
      <c r="K44" s="64">
        <v>12617777.7777778</v>
      </c>
      <c r="L44" s="29">
        <f t="shared" si="9"/>
        <v>212542623.80739486</v>
      </c>
      <c r="M44" s="33">
        <f t="shared" si="0"/>
        <v>8.1926160278568225E-3</v>
      </c>
      <c r="N44" s="13">
        <f t="shared" si="10"/>
        <v>92777.777777777766</v>
      </c>
      <c r="O44" s="12">
        <f t="shared" si="11"/>
        <v>12710555.555555578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26.08.25'!$C$5:$F$162,4,0)</f>
        <v>80.692700000000002</v>
      </c>
      <c r="J45" s="84">
        <f>VLOOKUP(B45,'KASE за 26.08.25'!$C$5:$G$162,5,0)</f>
        <v>85.212400000000002</v>
      </c>
      <c r="K45" s="106">
        <v>22598611.111111253</v>
      </c>
      <c r="L45" s="29">
        <f t="shared" si="9"/>
        <v>426062111.11111128</v>
      </c>
      <c r="M45" s="85">
        <f t="shared" si="0"/>
        <v>1.6422885997279008E-2</v>
      </c>
      <c r="N45" s="13">
        <f t="shared" si="10"/>
        <v>73611.111111111109</v>
      </c>
      <c r="O45" s="12">
        <f t="shared" si="11"/>
        <v>22672222.222222365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26.08.25'!$C$5:$F$162,4,0)</f>
        <v>82.681200000000004</v>
      </c>
      <c r="J46" s="84">
        <f>VLOOKUP(B46,'KASE за 26.08.25'!$C$5:$G$162,5,0)</f>
        <v>88.853399999999993</v>
      </c>
      <c r="K46" s="106">
        <v>45489277.777777925</v>
      </c>
      <c r="L46" s="74">
        <f t="shared" si="9"/>
        <v>654849721.77777791</v>
      </c>
      <c r="M46" s="85">
        <f t="shared" si="0"/>
        <v>2.5241677318032365E-2</v>
      </c>
      <c r="N46" s="13">
        <f t="shared" si="10"/>
        <v>225194.44444444444</v>
      </c>
      <c r="O46" s="12">
        <f t="shared" si="11"/>
        <v>45714472.222222373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26.08.25'!$C$5:$F$162,4,0)</f>
        <v>77.606499999999997</v>
      </c>
      <c r="J47" s="84">
        <f>VLOOKUP(B47,'KASE за 26.08.25'!$C$5:$G$162,5,0)</f>
        <v>82.155699999999996</v>
      </c>
      <c r="K47" s="64">
        <v>272949.99999999959</v>
      </c>
      <c r="L47" s="74">
        <f t="shared" ref="L47:L60" si="12">D47*I47/100+K47</f>
        <v>4929340</v>
      </c>
      <c r="M47" s="85">
        <f t="shared" si="0"/>
        <v>1.9000513481640143E-4</v>
      </c>
      <c r="N47" s="13">
        <f t="shared" si="10"/>
        <v>1716.6666666666667</v>
      </c>
      <c r="O47" s="12">
        <f t="shared" si="11"/>
        <v>274666.66666666628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26.08.25'!$C$5:$F$162,4,0)</f>
        <v>77.606499999999997</v>
      </c>
      <c r="J48" s="84">
        <f>VLOOKUP(B48,'KASE за 26.08.25'!$C$5:$G$162,5,0)</f>
        <v>82.155699999999996</v>
      </c>
      <c r="K48" s="106">
        <v>272949.99999999959</v>
      </c>
      <c r="L48" s="74">
        <f t="shared" si="12"/>
        <v>4929340</v>
      </c>
      <c r="M48" s="85">
        <f t="shared" si="0"/>
        <v>1.9000513481640143E-4</v>
      </c>
      <c r="N48" s="13">
        <f t="shared" si="10"/>
        <v>1716.6666666666667</v>
      </c>
      <c r="O48" s="12">
        <f t="shared" si="11"/>
        <v>274666.66666666628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26208333.333333392</v>
      </c>
      <c r="L49" s="74">
        <f t="shared" si="12"/>
        <v>526208333.33333337</v>
      </c>
      <c r="M49" s="85">
        <f t="shared" si="0"/>
        <v>2.0283097801432629E-2</v>
      </c>
      <c r="N49" s="13">
        <f t="shared" si="10"/>
        <v>236111.11111111112</v>
      </c>
      <c r="O49" s="12">
        <f t="shared" si="11"/>
        <v>26444444.444444504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26.08.25'!$C$5:$F$165,4,0)</f>
        <v>70.766800000000003</v>
      </c>
      <c r="J50" s="84">
        <f>VLOOKUP(B50,'KASE за 26.08.25'!$C$5:$G$165,5,0)</f>
        <v>73.251900000000006</v>
      </c>
      <c r="K50" s="108">
        <v>12425555.555555541</v>
      </c>
      <c r="L50" s="74">
        <f t="shared" si="12"/>
        <v>366259555.55555552</v>
      </c>
      <c r="M50" s="85">
        <f t="shared" ref="M50:M60" si="13">L50/$L$61</f>
        <v>1.4117751307706225E-2</v>
      </c>
      <c r="N50" s="13">
        <f t="shared" si="10"/>
        <v>117222.2222222222</v>
      </c>
      <c r="O50" s="12">
        <f t="shared" si="11"/>
        <v>12542777.777777763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26.08.25'!$C$5:$F$165,4,0)</f>
        <v>75.150199999999998</v>
      </c>
      <c r="J51" s="84">
        <f>VLOOKUP(B51,'KASE за 26.08.25'!$C$5:$G$165,5,0)</f>
        <v>75.427499999999995</v>
      </c>
      <c r="K51" s="111">
        <v>1386666.6666666667</v>
      </c>
      <c r="L51" s="74">
        <f t="shared" si="12"/>
        <v>377137666.66666669</v>
      </c>
      <c r="M51" s="85">
        <f t="shared" si="13"/>
        <v>1.453705631977974E-2</v>
      </c>
      <c r="N51" s="13">
        <f t="shared" si="10"/>
        <v>106666.66666666667</v>
      </c>
      <c r="O51" s="12">
        <f t="shared" si="11"/>
        <v>1493333.3333333335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26.08.25'!$C$5:$F$165,4,0)</f>
        <v>76.390900000000002</v>
      </c>
      <c r="J52" s="84">
        <f>VLOOKUP(B52,'KASE за 26.08.25'!$C$5:$G$165,5,0)</f>
        <v>78.168700000000001</v>
      </c>
      <c r="K52" s="108">
        <v>8888888.888888862</v>
      </c>
      <c r="L52" s="74">
        <f t="shared" si="12"/>
        <v>390843388.88888884</v>
      </c>
      <c r="M52" s="85">
        <f t="shared" si="13"/>
        <v>1.5065353738620696E-2</v>
      </c>
      <c r="N52" s="13">
        <f t="shared" si="10"/>
        <v>69444.444444444438</v>
      </c>
      <c r="O52" s="12">
        <f t="shared" si="11"/>
        <v>8958333.333333306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0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26.08.25'!$C$5:$F$165,4,0)</f>
        <v>83.138800000000003</v>
      </c>
      <c r="J53" s="84">
        <f>VLOOKUP(B53,'KASE за 26.08.25'!$C$5:$G$165,5,0)</f>
        <v>83.959400000000002</v>
      </c>
      <c r="K53" s="108">
        <v>1641111.1111111105</v>
      </c>
      <c r="L53" s="74">
        <f t="shared" si="12"/>
        <v>167918711.1111111</v>
      </c>
      <c r="M53" s="85">
        <f t="shared" si="13"/>
        <v>6.4725535959911529E-3</v>
      </c>
      <c r="N53" s="13">
        <f t="shared" si="10"/>
        <v>58611.111111111124</v>
      </c>
      <c r="O53" s="12">
        <f t="shared" si="11"/>
        <v>1699722.2222222215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26.08.25'!$C$5:$F$165,4,0)</f>
        <v>85.517899999999997</v>
      </c>
      <c r="J54" s="84">
        <f>VLOOKUP(B54,'KASE за 26.08.25'!$C$5:$G$165,5,0)</f>
        <v>91.151200000000003</v>
      </c>
      <c r="K54" s="108">
        <v>28166666.666666742</v>
      </c>
      <c r="L54" s="74">
        <f>D54*I54/100+K54</f>
        <v>455756166.66666675</v>
      </c>
      <c r="M54" s="85">
        <f t="shared" si="13"/>
        <v>1.7567465804936632E-2</v>
      </c>
      <c r="N54" s="13">
        <f t="shared" si="10"/>
        <v>166666.66666666666</v>
      </c>
      <c r="O54" s="12">
        <f t="shared" si="11"/>
        <v>28333333.33333341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26.08.25'!$C$5:$F$165,4,0)</f>
        <v>85.517899999999997</v>
      </c>
      <c r="J55" s="84">
        <f>VLOOKUP(B55,'KASE за 26.08.25'!$C$5:$G$165,5,0)</f>
        <v>91.151200000000003</v>
      </c>
      <c r="K55" s="108">
        <v>28166666.666666742</v>
      </c>
      <c r="L55" s="74">
        <f t="shared" si="12"/>
        <v>455756166.66666675</v>
      </c>
      <c r="M55" s="85">
        <f t="shared" si="13"/>
        <v>1.7567465804936632E-2</v>
      </c>
      <c r="N55" s="13">
        <f t="shared" si="10"/>
        <v>166666.66666666666</v>
      </c>
      <c r="O55" s="12">
        <f t="shared" si="11"/>
        <v>28333333.33333341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26.08.25'!$C$5:$F$165,4,0)</f>
        <v>85.517899999999997</v>
      </c>
      <c r="J56" s="32">
        <f>VLOOKUP(B56,'KASE за 26.08.25'!$C$5:$G$165,5,0)</f>
        <v>91.151200000000003</v>
      </c>
      <c r="K56" s="107">
        <v>23176716.333333287</v>
      </c>
      <c r="L56" s="74">
        <f t="shared" si="12"/>
        <v>375015315.69233334</v>
      </c>
      <c r="M56" s="85">
        <f t="shared" si="13"/>
        <v>1.4455248697865665E-2</v>
      </c>
      <c r="N56" s="13">
        <f t="shared" si="10"/>
        <v>137140.33333333334</v>
      </c>
      <c r="O56" s="12">
        <f t="shared" si="11"/>
        <v>23313856.666666619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26.08.25'!$C$5:$F$174,4,0)</f>
        <v>90.1511</v>
      </c>
      <c r="J57" s="32">
        <f>VLOOKUP(B57,'KASE за 26.08.25'!$C$5:$G$174,5,0)</f>
        <v>93.4024</v>
      </c>
      <c r="K57" s="107">
        <v>7436876.7375000017</v>
      </c>
      <c r="L57" s="74">
        <f>D57*I57/100+K57</f>
        <v>213647601.36650002</v>
      </c>
      <c r="M57" s="85">
        <f t="shared" si="13"/>
        <v>8.2352082227727507E-3</v>
      </c>
      <c r="N57" s="13">
        <f t="shared" si="10"/>
        <v>91813.29305555555</v>
      </c>
      <c r="O57" s="12">
        <f t="shared" si="11"/>
        <v>7528690.0305555575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26.08.25'!$C$5:$F$174,4,0)</f>
        <v>70.766800000000003</v>
      </c>
      <c r="J58" s="84">
        <f>VLOOKUP(B58,'KASE за 26.08.25'!$C$5:$G$174,5,0)</f>
        <v>73.251900000000006</v>
      </c>
      <c r="K58" s="108">
        <v>12425555.555555549</v>
      </c>
      <c r="L58" s="74">
        <f t="shared" si="12"/>
        <v>366259555.55555552</v>
      </c>
      <c r="M58" s="85">
        <f t="shared" si="13"/>
        <v>1.4117751307706225E-2</v>
      </c>
      <c r="N58" s="13">
        <f t="shared" si="10"/>
        <v>117222.2222222222</v>
      </c>
      <c r="O58" s="12">
        <f t="shared" si="11"/>
        <v>12542777.777777771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26.08.25'!$C$5:$F$174,4,0)</f>
        <v>90.1511</v>
      </c>
      <c r="J59" s="84">
        <f>VLOOKUP(B59,'KASE за 26.08.25'!$C$5:$G$174,5,0)</f>
        <v>93.4024</v>
      </c>
      <c r="K59" s="108">
        <v>16256249.999999994</v>
      </c>
      <c r="L59" s="74">
        <f t="shared" si="12"/>
        <v>467011750</v>
      </c>
      <c r="M59" s="85">
        <f t="shared" si="13"/>
        <v>1.8001320769026597E-2</v>
      </c>
      <c r="N59" s="13">
        <f t="shared" si="10"/>
        <v>200694.44444444444</v>
      </c>
      <c r="O59" s="12">
        <f t="shared" si="11"/>
        <v>16456944.444444438</v>
      </c>
      <c r="Q59" s="3"/>
      <c r="R59" s="12"/>
    </row>
    <row r="60" spans="1:18" ht="15.75" thickBot="1" x14ac:dyDescent="0.3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26.08.25'!$C$5:$F$174,4,0)</f>
        <v>55.5548</v>
      </c>
      <c r="J60" s="84">
        <f>VLOOKUP(B60,'KASE за 26.08.25'!$C$5:$G$174,5,0)</f>
        <v>56.273800000000001</v>
      </c>
      <c r="K60" s="108">
        <v>121091.4680555555</v>
      </c>
      <c r="L60" s="74">
        <f t="shared" si="12"/>
        <v>9477075.3360555544</v>
      </c>
      <c r="M60" s="85">
        <f t="shared" si="13"/>
        <v>3.6530102952777216E-4</v>
      </c>
      <c r="N60" s="13">
        <f t="shared" si="10"/>
        <v>3906.1763888888881</v>
      </c>
      <c r="O60" s="12">
        <f t="shared" si="11"/>
        <v>124997.64444444438</v>
      </c>
      <c r="Q60" s="3"/>
      <c r="R60" s="12"/>
    </row>
    <row r="61" spans="1:18" ht="15.75" thickBot="1" x14ac:dyDescent="0.3">
      <c r="A61" s="71" t="s">
        <v>14</v>
      </c>
      <c r="B61" s="70"/>
      <c r="C61" s="69">
        <f>SUM(C6:C60)</f>
        <v>32121800</v>
      </c>
      <c r="D61" s="69">
        <f>SUM(D6:D60)</f>
        <v>32121800000</v>
      </c>
      <c r="E61" s="67"/>
      <c r="F61" s="66"/>
      <c r="G61" s="66"/>
      <c r="H61" s="69">
        <f>SUM(H6:H60)</f>
        <v>27560502168.966198</v>
      </c>
      <c r="I61" s="65"/>
      <c r="J61" s="68"/>
      <c r="K61" s="112">
        <f>SUM(K6:K60)</f>
        <v>1261184890.2461047</v>
      </c>
      <c r="L61" s="112">
        <f>SUM(L6:L60)</f>
        <v>25943193612.968056</v>
      </c>
      <c r="M61" s="109">
        <f>SUM(M6:M60)</f>
        <v>0.99999999999999967</v>
      </c>
      <c r="N61" s="13">
        <v>25943193612.968056</v>
      </c>
      <c r="O61" s="41">
        <f>L61-N61</f>
        <v>0</v>
      </c>
    </row>
    <row r="62" spans="1:18" x14ac:dyDescent="0.25">
      <c r="J62" s="4"/>
      <c r="K62" s="101"/>
      <c r="L62" s="42"/>
      <c r="M62" s="8"/>
      <c r="N62" s="39"/>
      <c r="O62" s="8"/>
    </row>
    <row r="63" spans="1:18" ht="15.75" thickBot="1" x14ac:dyDescent="0.3">
      <c r="A63" s="5" t="s">
        <v>383</v>
      </c>
      <c r="H63" s="96"/>
      <c r="K63" s="38"/>
      <c r="L63" s="44"/>
      <c r="M63" s="8"/>
      <c r="N63" s="122"/>
      <c r="O63" s="8"/>
    </row>
    <row r="64" spans="1:18" ht="15.75" thickBot="1" x14ac:dyDescent="0.3">
      <c r="A64" s="36" t="s">
        <v>240</v>
      </c>
      <c r="B64" s="37">
        <v>573503.31000000006</v>
      </c>
      <c r="C64" s="8">
        <v>573503.31000000006</v>
      </c>
      <c r="D64" s="8">
        <f>B64-C64</f>
        <v>0</v>
      </c>
      <c r="K64" s="38"/>
      <c r="L64" s="44"/>
      <c r="M64" s="93"/>
      <c r="N64" s="123"/>
      <c r="O64" s="8"/>
    </row>
    <row r="65" spans="1:17" x14ac:dyDescent="0.25">
      <c r="N65" s="90"/>
      <c r="O65" s="8"/>
      <c r="Q65" s="8"/>
    </row>
    <row r="66" spans="1:17" ht="15.75" thickBot="1" x14ac:dyDescent="0.3">
      <c r="A66" s="5" t="s">
        <v>241</v>
      </c>
      <c r="N66" s="91"/>
      <c r="O66" s="93"/>
    </row>
    <row r="67" spans="1:17" ht="34.5" customHeight="1" thickBot="1" x14ac:dyDescent="0.3">
      <c r="A67" s="1" t="s">
        <v>242</v>
      </c>
      <c r="B67" s="1" t="s">
        <v>243</v>
      </c>
      <c r="C67" s="1" t="s">
        <v>244</v>
      </c>
      <c r="D67" s="1" t="s">
        <v>245</v>
      </c>
      <c r="E67" s="1" t="s">
        <v>246</v>
      </c>
      <c r="F67" s="1" t="s">
        <v>247</v>
      </c>
      <c r="G67" s="1" t="s">
        <v>248</v>
      </c>
      <c r="H67" s="1" t="s">
        <v>249</v>
      </c>
      <c r="I67" s="1" t="s">
        <v>346</v>
      </c>
      <c r="J67" s="1" t="s">
        <v>347</v>
      </c>
      <c r="K67" s="1" t="s">
        <v>348</v>
      </c>
      <c r="L67" s="1" t="s">
        <v>250</v>
      </c>
      <c r="M67" s="1" t="s">
        <v>349</v>
      </c>
    </row>
    <row r="68" spans="1:17" s="17" customFormat="1" ht="15" customHeight="1" x14ac:dyDescent="0.25">
      <c r="A68" s="55" t="s">
        <v>400</v>
      </c>
      <c r="B68" s="56" t="s">
        <v>6</v>
      </c>
      <c r="C68" s="57">
        <v>1807855</v>
      </c>
      <c r="D68" s="58" t="s">
        <v>240</v>
      </c>
      <c r="E68" s="46">
        <v>45894</v>
      </c>
      <c r="F68" s="46">
        <v>45895</v>
      </c>
      <c r="G68" s="59">
        <v>910.37800000000004</v>
      </c>
      <c r="H68" s="59">
        <v>910.76509771524798</v>
      </c>
      <c r="I68" s="57">
        <v>1645831419.1900001</v>
      </c>
      <c r="J68" s="57">
        <v>1646531235.73</v>
      </c>
      <c r="K68" s="60">
        <v>15.5200000511421</v>
      </c>
      <c r="L68" s="18">
        <f t="shared" ref="L68:L71" si="15">IF(($B$1-E68)=0,0,(J68-I68)/(F68-E68)*($B$1-E68))</f>
        <v>699816.53999996185</v>
      </c>
      <c r="M68" s="18">
        <f t="shared" ref="M68:M71" si="16">IF((F68=$B$1),0,(I68+L68))</f>
        <v>0</v>
      </c>
      <c r="N68" s="16"/>
    </row>
    <row r="69" spans="1:17" s="17" customFormat="1" ht="15" customHeight="1" x14ac:dyDescent="0.25">
      <c r="A69" s="55" t="s">
        <v>400</v>
      </c>
      <c r="B69" s="56" t="s">
        <v>2287</v>
      </c>
      <c r="C69" s="57">
        <v>18290</v>
      </c>
      <c r="D69" s="58" t="s">
        <v>240</v>
      </c>
      <c r="E69" s="46">
        <v>45894</v>
      </c>
      <c r="F69" s="46">
        <v>45895</v>
      </c>
      <c r="G69" s="59">
        <v>546.76859978130096</v>
      </c>
      <c r="H69" s="59">
        <v>547.00079059595396</v>
      </c>
      <c r="I69" s="57">
        <v>10000397.689999999</v>
      </c>
      <c r="J69" s="57">
        <v>10004644.460000001</v>
      </c>
      <c r="K69" s="60">
        <v>15.5000940767587</v>
      </c>
      <c r="L69" s="18">
        <f t="shared" si="15"/>
        <v>4246.7700000014156</v>
      </c>
      <c r="M69" s="18">
        <f t="shared" si="16"/>
        <v>0</v>
      </c>
      <c r="N69" s="16"/>
    </row>
    <row r="70" spans="1:17" s="17" customFormat="1" ht="15" customHeight="1" x14ac:dyDescent="0.25">
      <c r="A70" s="55" t="s">
        <v>2845</v>
      </c>
      <c r="B70" s="56" t="s">
        <v>2449</v>
      </c>
      <c r="C70" s="57">
        <v>16606494</v>
      </c>
      <c r="D70" s="58" t="s">
        <v>240</v>
      </c>
      <c r="E70" s="46">
        <v>45895</v>
      </c>
      <c r="F70" s="46">
        <v>45896</v>
      </c>
      <c r="G70" s="59">
        <v>99.124199999710996</v>
      </c>
      <c r="H70" s="59">
        <v>99.166348152716594</v>
      </c>
      <c r="I70" s="57">
        <v>1646105432.55</v>
      </c>
      <c r="J70" s="57">
        <v>1646805365.5999999</v>
      </c>
      <c r="K70" s="60">
        <v>15.520000007183</v>
      </c>
      <c r="L70" s="18">
        <f t="shared" si="15"/>
        <v>0</v>
      </c>
      <c r="M70" s="18">
        <f t="shared" si="16"/>
        <v>1646105432.55</v>
      </c>
      <c r="N70" s="16"/>
    </row>
    <row r="71" spans="1:17" s="17" customFormat="1" ht="15" customHeight="1" x14ac:dyDescent="0.25">
      <c r="A71" s="55" t="s">
        <v>400</v>
      </c>
      <c r="B71" s="56" t="s">
        <v>151</v>
      </c>
      <c r="C71" s="57">
        <v>10620</v>
      </c>
      <c r="D71" s="58" t="s">
        <v>240</v>
      </c>
      <c r="E71" s="46">
        <v>45895</v>
      </c>
      <c r="F71" s="46">
        <v>45896</v>
      </c>
      <c r="G71" s="59">
        <v>942.12800000000004</v>
      </c>
      <c r="H71" s="59">
        <v>942.52859792843697</v>
      </c>
      <c r="I71" s="57">
        <v>10005399.359999999</v>
      </c>
      <c r="J71" s="57">
        <v>10009653.710000001</v>
      </c>
      <c r="K71" s="60">
        <v>15.5199976945248</v>
      </c>
      <c r="L71" s="18">
        <f t="shared" si="15"/>
        <v>0</v>
      </c>
      <c r="M71" s="18">
        <f t="shared" si="16"/>
        <v>10005399.359999999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1" t="s">
        <v>14</v>
      </c>
      <c r="B73" s="70"/>
      <c r="C73" s="69">
        <f>SUM(C68:C71)</f>
        <v>18443259</v>
      </c>
      <c r="D73" s="80"/>
      <c r="E73" s="79"/>
      <c r="F73" s="80"/>
      <c r="G73" s="78"/>
      <c r="H73" s="80"/>
      <c r="I73" s="69">
        <f>SUM(I68:I71)</f>
        <v>3311942648.7900004</v>
      </c>
      <c r="J73" s="69">
        <f>SUM(J68:J71)</f>
        <v>3313350899.5</v>
      </c>
      <c r="K73" s="77"/>
      <c r="L73" s="69">
        <f>SUM(L68:L71)</f>
        <v>704063.30999996327</v>
      </c>
      <c r="M73" s="69">
        <f>SUM(M68:M71)</f>
        <v>1656110831.9099998</v>
      </c>
      <c r="N73" s="126">
        <v>1656110831.9099998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381</v>
      </c>
      <c r="L76" s="10"/>
      <c r="M76" s="11"/>
    </row>
    <row r="77" spans="1:17" ht="22.5" x14ac:dyDescent="0.25">
      <c r="A77" s="103" t="s">
        <v>16</v>
      </c>
      <c r="B77" s="103" t="s">
        <v>251</v>
      </c>
      <c r="C77" s="103" t="s">
        <v>245</v>
      </c>
      <c r="D77" s="103" t="s">
        <v>252</v>
      </c>
      <c r="E77" s="103" t="s">
        <v>244</v>
      </c>
      <c r="F77" s="103" t="s">
        <v>253</v>
      </c>
      <c r="G77" s="103" t="s">
        <v>254</v>
      </c>
      <c r="L77" s="10"/>
      <c r="M77" s="11"/>
    </row>
    <row r="78" spans="1:17" x14ac:dyDescent="0.25">
      <c r="A78" s="28"/>
      <c r="B78" s="28"/>
      <c r="C78" s="102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104"/>
      <c r="C79" s="104"/>
      <c r="D79" s="104"/>
      <c r="E79" s="104"/>
      <c r="F79" s="104"/>
      <c r="G79" s="105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255</v>
      </c>
      <c r="B81" s="35">
        <f>L61+B64+M73+G79</f>
        <v>27599877948.188057</v>
      </c>
      <c r="C81" s="126">
        <v>27599877948.188057</v>
      </c>
      <c r="D81" s="3">
        <f>B81-C81</f>
        <v>0</v>
      </c>
      <c r="L81" s="10"/>
      <c r="M81" s="10"/>
    </row>
    <row r="82" spans="1:14" x14ac:dyDescent="0.25">
      <c r="L82" s="10"/>
    </row>
    <row r="83" spans="1:14" x14ac:dyDescent="0.25">
      <c r="B83" s="38"/>
      <c r="G83" s="8"/>
    </row>
    <row r="84" spans="1:14" ht="15.75" x14ac:dyDescent="0.25">
      <c r="A84" s="19"/>
      <c r="B84" s="95"/>
    </row>
    <row r="85" spans="1:14" x14ac:dyDescent="0.25">
      <c r="A85" s="6" t="s">
        <v>379</v>
      </c>
      <c r="L85" s="13"/>
      <c r="N85"/>
    </row>
    <row r="86" spans="1:14" ht="15.75" x14ac:dyDescent="0.25">
      <c r="A86" s="20" t="s">
        <v>256</v>
      </c>
      <c r="B86" s="21">
        <f>4020961.36-4020961.36</f>
        <v>0</v>
      </c>
      <c r="K86" s="13"/>
      <c r="N86"/>
    </row>
    <row r="87" spans="1:14" ht="15.75" x14ac:dyDescent="0.25">
      <c r="A87" s="20" t="s">
        <v>257</v>
      </c>
      <c r="B87" s="22"/>
      <c r="K87" s="13"/>
      <c r="N87"/>
    </row>
    <row r="88" spans="1:14" ht="15.75" x14ac:dyDescent="0.25">
      <c r="A88" s="20" t="s">
        <v>258</v>
      </c>
      <c r="B88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+2000+2000</f>
        <v>64999.999999999942</v>
      </c>
      <c r="C88" s="8"/>
      <c r="F88" s="8"/>
      <c r="K88" s="13"/>
      <c r="N88"/>
    </row>
    <row r="89" spans="1:14" ht="15.75" x14ac:dyDescent="0.25">
      <c r="A89" s="20" t="s">
        <v>259</v>
      </c>
      <c r="B89" s="22"/>
      <c r="K89" s="13"/>
      <c r="N89"/>
    </row>
    <row r="90" spans="1:14" ht="15.75" x14ac:dyDescent="0.25">
      <c r="A90" s="24" t="s">
        <v>382</v>
      </c>
      <c r="B90" s="21">
        <f>365447.82+31954.05</f>
        <v>397401.87</v>
      </c>
      <c r="C90" s="8"/>
      <c r="D90" s="8"/>
      <c r="K90" s="13"/>
      <c r="N90"/>
    </row>
    <row r="91" spans="1:14" ht="15.75" x14ac:dyDescent="0.25">
      <c r="A91" s="20" t="s">
        <v>260</v>
      </c>
      <c r="B91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+2508.48</f>
        <v>164259.53</v>
      </c>
      <c r="K91" s="13"/>
      <c r="N91"/>
    </row>
    <row r="92" spans="1:14" ht="15.75" x14ac:dyDescent="0.25">
      <c r="A92" s="20" t="s">
        <v>261</v>
      </c>
      <c r="B92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+1241.87+1242.08</f>
        <v>105785.20000000001</v>
      </c>
      <c r="K92" s="13"/>
      <c r="N92"/>
    </row>
    <row r="93" spans="1:14" ht="15.75" x14ac:dyDescent="0.25">
      <c r="A93" s="20" t="s">
        <v>262</v>
      </c>
      <c r="B93" s="22"/>
      <c r="K93" s="13"/>
      <c r="N93"/>
    </row>
    <row r="94" spans="1:14" ht="17.25" customHeight="1" x14ac:dyDescent="0.25">
      <c r="A94" s="24" t="s">
        <v>263</v>
      </c>
      <c r="B94" s="22"/>
      <c r="K94" s="13"/>
      <c r="N94"/>
    </row>
    <row r="95" spans="1:14" ht="15.75" x14ac:dyDescent="0.25">
      <c r="A95" s="24" t="s">
        <v>264</v>
      </c>
      <c r="B95" s="22"/>
      <c r="K95" s="13"/>
      <c r="N95"/>
    </row>
    <row r="96" spans="1:14" ht="15.75" x14ac:dyDescent="0.25">
      <c r="A96" s="26" t="s">
        <v>380</v>
      </c>
      <c r="B96" s="25">
        <f>SUM(B86:B95)</f>
        <v>732446.59999999986</v>
      </c>
      <c r="L96" s="13"/>
      <c r="N96"/>
    </row>
    <row r="97" spans="12:14" x14ac:dyDescent="0.25">
      <c r="L97" s="13"/>
      <c r="N97"/>
    </row>
  </sheetData>
  <autoFilter ref="A67:T67" xr:uid="{00000000-0009-0000-0000-000000000000}"/>
  <conditionalFormatting sqref="F68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45895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344</v>
      </c>
      <c r="C3" s="124" t="s">
        <v>0</v>
      </c>
      <c r="D3" s="124" t="s">
        <v>17</v>
      </c>
      <c r="E3" s="124" t="s">
        <v>339</v>
      </c>
      <c r="F3" s="124" t="s">
        <v>340</v>
      </c>
      <c r="G3" s="124" t="s">
        <v>341</v>
      </c>
      <c r="H3" s="124" t="s">
        <v>2106</v>
      </c>
      <c r="I3" s="124" t="s">
        <v>342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2349</v>
      </c>
      <c r="F5" s="62">
        <v>746.2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2311</v>
      </c>
      <c r="C6" s="62" t="s">
        <v>527</v>
      </c>
      <c r="D6" s="62" t="s">
        <v>2350</v>
      </c>
      <c r="E6" s="62" t="s">
        <v>2349</v>
      </c>
      <c r="F6" s="62">
        <v>5.69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2312</v>
      </c>
      <c r="C7" s="62" t="s">
        <v>24</v>
      </c>
      <c r="D7" s="62" t="s">
        <v>19</v>
      </c>
      <c r="E7" s="62" t="s">
        <v>2351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2313</v>
      </c>
      <c r="C8" s="62" t="s">
        <v>437</v>
      </c>
      <c r="D8" s="62" t="s">
        <v>2352</v>
      </c>
      <c r="E8" s="62" t="s">
        <v>2353</v>
      </c>
      <c r="F8" s="62">
        <v>100.015</v>
      </c>
      <c r="G8" s="62">
        <v>101.34829999999999</v>
      </c>
      <c r="H8" s="62" t="s">
        <v>2455</v>
      </c>
      <c r="I8" s="62" t="s">
        <v>2640</v>
      </c>
      <c r="J8" s="62" t="s">
        <v>271</v>
      </c>
    </row>
    <row r="9" spans="1:10" ht="15" x14ac:dyDescent="0.25">
      <c r="A9" s="40">
        <v>5</v>
      </c>
      <c r="B9" s="62" t="s">
        <v>2456</v>
      </c>
      <c r="C9" s="62" t="s">
        <v>27</v>
      </c>
      <c r="D9" s="62" t="s">
        <v>2354</v>
      </c>
      <c r="E9" s="62" t="s">
        <v>2355</v>
      </c>
      <c r="F9" s="63">
        <v>1465.25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2457</v>
      </c>
      <c r="C10" s="62" t="s">
        <v>743</v>
      </c>
      <c r="D10" s="62" t="s">
        <v>2354</v>
      </c>
      <c r="E10" s="62" t="s">
        <v>2355</v>
      </c>
      <c r="F10" s="62">
        <v>6.97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2458</v>
      </c>
      <c r="C11" s="62" t="s">
        <v>2228</v>
      </c>
      <c r="D11" s="62" t="s">
        <v>2352</v>
      </c>
      <c r="E11" s="62" t="s">
        <v>2241</v>
      </c>
      <c r="F11" s="62">
        <v>99.890299999999996</v>
      </c>
      <c r="G11" s="62">
        <v>104.6028</v>
      </c>
      <c r="H11" s="62" t="s">
        <v>2440</v>
      </c>
      <c r="I11" s="62" t="s">
        <v>2641</v>
      </c>
      <c r="J11" s="62" t="s">
        <v>271</v>
      </c>
    </row>
    <row r="12" spans="1:10" ht="15" x14ac:dyDescent="0.25">
      <c r="A12" s="40">
        <v>8</v>
      </c>
      <c r="B12" s="62" t="s">
        <v>2459</v>
      </c>
      <c r="C12" s="62" t="s">
        <v>2139</v>
      </c>
      <c r="D12" s="62" t="s">
        <v>2352</v>
      </c>
      <c r="E12" s="62" t="s">
        <v>2356</v>
      </c>
      <c r="F12" s="62">
        <v>102.63</v>
      </c>
      <c r="G12" s="62">
        <v>104.8019</v>
      </c>
      <c r="H12" s="62" t="s">
        <v>2348</v>
      </c>
      <c r="I12" s="62" t="s">
        <v>2642</v>
      </c>
      <c r="J12" s="62" t="s">
        <v>271</v>
      </c>
    </row>
    <row r="13" spans="1:10" ht="15.75" customHeight="1" x14ac:dyDescent="0.25">
      <c r="A13" s="40">
        <v>9</v>
      </c>
      <c r="B13" s="62" t="s">
        <v>2460</v>
      </c>
      <c r="C13" s="62" t="s">
        <v>31</v>
      </c>
      <c r="D13" s="62" t="s">
        <v>2352</v>
      </c>
      <c r="E13" s="62" t="s">
        <v>2356</v>
      </c>
      <c r="F13" s="62">
        <v>100.0093</v>
      </c>
      <c r="G13" s="62">
        <v>102.55929999999999</v>
      </c>
      <c r="H13" s="62" t="s">
        <v>2643</v>
      </c>
      <c r="I13" s="62" t="s">
        <v>2644</v>
      </c>
      <c r="J13" s="62" t="s">
        <v>271</v>
      </c>
    </row>
    <row r="14" spans="1:10" ht="15.75" customHeight="1" x14ac:dyDescent="0.25">
      <c r="A14" s="40">
        <v>10</v>
      </c>
      <c r="B14" s="62" t="s">
        <v>2461</v>
      </c>
      <c r="C14" s="62" t="s">
        <v>2207</v>
      </c>
      <c r="D14" s="62" t="s">
        <v>2352</v>
      </c>
      <c r="E14" s="62" t="s">
        <v>2357</v>
      </c>
      <c r="F14" s="62">
        <v>101.1559</v>
      </c>
      <c r="G14" s="62">
        <v>102.79089999999999</v>
      </c>
      <c r="H14" s="62" t="s">
        <v>2348</v>
      </c>
      <c r="I14" s="62" t="s">
        <v>2645</v>
      </c>
      <c r="J14" s="62" t="s">
        <v>271</v>
      </c>
    </row>
    <row r="15" spans="1:10" ht="15.75" customHeight="1" x14ac:dyDescent="0.25">
      <c r="A15" s="40">
        <v>11</v>
      </c>
      <c r="B15" s="62" t="s">
        <v>2462</v>
      </c>
      <c r="C15" s="62" t="s">
        <v>33</v>
      </c>
      <c r="D15" s="62" t="s">
        <v>19</v>
      </c>
      <c r="E15" s="62" t="s">
        <v>2358</v>
      </c>
      <c r="F15" s="63">
        <v>4458.18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2463</v>
      </c>
      <c r="C16" s="62" t="s">
        <v>36</v>
      </c>
      <c r="D16" s="62" t="s">
        <v>19</v>
      </c>
      <c r="E16" s="62" t="s">
        <v>2358</v>
      </c>
      <c r="F16" s="63">
        <v>6635.48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2464</v>
      </c>
      <c r="C17" s="62" t="s">
        <v>38</v>
      </c>
      <c r="D17" s="62" t="s">
        <v>2354</v>
      </c>
      <c r="E17" s="62" t="s">
        <v>237</v>
      </c>
      <c r="F17" s="63">
        <v>5886779.1500000004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2465</v>
      </c>
      <c r="C18" s="62" t="s">
        <v>41</v>
      </c>
      <c r="D18" s="62" t="s">
        <v>2354</v>
      </c>
      <c r="E18" s="62" t="s">
        <v>237</v>
      </c>
      <c r="F18" s="63">
        <v>1746265.62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2466</v>
      </c>
      <c r="C19" s="62" t="s">
        <v>44</v>
      </c>
      <c r="D19" s="62" t="s">
        <v>2359</v>
      </c>
      <c r="E19" s="62" t="s">
        <v>42</v>
      </c>
      <c r="F19" s="62">
        <v>99.759600000000006</v>
      </c>
      <c r="G19" s="62">
        <v>102.2383</v>
      </c>
      <c r="H19" s="62" t="s">
        <v>2441</v>
      </c>
      <c r="I19" s="62" t="s">
        <v>2646</v>
      </c>
      <c r="J19" s="62" t="s">
        <v>271</v>
      </c>
    </row>
    <row r="20" spans="1:10" ht="15" x14ac:dyDescent="0.25">
      <c r="A20" s="40">
        <v>16</v>
      </c>
      <c r="B20" s="62" t="s">
        <v>2467</v>
      </c>
      <c r="C20" s="62" t="s">
        <v>2052</v>
      </c>
      <c r="D20" s="62" t="s">
        <v>2359</v>
      </c>
      <c r="E20" s="62" t="s">
        <v>42</v>
      </c>
      <c r="F20" s="62">
        <v>100</v>
      </c>
      <c r="G20" s="62">
        <v>100.0445</v>
      </c>
      <c r="H20" s="62" t="s">
        <v>2432</v>
      </c>
      <c r="I20" s="62" t="s">
        <v>2647</v>
      </c>
      <c r="J20" s="62" t="s">
        <v>271</v>
      </c>
    </row>
    <row r="21" spans="1:10" ht="15" x14ac:dyDescent="0.25">
      <c r="A21" s="40">
        <v>17</v>
      </c>
      <c r="B21" s="62" t="s">
        <v>2468</v>
      </c>
      <c r="C21" s="62" t="s">
        <v>2103</v>
      </c>
      <c r="D21" s="62" t="s">
        <v>2359</v>
      </c>
      <c r="E21" s="62" t="s">
        <v>42</v>
      </c>
      <c r="F21" s="62">
        <v>100</v>
      </c>
      <c r="G21" s="62">
        <v>107.2877</v>
      </c>
      <c r="H21" s="62" t="s">
        <v>2424</v>
      </c>
      <c r="I21" s="62" t="s">
        <v>2648</v>
      </c>
      <c r="J21" s="62" t="s">
        <v>271</v>
      </c>
    </row>
    <row r="22" spans="1:10" ht="15" x14ac:dyDescent="0.25">
      <c r="A22" s="40">
        <v>18</v>
      </c>
      <c r="B22" s="62" t="s">
        <v>2649</v>
      </c>
      <c r="C22" s="62" t="s">
        <v>46</v>
      </c>
      <c r="D22" s="62" t="s">
        <v>2354</v>
      </c>
      <c r="E22" s="62" t="s">
        <v>2360</v>
      </c>
      <c r="F22" s="63">
        <v>5485.73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2650</v>
      </c>
      <c r="C23" s="62" t="s">
        <v>994</v>
      </c>
      <c r="D23" s="62" t="s">
        <v>2354</v>
      </c>
      <c r="E23" s="62" t="s">
        <v>2412</v>
      </c>
      <c r="F23" s="63">
        <v>1034.92</v>
      </c>
      <c r="G23" s="62" t="s">
        <v>343</v>
      </c>
      <c r="H23" s="62" t="s">
        <v>343</v>
      </c>
      <c r="I23" s="62" t="s">
        <v>343</v>
      </c>
      <c r="J23" s="62" t="s">
        <v>2007</v>
      </c>
    </row>
    <row r="24" spans="1:10" ht="15" x14ac:dyDescent="0.25">
      <c r="A24" s="40">
        <v>20</v>
      </c>
      <c r="B24" s="62" t="s">
        <v>2651</v>
      </c>
      <c r="C24" s="62" t="s">
        <v>1000</v>
      </c>
      <c r="D24" s="62" t="s">
        <v>2354</v>
      </c>
      <c r="E24" s="62" t="s">
        <v>2412</v>
      </c>
      <c r="F24" s="63">
        <v>1162.49</v>
      </c>
      <c r="G24" s="62" t="s">
        <v>343</v>
      </c>
      <c r="H24" s="62" t="s">
        <v>343</v>
      </c>
      <c r="I24" s="62" t="s">
        <v>343</v>
      </c>
      <c r="J24" s="62" t="s">
        <v>2007</v>
      </c>
    </row>
    <row r="25" spans="1:10" ht="15" x14ac:dyDescent="0.25">
      <c r="A25" s="40">
        <v>21</v>
      </c>
      <c r="B25" s="62" t="s">
        <v>2652</v>
      </c>
      <c r="C25" s="62" t="s">
        <v>2060</v>
      </c>
      <c r="D25" s="62" t="s">
        <v>2352</v>
      </c>
      <c r="E25" s="62" t="s">
        <v>2361</v>
      </c>
      <c r="F25" s="62">
        <v>99.799000000000007</v>
      </c>
      <c r="G25" s="62">
        <v>108.8236</v>
      </c>
      <c r="H25" s="62" t="s">
        <v>2413</v>
      </c>
      <c r="I25" s="62" t="s">
        <v>2653</v>
      </c>
      <c r="J25" s="62" t="s">
        <v>271</v>
      </c>
    </row>
    <row r="26" spans="1:10" ht="15" x14ac:dyDescent="0.25">
      <c r="A26" s="40">
        <v>22</v>
      </c>
      <c r="B26" s="62" t="s">
        <v>2654</v>
      </c>
      <c r="C26" s="62" t="s">
        <v>2343</v>
      </c>
      <c r="D26" s="62" t="s">
        <v>2352</v>
      </c>
      <c r="E26" s="62" t="s">
        <v>2361</v>
      </c>
      <c r="F26" s="62">
        <v>101.0196</v>
      </c>
      <c r="G26" s="62">
        <v>103.2479</v>
      </c>
      <c r="H26" s="62" t="s">
        <v>2478</v>
      </c>
      <c r="I26" s="62" t="s">
        <v>2655</v>
      </c>
      <c r="J26" s="62" t="s">
        <v>271</v>
      </c>
    </row>
    <row r="27" spans="1:10" ht="15" x14ac:dyDescent="0.25">
      <c r="A27" s="40">
        <v>23</v>
      </c>
      <c r="B27" s="62" t="s">
        <v>2656</v>
      </c>
      <c r="C27" s="62" t="s">
        <v>56</v>
      </c>
      <c r="D27" s="62" t="s">
        <v>2354</v>
      </c>
      <c r="E27" s="62" t="s">
        <v>2362</v>
      </c>
      <c r="F27" s="63">
        <v>53156.59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2657</v>
      </c>
      <c r="C28" s="62" t="s">
        <v>58</v>
      </c>
      <c r="D28" s="62" t="s">
        <v>2354</v>
      </c>
      <c r="E28" s="62" t="s">
        <v>2362</v>
      </c>
      <c r="F28" s="63">
        <v>73837.990000000005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2658</v>
      </c>
      <c r="C29" s="62" t="s">
        <v>60</v>
      </c>
      <c r="D29" s="62" t="s">
        <v>2354</v>
      </c>
      <c r="E29" s="62" t="s">
        <v>2362</v>
      </c>
      <c r="F29" s="63">
        <v>72906.899999999994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2659</v>
      </c>
      <c r="C30" s="62" t="s">
        <v>62</v>
      </c>
      <c r="D30" s="62" t="s">
        <v>2354</v>
      </c>
      <c r="E30" s="62" t="s">
        <v>2362</v>
      </c>
      <c r="F30" s="63">
        <v>580686.49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2660</v>
      </c>
      <c r="C31" s="62" t="s">
        <v>64</v>
      </c>
      <c r="D31" s="62" t="s">
        <v>19</v>
      </c>
      <c r="E31" s="62" t="s">
        <v>2363</v>
      </c>
      <c r="F31" s="62">
        <v>370.39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2661</v>
      </c>
      <c r="C32" s="62" t="s">
        <v>370</v>
      </c>
      <c r="D32" s="62" t="s">
        <v>2350</v>
      </c>
      <c r="E32" s="62" t="s">
        <v>2363</v>
      </c>
      <c r="F32" s="62">
        <v>26.73</v>
      </c>
      <c r="G32" s="62" t="s">
        <v>343</v>
      </c>
      <c r="H32" s="62" t="s">
        <v>343</v>
      </c>
      <c r="I32" s="62" t="s">
        <v>343</v>
      </c>
      <c r="J32" s="62" t="s">
        <v>2007</v>
      </c>
    </row>
    <row r="33" spans="1:10" ht="15" x14ac:dyDescent="0.25">
      <c r="A33" s="40">
        <v>29</v>
      </c>
      <c r="B33" s="62" t="s">
        <v>2662</v>
      </c>
      <c r="C33" s="62" t="s">
        <v>67</v>
      </c>
      <c r="D33" s="62" t="s">
        <v>19</v>
      </c>
      <c r="E33" s="62" t="s">
        <v>2364</v>
      </c>
      <c r="F33" s="63">
        <v>9355.15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2663</v>
      </c>
      <c r="C34" s="62" t="s">
        <v>80</v>
      </c>
      <c r="D34" s="62" t="s">
        <v>19</v>
      </c>
      <c r="E34" s="62" t="s">
        <v>2365</v>
      </c>
      <c r="F34" s="63">
        <v>3383.02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2664</v>
      </c>
      <c r="C35" s="62" t="s">
        <v>83</v>
      </c>
      <c r="D35" s="62" t="s">
        <v>19</v>
      </c>
      <c r="E35" s="62" t="s">
        <v>2366</v>
      </c>
      <c r="F35" s="63">
        <v>1440.15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2665</v>
      </c>
      <c r="C36" s="62" t="s">
        <v>273</v>
      </c>
      <c r="D36" s="62" t="s">
        <v>2352</v>
      </c>
      <c r="E36" s="62" t="s">
        <v>2442</v>
      </c>
      <c r="F36" s="62">
        <v>100.10760000000001</v>
      </c>
      <c r="G36" s="62">
        <v>104.3203</v>
      </c>
      <c r="H36" s="62" t="s">
        <v>2666</v>
      </c>
      <c r="I36" s="62" t="s">
        <v>2667</v>
      </c>
      <c r="J36" s="62" t="s">
        <v>271</v>
      </c>
    </row>
    <row r="37" spans="1:10" ht="15" x14ac:dyDescent="0.25">
      <c r="A37" s="40">
        <v>33</v>
      </c>
      <c r="B37" s="62" t="s">
        <v>2668</v>
      </c>
      <c r="C37" s="62" t="s">
        <v>275</v>
      </c>
      <c r="D37" s="62" t="s">
        <v>2352</v>
      </c>
      <c r="E37" s="62" t="s">
        <v>2442</v>
      </c>
      <c r="F37" s="62">
        <v>99.953999999999994</v>
      </c>
      <c r="G37" s="62">
        <v>107.1211</v>
      </c>
      <c r="H37" s="62" t="s">
        <v>2669</v>
      </c>
      <c r="I37" s="62" t="s">
        <v>2670</v>
      </c>
      <c r="J37" s="62" t="s">
        <v>271</v>
      </c>
    </row>
    <row r="38" spans="1:10" ht="15" x14ac:dyDescent="0.25">
      <c r="A38" s="40">
        <v>34</v>
      </c>
      <c r="B38" s="62" t="s">
        <v>2671</v>
      </c>
      <c r="C38" s="62" t="s">
        <v>86</v>
      </c>
      <c r="D38" s="62" t="s">
        <v>19</v>
      </c>
      <c r="E38" s="62" t="s">
        <v>2367</v>
      </c>
      <c r="F38" s="63">
        <v>19776.900000000001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2672</v>
      </c>
      <c r="C39" s="62" t="s">
        <v>89</v>
      </c>
      <c r="D39" s="62" t="s">
        <v>2352</v>
      </c>
      <c r="E39" s="62" t="s">
        <v>2367</v>
      </c>
      <c r="F39" s="62">
        <v>90.400899999999993</v>
      </c>
      <c r="G39" s="62">
        <v>92.429400000000001</v>
      </c>
      <c r="H39" s="62" t="s">
        <v>2673</v>
      </c>
      <c r="I39" s="62" t="s">
        <v>2674</v>
      </c>
      <c r="J39" s="62" t="s">
        <v>271</v>
      </c>
    </row>
    <row r="40" spans="1:10" ht="15" x14ac:dyDescent="0.25">
      <c r="A40" s="40">
        <v>36</v>
      </c>
      <c r="B40" s="62" t="s">
        <v>2675</v>
      </c>
      <c r="C40" s="62" t="s">
        <v>91</v>
      </c>
      <c r="D40" s="62" t="s">
        <v>2352</v>
      </c>
      <c r="E40" s="62" t="s">
        <v>2367</v>
      </c>
      <c r="F40" s="62">
        <v>101.8121</v>
      </c>
      <c r="G40" s="62">
        <v>103.6336</v>
      </c>
      <c r="H40" s="62" t="s">
        <v>2676</v>
      </c>
      <c r="I40" s="62" t="s">
        <v>2677</v>
      </c>
      <c r="J40" s="62" t="s">
        <v>271</v>
      </c>
    </row>
    <row r="41" spans="1:10" ht="15" x14ac:dyDescent="0.25">
      <c r="A41" s="40">
        <v>37</v>
      </c>
      <c r="B41" s="62" t="s">
        <v>2678</v>
      </c>
      <c r="C41" s="62" t="s">
        <v>93</v>
      </c>
      <c r="D41" s="62" t="s">
        <v>2352</v>
      </c>
      <c r="E41" s="62" t="s">
        <v>2367</v>
      </c>
      <c r="F41" s="62">
        <v>96.002700000000004</v>
      </c>
      <c r="G41" s="62">
        <v>98.1631</v>
      </c>
      <c r="H41" s="62" t="s">
        <v>2679</v>
      </c>
      <c r="I41" s="62" t="s">
        <v>2680</v>
      </c>
      <c r="J41" s="62" t="s">
        <v>271</v>
      </c>
    </row>
    <row r="42" spans="1:10" ht="15" x14ac:dyDescent="0.25">
      <c r="A42" s="40">
        <v>38</v>
      </c>
      <c r="B42" s="62" t="s">
        <v>2681</v>
      </c>
      <c r="C42" s="62" t="s">
        <v>95</v>
      </c>
      <c r="D42" s="62" t="s">
        <v>2352</v>
      </c>
      <c r="E42" s="62" t="s">
        <v>2367</v>
      </c>
      <c r="F42" s="62">
        <v>88.541600000000003</v>
      </c>
      <c r="G42" s="62">
        <v>89.8249</v>
      </c>
      <c r="H42" s="62" t="s">
        <v>2682</v>
      </c>
      <c r="I42" s="62" t="s">
        <v>2683</v>
      </c>
      <c r="J42" s="62" t="s">
        <v>271</v>
      </c>
    </row>
    <row r="43" spans="1:10" ht="15" x14ac:dyDescent="0.25">
      <c r="A43" s="40">
        <v>39</v>
      </c>
      <c r="B43" s="62" t="s">
        <v>2684</v>
      </c>
      <c r="C43" s="62" t="s">
        <v>97</v>
      </c>
      <c r="D43" s="62" t="s">
        <v>19</v>
      </c>
      <c r="E43" s="62" t="s">
        <v>2368</v>
      </c>
      <c r="F43" s="63">
        <v>50340.74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2685</v>
      </c>
      <c r="C44" s="62" t="s">
        <v>100</v>
      </c>
      <c r="D44" s="62" t="s">
        <v>2350</v>
      </c>
      <c r="E44" s="62" t="s">
        <v>2368</v>
      </c>
      <c r="F44" s="62">
        <v>93.59</v>
      </c>
      <c r="G44" s="62" t="s">
        <v>343</v>
      </c>
      <c r="H44" s="62" t="s">
        <v>343</v>
      </c>
      <c r="I44" s="62" t="s">
        <v>343</v>
      </c>
      <c r="J44" s="62" t="s">
        <v>2007</v>
      </c>
    </row>
    <row r="45" spans="1:10" ht="15" x14ac:dyDescent="0.25">
      <c r="A45" s="40">
        <v>41</v>
      </c>
      <c r="B45" s="62" t="s">
        <v>2686</v>
      </c>
      <c r="C45" s="62" t="s">
        <v>102</v>
      </c>
      <c r="D45" s="62" t="s">
        <v>19</v>
      </c>
      <c r="E45" s="62" t="s">
        <v>2369</v>
      </c>
      <c r="F45" s="63">
        <v>23573.95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2687</v>
      </c>
      <c r="C46" s="62" t="s">
        <v>2086</v>
      </c>
      <c r="D46" s="62" t="s">
        <v>2352</v>
      </c>
      <c r="E46" s="62" t="s">
        <v>2370</v>
      </c>
      <c r="F46" s="62">
        <v>102.8462</v>
      </c>
      <c r="G46" s="62">
        <v>112.5629</v>
      </c>
      <c r="H46" s="62" t="s">
        <v>2425</v>
      </c>
      <c r="I46" s="62" t="s">
        <v>2688</v>
      </c>
      <c r="J46" s="62" t="s">
        <v>271</v>
      </c>
    </row>
    <row r="47" spans="1:10" ht="15" x14ac:dyDescent="0.25">
      <c r="A47" s="40">
        <v>43</v>
      </c>
      <c r="B47" s="62" t="s">
        <v>2689</v>
      </c>
      <c r="C47" s="62" t="s">
        <v>104</v>
      </c>
      <c r="D47" s="62" t="s">
        <v>19</v>
      </c>
      <c r="E47" s="62" t="s">
        <v>2371</v>
      </c>
      <c r="F47" s="63">
        <v>41136.15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2690</v>
      </c>
      <c r="C48" s="62" t="s">
        <v>107</v>
      </c>
      <c r="D48" s="62" t="s">
        <v>19</v>
      </c>
      <c r="E48" s="62" t="s">
        <v>2371</v>
      </c>
      <c r="F48" s="63">
        <v>33586.36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2691</v>
      </c>
      <c r="C49" s="62" t="s">
        <v>109</v>
      </c>
      <c r="D49" s="62" t="s">
        <v>19</v>
      </c>
      <c r="E49" s="62" t="s">
        <v>2372</v>
      </c>
      <c r="F49" s="62">
        <v>807.6</v>
      </c>
      <c r="G49" s="62" t="s">
        <v>343</v>
      </c>
      <c r="H49" s="62" t="s">
        <v>343</v>
      </c>
      <c r="I49" s="62" t="s">
        <v>343</v>
      </c>
      <c r="J49" s="62" t="s">
        <v>240</v>
      </c>
    </row>
    <row r="50" spans="1:10" ht="15" x14ac:dyDescent="0.25">
      <c r="A50" s="40">
        <v>46</v>
      </c>
      <c r="B50" s="62" t="s">
        <v>2692</v>
      </c>
      <c r="C50" s="62" t="s">
        <v>1267</v>
      </c>
      <c r="D50" s="62" t="s">
        <v>2373</v>
      </c>
      <c r="E50" s="62" t="s">
        <v>2374</v>
      </c>
      <c r="F50" s="62">
        <v>97.5</v>
      </c>
      <c r="G50" s="62">
        <v>99.293899999999994</v>
      </c>
      <c r="H50" s="62" t="s">
        <v>2693</v>
      </c>
      <c r="I50" s="62" t="s">
        <v>2694</v>
      </c>
      <c r="J50" s="62" t="s">
        <v>271</v>
      </c>
    </row>
    <row r="51" spans="1:10" ht="15" x14ac:dyDescent="0.25">
      <c r="A51" s="40">
        <v>47</v>
      </c>
      <c r="B51" s="62" t="s">
        <v>2695</v>
      </c>
      <c r="C51" s="62" t="s">
        <v>2635</v>
      </c>
      <c r="D51" s="62" t="s">
        <v>2352</v>
      </c>
      <c r="E51" s="62" t="s">
        <v>2480</v>
      </c>
      <c r="F51" s="63">
        <v>1000</v>
      </c>
      <c r="G51" s="63">
        <v>1000</v>
      </c>
      <c r="H51" s="62" t="s">
        <v>343</v>
      </c>
      <c r="I51" s="62" t="s">
        <v>343</v>
      </c>
      <c r="J51" s="62" t="s">
        <v>2393</v>
      </c>
    </row>
    <row r="52" spans="1:10" ht="15" x14ac:dyDescent="0.25">
      <c r="A52" s="40">
        <v>48</v>
      </c>
      <c r="B52" s="62" t="s">
        <v>2479</v>
      </c>
      <c r="C52" s="62" t="s">
        <v>2048</v>
      </c>
      <c r="D52" s="62" t="s">
        <v>2352</v>
      </c>
      <c r="E52" s="62" t="s">
        <v>2480</v>
      </c>
      <c r="F52" s="62">
        <v>98.72</v>
      </c>
      <c r="G52" s="62">
        <v>98.72</v>
      </c>
      <c r="H52" s="62" t="s">
        <v>2481</v>
      </c>
      <c r="I52" s="62" t="s">
        <v>2696</v>
      </c>
      <c r="J52" s="62" t="s">
        <v>271</v>
      </c>
    </row>
    <row r="53" spans="1:10" ht="15" x14ac:dyDescent="0.25">
      <c r="A53" s="40">
        <v>49</v>
      </c>
      <c r="B53" s="62" t="s">
        <v>2482</v>
      </c>
      <c r="C53" s="62" t="s">
        <v>1398</v>
      </c>
      <c r="D53" s="62" t="s">
        <v>2352</v>
      </c>
      <c r="E53" s="62" t="s">
        <v>2384</v>
      </c>
      <c r="F53" s="62">
        <v>98.855199999999996</v>
      </c>
      <c r="G53" s="62">
        <v>103.8135</v>
      </c>
      <c r="H53" s="62" t="s">
        <v>2385</v>
      </c>
      <c r="I53" s="62" t="s">
        <v>2697</v>
      </c>
      <c r="J53" s="62" t="s">
        <v>271</v>
      </c>
    </row>
    <row r="54" spans="1:10" ht="15" x14ac:dyDescent="0.25">
      <c r="A54" s="40">
        <v>50</v>
      </c>
      <c r="B54" s="62" t="s">
        <v>2483</v>
      </c>
      <c r="C54" s="62" t="s">
        <v>427</v>
      </c>
      <c r="D54" s="62" t="s">
        <v>2352</v>
      </c>
      <c r="E54" s="62" t="s">
        <v>2375</v>
      </c>
      <c r="F54" s="62">
        <v>87.475999999999999</v>
      </c>
      <c r="G54" s="62">
        <v>87.942700000000002</v>
      </c>
      <c r="H54" s="62" t="s">
        <v>2698</v>
      </c>
      <c r="I54" s="62" t="s">
        <v>2699</v>
      </c>
      <c r="J54" s="62" t="s">
        <v>271</v>
      </c>
    </row>
    <row r="55" spans="1:10" ht="15" x14ac:dyDescent="0.25">
      <c r="A55" s="40">
        <v>51</v>
      </c>
      <c r="B55" s="62" t="s">
        <v>2484</v>
      </c>
      <c r="C55" s="62" t="s">
        <v>2044</v>
      </c>
      <c r="D55" s="62" t="s">
        <v>2352</v>
      </c>
      <c r="E55" s="62" t="s">
        <v>2375</v>
      </c>
      <c r="F55" s="62">
        <v>91.331299999999999</v>
      </c>
      <c r="G55" s="62">
        <v>91.498000000000005</v>
      </c>
      <c r="H55" s="62" t="s">
        <v>2700</v>
      </c>
      <c r="I55" s="62" t="s">
        <v>2701</v>
      </c>
      <c r="J55" s="62" t="s">
        <v>271</v>
      </c>
    </row>
    <row r="56" spans="1:10" ht="15" x14ac:dyDescent="0.25">
      <c r="A56" s="40">
        <v>52</v>
      </c>
      <c r="B56" s="62" t="s">
        <v>2485</v>
      </c>
      <c r="C56" s="62" t="s">
        <v>2250</v>
      </c>
      <c r="D56" s="62" t="s">
        <v>2352</v>
      </c>
      <c r="E56" s="62" t="s">
        <v>2375</v>
      </c>
      <c r="F56" s="62">
        <v>99.998999999999995</v>
      </c>
      <c r="G56" s="62">
        <v>100.9157</v>
      </c>
      <c r="H56" s="62" t="s">
        <v>2427</v>
      </c>
      <c r="I56" s="62" t="s">
        <v>2702</v>
      </c>
      <c r="J56" s="62" t="s">
        <v>271</v>
      </c>
    </row>
    <row r="57" spans="1:10" ht="15" x14ac:dyDescent="0.25">
      <c r="A57" s="40">
        <v>53</v>
      </c>
      <c r="B57" s="62" t="s">
        <v>2486</v>
      </c>
      <c r="C57" s="62" t="s">
        <v>2189</v>
      </c>
      <c r="D57" s="62" t="s">
        <v>2352</v>
      </c>
      <c r="E57" s="62" t="s">
        <v>2375</v>
      </c>
      <c r="F57" s="62">
        <v>98.304699999999997</v>
      </c>
      <c r="G57" s="62">
        <v>98.638000000000005</v>
      </c>
      <c r="H57" s="62" t="s">
        <v>2703</v>
      </c>
      <c r="I57" s="62" t="s">
        <v>2704</v>
      </c>
      <c r="J57" s="62" t="s">
        <v>271</v>
      </c>
    </row>
    <row r="58" spans="1:10" ht="15" x14ac:dyDescent="0.25">
      <c r="A58" s="40">
        <v>54</v>
      </c>
      <c r="B58" s="62" t="s">
        <v>2487</v>
      </c>
      <c r="C58" s="62" t="s">
        <v>2254</v>
      </c>
      <c r="D58" s="62" t="s">
        <v>2352</v>
      </c>
      <c r="E58" s="62" t="s">
        <v>2375</v>
      </c>
      <c r="F58" s="62">
        <v>99.989099999999993</v>
      </c>
      <c r="G58" s="62">
        <v>100.1891</v>
      </c>
      <c r="H58" s="62" t="s">
        <v>2376</v>
      </c>
      <c r="I58" s="62" t="s">
        <v>2705</v>
      </c>
      <c r="J58" s="62" t="s">
        <v>271</v>
      </c>
    </row>
    <row r="59" spans="1:10" ht="15" x14ac:dyDescent="0.25">
      <c r="A59" s="40">
        <v>55</v>
      </c>
      <c r="B59" s="62" t="s">
        <v>2488</v>
      </c>
      <c r="C59" s="62" t="s">
        <v>114</v>
      </c>
      <c r="D59" s="62" t="s">
        <v>2352</v>
      </c>
      <c r="E59" s="62" t="s">
        <v>2377</v>
      </c>
      <c r="F59" s="62">
        <v>100.0403</v>
      </c>
      <c r="G59" s="62">
        <v>100.81659999999999</v>
      </c>
      <c r="H59" s="62" t="s">
        <v>2706</v>
      </c>
      <c r="I59" s="62" t="s">
        <v>2707</v>
      </c>
      <c r="J59" s="62" t="s">
        <v>271</v>
      </c>
    </row>
    <row r="60" spans="1:10" ht="15" x14ac:dyDescent="0.25">
      <c r="A60" s="40">
        <v>56</v>
      </c>
      <c r="B60" s="62" t="s">
        <v>2489</v>
      </c>
      <c r="C60" s="62" t="s">
        <v>116</v>
      </c>
      <c r="D60" s="62" t="s">
        <v>2352</v>
      </c>
      <c r="E60" s="62" t="s">
        <v>2377</v>
      </c>
      <c r="F60" s="62">
        <v>99.209500000000006</v>
      </c>
      <c r="G60" s="62">
        <v>99.209500000000006</v>
      </c>
      <c r="H60" s="62" t="s">
        <v>2708</v>
      </c>
      <c r="I60" s="62" t="s">
        <v>2709</v>
      </c>
      <c r="J60" s="62" t="s">
        <v>271</v>
      </c>
    </row>
    <row r="61" spans="1:10" ht="15" x14ac:dyDescent="0.25">
      <c r="A61" s="40">
        <v>57</v>
      </c>
      <c r="B61" s="62" t="s">
        <v>2490</v>
      </c>
      <c r="C61" s="62" t="s">
        <v>1411</v>
      </c>
      <c r="D61" s="62" t="s">
        <v>2352</v>
      </c>
      <c r="E61" s="62" t="s">
        <v>2377</v>
      </c>
      <c r="F61" s="62">
        <v>99.927000000000007</v>
      </c>
      <c r="G61" s="62">
        <v>100.14919999999999</v>
      </c>
      <c r="H61" s="62" t="s">
        <v>2491</v>
      </c>
      <c r="I61" s="62" t="s">
        <v>2710</v>
      </c>
      <c r="J61" s="62" t="s">
        <v>271</v>
      </c>
    </row>
    <row r="62" spans="1:10" ht="15" x14ac:dyDescent="0.25">
      <c r="A62" s="40">
        <v>58</v>
      </c>
      <c r="B62" s="62" t="s">
        <v>2492</v>
      </c>
      <c r="C62" s="62" t="s">
        <v>357</v>
      </c>
      <c r="D62" s="62" t="s">
        <v>2352</v>
      </c>
      <c r="E62" s="62" t="s">
        <v>2377</v>
      </c>
      <c r="F62" s="62">
        <v>100.2259</v>
      </c>
      <c r="G62" s="62">
        <v>100.91889999999999</v>
      </c>
      <c r="H62" s="62" t="s">
        <v>2711</v>
      </c>
      <c r="I62" s="62" t="s">
        <v>2712</v>
      </c>
      <c r="J62" s="62" t="s">
        <v>271</v>
      </c>
    </row>
    <row r="63" spans="1:10" ht="15" x14ac:dyDescent="0.25">
      <c r="A63" s="40">
        <v>59</v>
      </c>
      <c r="B63" s="62" t="s">
        <v>2493</v>
      </c>
      <c r="C63" s="62" t="s">
        <v>1413</v>
      </c>
      <c r="D63" s="62" t="s">
        <v>2352</v>
      </c>
      <c r="E63" s="62" t="s">
        <v>2377</v>
      </c>
      <c r="F63" s="62">
        <v>97.410399999999996</v>
      </c>
      <c r="G63" s="62">
        <v>98.888199999999998</v>
      </c>
      <c r="H63" s="62" t="s">
        <v>2713</v>
      </c>
      <c r="I63" s="62" t="s">
        <v>2714</v>
      </c>
      <c r="J63" s="62" t="s">
        <v>271</v>
      </c>
    </row>
    <row r="64" spans="1:10" ht="15" x14ac:dyDescent="0.25">
      <c r="A64" s="40">
        <v>60</v>
      </c>
      <c r="B64" s="62" t="s">
        <v>2494</v>
      </c>
      <c r="C64" s="62" t="s">
        <v>390</v>
      </c>
      <c r="D64" s="62" t="s">
        <v>2352</v>
      </c>
      <c r="E64" s="62" t="s">
        <v>2377</v>
      </c>
      <c r="F64" s="62">
        <v>96.743099999999998</v>
      </c>
      <c r="G64" s="62">
        <v>97.007000000000005</v>
      </c>
      <c r="H64" s="62" t="s">
        <v>2495</v>
      </c>
      <c r="I64" s="62" t="s">
        <v>2715</v>
      </c>
      <c r="J64" s="62" t="s">
        <v>271</v>
      </c>
    </row>
    <row r="65" spans="1:10" ht="15" x14ac:dyDescent="0.25">
      <c r="A65" s="40">
        <v>61</v>
      </c>
      <c r="B65" s="62" t="s">
        <v>2496</v>
      </c>
      <c r="C65" s="62" t="s">
        <v>2074</v>
      </c>
      <c r="D65" s="62" t="s">
        <v>2352</v>
      </c>
      <c r="E65" s="62" t="s">
        <v>2377</v>
      </c>
      <c r="F65" s="62">
        <v>100.01600000000001</v>
      </c>
      <c r="G65" s="62">
        <v>100.8327</v>
      </c>
      <c r="H65" s="62" t="s">
        <v>2716</v>
      </c>
      <c r="I65" s="62" t="s">
        <v>2717</v>
      </c>
      <c r="J65" s="62" t="s">
        <v>271</v>
      </c>
    </row>
    <row r="66" spans="1:10" ht="15" x14ac:dyDescent="0.25">
      <c r="A66" s="40">
        <v>62</v>
      </c>
      <c r="B66" s="62" t="s">
        <v>2497</v>
      </c>
      <c r="C66" s="62" t="s">
        <v>2119</v>
      </c>
      <c r="D66" s="62" t="s">
        <v>2352</v>
      </c>
      <c r="E66" s="62" t="s">
        <v>2377</v>
      </c>
      <c r="F66" s="62">
        <v>100.4936</v>
      </c>
      <c r="G66" s="62">
        <v>102.1186</v>
      </c>
      <c r="H66" s="62" t="s">
        <v>2718</v>
      </c>
      <c r="I66" s="62" t="s">
        <v>2719</v>
      </c>
      <c r="J66" s="62" t="s">
        <v>271</v>
      </c>
    </row>
    <row r="67" spans="1:10" ht="15" x14ac:dyDescent="0.25">
      <c r="A67" s="40">
        <v>63</v>
      </c>
      <c r="B67" s="62" t="s">
        <v>2498</v>
      </c>
      <c r="C67" s="62" t="s">
        <v>2121</v>
      </c>
      <c r="D67" s="62" t="s">
        <v>2352</v>
      </c>
      <c r="E67" s="62" t="s">
        <v>2377</v>
      </c>
      <c r="F67" s="62">
        <v>102.01900000000001</v>
      </c>
      <c r="G67" s="62">
        <v>102.3798</v>
      </c>
      <c r="H67" s="62" t="s">
        <v>2720</v>
      </c>
      <c r="I67" s="62" t="s">
        <v>2721</v>
      </c>
      <c r="J67" s="62" t="s">
        <v>271</v>
      </c>
    </row>
    <row r="68" spans="1:10" ht="15" x14ac:dyDescent="0.25">
      <c r="A68" s="40">
        <v>64</v>
      </c>
      <c r="B68" s="62" t="s">
        <v>2499</v>
      </c>
      <c r="C68" s="62" t="s">
        <v>385</v>
      </c>
      <c r="D68" s="62" t="s">
        <v>2352</v>
      </c>
      <c r="E68" s="62" t="s">
        <v>2378</v>
      </c>
      <c r="F68" s="62">
        <v>77.492000000000004</v>
      </c>
      <c r="G68" s="62">
        <v>77.900300000000001</v>
      </c>
      <c r="H68" s="62" t="s">
        <v>2722</v>
      </c>
      <c r="I68" s="62" t="s">
        <v>2723</v>
      </c>
      <c r="J68" s="62" t="s">
        <v>271</v>
      </c>
    </row>
    <row r="69" spans="1:10" ht="15" x14ac:dyDescent="0.25">
      <c r="A69" s="40">
        <v>65</v>
      </c>
      <c r="B69" s="62" t="s">
        <v>2724</v>
      </c>
      <c r="C69" s="62" t="s">
        <v>394</v>
      </c>
      <c r="D69" s="62" t="s">
        <v>2352</v>
      </c>
      <c r="E69" s="62" t="s">
        <v>2378</v>
      </c>
      <c r="F69" s="62">
        <v>82.297499999999999</v>
      </c>
      <c r="G69" s="62">
        <v>83.8142</v>
      </c>
      <c r="H69" s="62" t="s">
        <v>2725</v>
      </c>
      <c r="I69" s="62" t="s">
        <v>2726</v>
      </c>
      <c r="J69" s="62" t="s">
        <v>271</v>
      </c>
    </row>
    <row r="70" spans="1:10" ht="15" x14ac:dyDescent="0.25">
      <c r="A70" s="40">
        <v>66</v>
      </c>
      <c r="B70" s="62" t="s">
        <v>2727</v>
      </c>
      <c r="C70" s="62" t="s">
        <v>2105</v>
      </c>
      <c r="D70" s="62" t="s">
        <v>2352</v>
      </c>
      <c r="E70" s="62" t="s">
        <v>2378</v>
      </c>
      <c r="F70" s="62">
        <v>87.195899999999995</v>
      </c>
      <c r="G70" s="62">
        <v>88.8292</v>
      </c>
      <c r="H70" s="62" t="s">
        <v>2728</v>
      </c>
      <c r="I70" s="62" t="s">
        <v>2729</v>
      </c>
      <c r="J70" s="62" t="s">
        <v>271</v>
      </c>
    </row>
    <row r="71" spans="1:10" ht="15" x14ac:dyDescent="0.25">
      <c r="A71" s="40">
        <v>67</v>
      </c>
      <c r="B71" s="62" t="s">
        <v>2730</v>
      </c>
      <c r="C71" s="62" t="s">
        <v>2347</v>
      </c>
      <c r="D71" s="62" t="s">
        <v>2352</v>
      </c>
      <c r="E71" s="62" t="s">
        <v>2378</v>
      </c>
      <c r="F71" s="62">
        <v>96.290499999999994</v>
      </c>
      <c r="G71" s="62">
        <v>96.534899999999993</v>
      </c>
      <c r="H71" s="62" t="s">
        <v>2731</v>
      </c>
      <c r="I71" s="62" t="s">
        <v>2732</v>
      </c>
      <c r="J71" s="62" t="s">
        <v>271</v>
      </c>
    </row>
    <row r="72" spans="1:10" ht="15" x14ac:dyDescent="0.25">
      <c r="A72" s="40">
        <v>68</v>
      </c>
      <c r="B72" s="62" t="s">
        <v>2733</v>
      </c>
      <c r="C72" s="62" t="s">
        <v>2277</v>
      </c>
      <c r="D72" s="62" t="s">
        <v>2352</v>
      </c>
      <c r="E72" s="62" t="s">
        <v>2378</v>
      </c>
      <c r="F72" s="62">
        <v>97.8232</v>
      </c>
      <c r="G72" s="62">
        <v>97.8232</v>
      </c>
      <c r="H72" s="62" t="s">
        <v>2469</v>
      </c>
      <c r="I72" s="62" t="s">
        <v>2734</v>
      </c>
      <c r="J72" s="62" t="s">
        <v>271</v>
      </c>
    </row>
    <row r="73" spans="1:10" ht="15" x14ac:dyDescent="0.25">
      <c r="A73" s="40">
        <v>69</v>
      </c>
      <c r="B73" s="62" t="s">
        <v>2735</v>
      </c>
      <c r="C73" s="62" t="s">
        <v>2431</v>
      </c>
      <c r="D73" s="62" t="s">
        <v>2352</v>
      </c>
      <c r="E73" s="62" t="s">
        <v>2378</v>
      </c>
      <c r="F73" s="62">
        <v>99.995900000000006</v>
      </c>
      <c r="G73" s="62">
        <v>101.0959</v>
      </c>
      <c r="H73" s="62" t="s">
        <v>2427</v>
      </c>
      <c r="I73" s="62" t="s">
        <v>2736</v>
      </c>
      <c r="J73" s="62" t="s">
        <v>271</v>
      </c>
    </row>
    <row r="74" spans="1:10" ht="15" x14ac:dyDescent="0.25">
      <c r="A74" s="40">
        <v>70</v>
      </c>
      <c r="B74" s="62" t="s">
        <v>2737</v>
      </c>
      <c r="C74" s="62" t="s">
        <v>1425</v>
      </c>
      <c r="D74" s="62" t="s">
        <v>2352</v>
      </c>
      <c r="E74" s="62" t="s">
        <v>2738</v>
      </c>
      <c r="F74" s="62">
        <v>100.2647</v>
      </c>
      <c r="G74" s="62">
        <v>100.32299999999999</v>
      </c>
      <c r="H74" s="62" t="s">
        <v>2739</v>
      </c>
      <c r="I74" s="62" t="s">
        <v>2516</v>
      </c>
      <c r="J74" s="62" t="s">
        <v>271</v>
      </c>
    </row>
    <row r="75" spans="1:10" ht="15" x14ac:dyDescent="0.25">
      <c r="A75" s="40">
        <v>71</v>
      </c>
      <c r="B75" s="62" t="s">
        <v>2500</v>
      </c>
      <c r="C75" s="62" t="s">
        <v>1445</v>
      </c>
      <c r="D75" s="62" t="s">
        <v>2352</v>
      </c>
      <c r="E75" s="62" t="s">
        <v>2501</v>
      </c>
      <c r="F75" s="62">
        <v>100.1211</v>
      </c>
      <c r="G75" s="62">
        <v>104.5211</v>
      </c>
      <c r="H75" s="62" t="s">
        <v>2502</v>
      </c>
      <c r="I75" s="62" t="s">
        <v>2740</v>
      </c>
      <c r="J75" s="62" t="s">
        <v>271</v>
      </c>
    </row>
    <row r="76" spans="1:10" ht="15" x14ac:dyDescent="0.25">
      <c r="A76" s="40">
        <v>72</v>
      </c>
      <c r="B76" s="62" t="s">
        <v>2503</v>
      </c>
      <c r="C76" s="62" t="s">
        <v>1448</v>
      </c>
      <c r="D76" s="62" t="s">
        <v>2352</v>
      </c>
      <c r="E76" s="62" t="s">
        <v>2501</v>
      </c>
      <c r="F76" s="62">
        <v>99.102400000000003</v>
      </c>
      <c r="G76" s="62">
        <v>101.2093</v>
      </c>
      <c r="H76" s="62" t="s">
        <v>2504</v>
      </c>
      <c r="I76" s="62" t="s">
        <v>2741</v>
      </c>
      <c r="J76" s="62" t="s">
        <v>271</v>
      </c>
    </row>
    <row r="77" spans="1:10" ht="15" x14ac:dyDescent="0.25">
      <c r="A77" s="40">
        <v>73</v>
      </c>
      <c r="B77" s="62" t="s">
        <v>2505</v>
      </c>
      <c r="C77" s="62" t="s">
        <v>2322</v>
      </c>
      <c r="D77" s="62" t="s">
        <v>2352</v>
      </c>
      <c r="E77" s="62" t="s">
        <v>2501</v>
      </c>
      <c r="F77" s="62">
        <v>98.952799999999996</v>
      </c>
      <c r="G77" s="62">
        <v>101.3445</v>
      </c>
      <c r="H77" s="62" t="s">
        <v>2506</v>
      </c>
      <c r="I77" s="62" t="s">
        <v>2742</v>
      </c>
      <c r="J77" s="62" t="s">
        <v>271</v>
      </c>
    </row>
    <row r="78" spans="1:10" ht="15" x14ac:dyDescent="0.25">
      <c r="A78" s="40">
        <v>74</v>
      </c>
      <c r="B78" s="62" t="s">
        <v>2507</v>
      </c>
      <c r="C78" s="62" t="s">
        <v>388</v>
      </c>
      <c r="D78" s="62" t="s">
        <v>2373</v>
      </c>
      <c r="E78" s="62" t="s">
        <v>2374</v>
      </c>
      <c r="F78" s="62">
        <v>97.633899999999997</v>
      </c>
      <c r="G78" s="62">
        <v>97.633899999999997</v>
      </c>
      <c r="H78" s="62" t="s">
        <v>2743</v>
      </c>
      <c r="I78" s="62" t="s">
        <v>2744</v>
      </c>
      <c r="J78" s="62" t="s">
        <v>271</v>
      </c>
    </row>
    <row r="79" spans="1:10" ht="15" x14ac:dyDescent="0.25">
      <c r="A79" s="40">
        <v>75</v>
      </c>
      <c r="B79" s="62" t="s">
        <v>2508</v>
      </c>
      <c r="C79" s="62" t="s">
        <v>2032</v>
      </c>
      <c r="D79" s="62" t="s">
        <v>2373</v>
      </c>
      <c r="E79" s="62" t="s">
        <v>2374</v>
      </c>
      <c r="F79" s="62">
        <v>93.424300000000002</v>
      </c>
      <c r="G79" s="62">
        <v>93.424300000000002</v>
      </c>
      <c r="H79" s="62" t="s">
        <v>2509</v>
      </c>
      <c r="I79" s="62" t="s">
        <v>2745</v>
      </c>
      <c r="J79" s="62" t="s">
        <v>271</v>
      </c>
    </row>
    <row r="80" spans="1:10" ht="15" x14ac:dyDescent="0.25">
      <c r="A80" s="40">
        <v>76</v>
      </c>
      <c r="B80" s="62" t="s">
        <v>2510</v>
      </c>
      <c r="C80" s="62" t="s">
        <v>2185</v>
      </c>
      <c r="D80" s="62" t="s">
        <v>2373</v>
      </c>
      <c r="E80" s="62" t="s">
        <v>2374</v>
      </c>
      <c r="F80" s="62">
        <v>89.619699999999995</v>
      </c>
      <c r="G80" s="62">
        <v>89.619699999999995</v>
      </c>
      <c r="H80" s="62" t="s">
        <v>2511</v>
      </c>
      <c r="I80" s="62" t="s">
        <v>2746</v>
      </c>
      <c r="J80" s="62" t="s">
        <v>271</v>
      </c>
    </row>
    <row r="81" spans="1:10" ht="15" x14ac:dyDescent="0.25">
      <c r="A81" s="40">
        <v>77</v>
      </c>
      <c r="B81" s="62" t="s">
        <v>2512</v>
      </c>
      <c r="C81" s="62" t="s">
        <v>4</v>
      </c>
      <c r="D81" s="62" t="s">
        <v>2373</v>
      </c>
      <c r="E81" s="62" t="s">
        <v>2374</v>
      </c>
      <c r="F81" s="62">
        <v>98.039199999999994</v>
      </c>
      <c r="G81" s="62">
        <v>99.076599999999999</v>
      </c>
      <c r="H81" s="62" t="s">
        <v>2513</v>
      </c>
      <c r="I81" s="62" t="s">
        <v>2747</v>
      </c>
      <c r="J81" s="62" t="s">
        <v>271</v>
      </c>
    </row>
    <row r="82" spans="1:10" ht="15" x14ac:dyDescent="0.25">
      <c r="A82" s="40">
        <v>78</v>
      </c>
      <c r="B82" s="62" t="s">
        <v>2514</v>
      </c>
      <c r="C82" s="62" t="s">
        <v>119</v>
      </c>
      <c r="D82" s="62" t="s">
        <v>2373</v>
      </c>
      <c r="E82" s="62" t="s">
        <v>2374</v>
      </c>
      <c r="F82" s="62">
        <v>98.341899999999995</v>
      </c>
      <c r="G82" s="62">
        <v>100.71</v>
      </c>
      <c r="H82" s="62" t="s">
        <v>2515</v>
      </c>
      <c r="I82" s="62" t="s">
        <v>2748</v>
      </c>
      <c r="J82" s="62" t="s">
        <v>271</v>
      </c>
    </row>
    <row r="83" spans="1:10" ht="15" x14ac:dyDescent="0.25">
      <c r="A83" s="40">
        <v>79</v>
      </c>
      <c r="B83" s="62" t="s">
        <v>2517</v>
      </c>
      <c r="C83" s="62" t="s">
        <v>121</v>
      </c>
      <c r="D83" s="62" t="s">
        <v>2373</v>
      </c>
      <c r="E83" s="62" t="s">
        <v>2374</v>
      </c>
      <c r="F83" s="62">
        <v>98.030100000000004</v>
      </c>
      <c r="G83" s="62">
        <v>104.2079</v>
      </c>
      <c r="H83" s="62" t="s">
        <v>2518</v>
      </c>
      <c r="I83" s="62" t="s">
        <v>2749</v>
      </c>
      <c r="J83" s="62" t="s">
        <v>271</v>
      </c>
    </row>
    <row r="84" spans="1:10" ht="15" x14ac:dyDescent="0.25">
      <c r="A84" s="40">
        <v>80</v>
      </c>
      <c r="B84" s="62" t="s">
        <v>2519</v>
      </c>
      <c r="C84" s="62" t="s">
        <v>2419</v>
      </c>
      <c r="D84" s="62" t="s">
        <v>2373</v>
      </c>
      <c r="E84" s="62" t="s">
        <v>2374</v>
      </c>
      <c r="F84" s="62">
        <v>102.5681</v>
      </c>
      <c r="G84" s="62">
        <v>103.4659</v>
      </c>
      <c r="H84" s="62" t="s">
        <v>2750</v>
      </c>
      <c r="I84" s="62" t="s">
        <v>2751</v>
      </c>
      <c r="J84" s="62" t="s">
        <v>271</v>
      </c>
    </row>
    <row r="85" spans="1:10" ht="15" x14ac:dyDescent="0.25">
      <c r="A85" s="40">
        <v>81</v>
      </c>
      <c r="B85" s="62" t="s">
        <v>2520</v>
      </c>
      <c r="C85" s="62" t="s">
        <v>123</v>
      </c>
      <c r="D85" s="62" t="s">
        <v>2373</v>
      </c>
      <c r="E85" s="62" t="s">
        <v>2374</v>
      </c>
      <c r="F85" s="62">
        <v>95.399699999999996</v>
      </c>
      <c r="G85" s="62">
        <v>96.041399999999996</v>
      </c>
      <c r="H85" s="62" t="s">
        <v>2521</v>
      </c>
      <c r="I85" s="62" t="s">
        <v>2752</v>
      </c>
      <c r="J85" s="62" t="s">
        <v>271</v>
      </c>
    </row>
    <row r="86" spans="1:10" ht="15" x14ac:dyDescent="0.25">
      <c r="A86" s="40">
        <v>82</v>
      </c>
      <c r="B86" s="62" t="s">
        <v>2522</v>
      </c>
      <c r="C86" s="62" t="s">
        <v>125</v>
      </c>
      <c r="D86" s="62" t="s">
        <v>2373</v>
      </c>
      <c r="E86" s="62" t="s">
        <v>2374</v>
      </c>
      <c r="F86" s="62">
        <v>98.650300000000001</v>
      </c>
      <c r="G86" s="62">
        <v>102.8289</v>
      </c>
      <c r="H86" s="62" t="s">
        <v>2471</v>
      </c>
      <c r="I86" s="62" t="s">
        <v>2753</v>
      </c>
      <c r="J86" s="62" t="s">
        <v>271</v>
      </c>
    </row>
    <row r="87" spans="1:10" ht="15" x14ac:dyDescent="0.25">
      <c r="A87" s="40">
        <v>83</v>
      </c>
      <c r="B87" s="62" t="s">
        <v>2523</v>
      </c>
      <c r="C87" s="62" t="s">
        <v>2386</v>
      </c>
      <c r="D87" s="62" t="s">
        <v>2373</v>
      </c>
      <c r="E87" s="62" t="s">
        <v>2374</v>
      </c>
      <c r="F87" s="62">
        <v>100</v>
      </c>
      <c r="G87" s="62">
        <v>101.2319</v>
      </c>
      <c r="H87" s="62" t="s">
        <v>2433</v>
      </c>
      <c r="I87" s="62" t="s">
        <v>2754</v>
      </c>
      <c r="J87" s="62" t="s">
        <v>271</v>
      </c>
    </row>
    <row r="88" spans="1:10" ht="15" x14ac:dyDescent="0.25">
      <c r="A88" s="40">
        <v>84</v>
      </c>
      <c r="B88" s="62" t="s">
        <v>2524</v>
      </c>
      <c r="C88" s="62" t="s">
        <v>127</v>
      </c>
      <c r="D88" s="62" t="s">
        <v>2373</v>
      </c>
      <c r="E88" s="62" t="s">
        <v>2374</v>
      </c>
      <c r="F88" s="62">
        <v>100</v>
      </c>
      <c r="G88" s="62">
        <v>107.91119999999999</v>
      </c>
      <c r="H88" s="62" t="s">
        <v>2525</v>
      </c>
      <c r="I88" s="62" t="s">
        <v>2755</v>
      </c>
      <c r="J88" s="62" t="s">
        <v>271</v>
      </c>
    </row>
    <row r="89" spans="1:10" ht="15" x14ac:dyDescent="0.25">
      <c r="A89" s="40">
        <v>85</v>
      </c>
      <c r="B89" s="62" t="s">
        <v>2526</v>
      </c>
      <c r="C89" s="62" t="s">
        <v>129</v>
      </c>
      <c r="D89" s="62" t="s">
        <v>2373</v>
      </c>
      <c r="E89" s="62" t="s">
        <v>2374</v>
      </c>
      <c r="F89" s="62">
        <v>100</v>
      </c>
      <c r="G89" s="62">
        <v>106.3133</v>
      </c>
      <c r="H89" s="62" t="s">
        <v>2527</v>
      </c>
      <c r="I89" s="62" t="s">
        <v>2756</v>
      </c>
      <c r="J89" s="62" t="s">
        <v>271</v>
      </c>
    </row>
    <row r="90" spans="1:10" ht="15" x14ac:dyDescent="0.25">
      <c r="A90" s="40">
        <v>86</v>
      </c>
      <c r="B90" s="62" t="s">
        <v>2528</v>
      </c>
      <c r="C90" s="62" t="s">
        <v>131</v>
      </c>
      <c r="D90" s="62" t="s">
        <v>2373</v>
      </c>
      <c r="E90" s="62" t="s">
        <v>2374</v>
      </c>
      <c r="F90" s="62">
        <v>100</v>
      </c>
      <c r="G90" s="62">
        <v>104.74160000000001</v>
      </c>
      <c r="H90" s="62" t="s">
        <v>2529</v>
      </c>
      <c r="I90" s="62" t="s">
        <v>2757</v>
      </c>
      <c r="J90" s="62" t="s">
        <v>271</v>
      </c>
    </row>
    <row r="91" spans="1:10" ht="15" x14ac:dyDescent="0.25">
      <c r="A91" s="40">
        <v>87</v>
      </c>
      <c r="B91" s="62" t="s">
        <v>2530</v>
      </c>
      <c r="C91" s="62" t="s">
        <v>133</v>
      </c>
      <c r="D91" s="62" t="s">
        <v>2373</v>
      </c>
      <c r="E91" s="62" t="s">
        <v>2374</v>
      </c>
      <c r="F91" s="62">
        <v>100</v>
      </c>
      <c r="G91" s="62">
        <v>108.40009999999999</v>
      </c>
      <c r="H91" s="62" t="s">
        <v>2531</v>
      </c>
      <c r="I91" s="62" t="s">
        <v>2758</v>
      </c>
      <c r="J91" s="62" t="s">
        <v>271</v>
      </c>
    </row>
    <row r="92" spans="1:10" ht="15" x14ac:dyDescent="0.25">
      <c r="A92" s="40">
        <v>88</v>
      </c>
      <c r="B92" s="62" t="s">
        <v>2532</v>
      </c>
      <c r="C92" s="62" t="s">
        <v>135</v>
      </c>
      <c r="D92" s="62" t="s">
        <v>2373</v>
      </c>
      <c r="E92" s="62" t="s">
        <v>2374</v>
      </c>
      <c r="F92" s="62">
        <v>100</v>
      </c>
      <c r="G92" s="62">
        <v>102.1044</v>
      </c>
      <c r="H92" s="62" t="s">
        <v>2533</v>
      </c>
      <c r="I92" s="62" t="s">
        <v>2759</v>
      </c>
      <c r="J92" s="62" t="s">
        <v>271</v>
      </c>
    </row>
    <row r="93" spans="1:10" ht="15" x14ac:dyDescent="0.25">
      <c r="A93" s="40">
        <v>89</v>
      </c>
      <c r="B93" s="62" t="s">
        <v>2534</v>
      </c>
      <c r="C93" s="62" t="s">
        <v>286</v>
      </c>
      <c r="D93" s="62" t="s">
        <v>2373</v>
      </c>
      <c r="E93" s="62" t="s">
        <v>2374</v>
      </c>
      <c r="F93" s="62">
        <v>100</v>
      </c>
      <c r="G93" s="62">
        <v>108.81570000000001</v>
      </c>
      <c r="H93" s="62" t="s">
        <v>2535</v>
      </c>
      <c r="I93" s="62" t="s">
        <v>2760</v>
      </c>
      <c r="J93" s="62" t="s">
        <v>271</v>
      </c>
    </row>
    <row r="94" spans="1:10" ht="15" x14ac:dyDescent="0.25">
      <c r="A94" s="40">
        <v>90</v>
      </c>
      <c r="B94" s="62" t="s">
        <v>2536</v>
      </c>
      <c r="C94" s="62" t="s">
        <v>288</v>
      </c>
      <c r="D94" s="62" t="s">
        <v>2373</v>
      </c>
      <c r="E94" s="62" t="s">
        <v>2374</v>
      </c>
      <c r="F94" s="62">
        <v>100</v>
      </c>
      <c r="G94" s="62">
        <v>110.6837</v>
      </c>
      <c r="H94" s="62" t="s">
        <v>2291</v>
      </c>
      <c r="I94" s="62" t="s">
        <v>2761</v>
      </c>
      <c r="J94" s="62" t="s">
        <v>271</v>
      </c>
    </row>
    <row r="95" spans="1:10" ht="15" x14ac:dyDescent="0.25">
      <c r="A95" s="40">
        <v>91</v>
      </c>
      <c r="B95" s="62" t="s">
        <v>2537</v>
      </c>
      <c r="C95" s="62" t="s">
        <v>290</v>
      </c>
      <c r="D95" s="62" t="s">
        <v>2373</v>
      </c>
      <c r="E95" s="62" t="s">
        <v>2374</v>
      </c>
      <c r="F95" s="62">
        <v>100</v>
      </c>
      <c r="G95" s="62">
        <v>104.8175</v>
      </c>
      <c r="H95" s="62" t="s">
        <v>2762</v>
      </c>
      <c r="I95" s="62" t="s">
        <v>2630</v>
      </c>
      <c r="J95" s="62" t="s">
        <v>271</v>
      </c>
    </row>
    <row r="96" spans="1:10" ht="15" x14ac:dyDescent="0.25">
      <c r="A96" s="40">
        <v>92</v>
      </c>
      <c r="B96" s="62" t="s">
        <v>2538</v>
      </c>
      <c r="C96" s="62" t="s">
        <v>292</v>
      </c>
      <c r="D96" s="62" t="s">
        <v>2373</v>
      </c>
      <c r="E96" s="62" t="s">
        <v>2374</v>
      </c>
      <c r="F96" s="62">
        <v>100</v>
      </c>
      <c r="G96" s="62">
        <v>111.7325</v>
      </c>
      <c r="H96" s="62" t="s">
        <v>2410</v>
      </c>
      <c r="I96" s="62" t="s">
        <v>2763</v>
      </c>
      <c r="J96" s="62" t="s">
        <v>271</v>
      </c>
    </row>
    <row r="97" spans="1:10" ht="15" x14ac:dyDescent="0.25">
      <c r="A97" s="40">
        <v>93</v>
      </c>
      <c r="B97" s="62" t="s">
        <v>2539</v>
      </c>
      <c r="C97" s="62" t="s">
        <v>294</v>
      </c>
      <c r="D97" s="62" t="s">
        <v>2373</v>
      </c>
      <c r="E97" s="62" t="s">
        <v>2374</v>
      </c>
      <c r="F97" s="62">
        <v>100</v>
      </c>
      <c r="G97" s="62">
        <v>109.76609999999999</v>
      </c>
      <c r="H97" s="62" t="s">
        <v>2540</v>
      </c>
      <c r="I97" s="62" t="s">
        <v>2764</v>
      </c>
      <c r="J97" s="62" t="s">
        <v>271</v>
      </c>
    </row>
    <row r="98" spans="1:10" ht="15" x14ac:dyDescent="0.25">
      <c r="A98" s="40">
        <v>94</v>
      </c>
      <c r="B98" s="62" t="s">
        <v>2541</v>
      </c>
      <c r="C98" s="62" t="s">
        <v>296</v>
      </c>
      <c r="D98" s="62" t="s">
        <v>2373</v>
      </c>
      <c r="E98" s="62" t="s">
        <v>2374</v>
      </c>
      <c r="F98" s="62">
        <v>100</v>
      </c>
      <c r="G98" s="62">
        <v>108.3546</v>
      </c>
      <c r="H98" s="62" t="s">
        <v>2289</v>
      </c>
      <c r="I98" s="62" t="s">
        <v>2765</v>
      </c>
      <c r="J98" s="62" t="s">
        <v>271</v>
      </c>
    </row>
    <row r="99" spans="1:10" ht="15" x14ac:dyDescent="0.25">
      <c r="A99" s="40">
        <v>95</v>
      </c>
      <c r="B99" s="62" t="s">
        <v>2542</v>
      </c>
      <c r="C99" s="62" t="s">
        <v>298</v>
      </c>
      <c r="D99" s="62" t="s">
        <v>2373</v>
      </c>
      <c r="E99" s="62" t="s">
        <v>2374</v>
      </c>
      <c r="F99" s="62">
        <v>100</v>
      </c>
      <c r="G99" s="62">
        <v>109.7333</v>
      </c>
      <c r="H99" s="62" t="s">
        <v>2540</v>
      </c>
      <c r="I99" s="62" t="s">
        <v>2470</v>
      </c>
      <c r="J99" s="62" t="s">
        <v>271</v>
      </c>
    </row>
    <row r="100" spans="1:10" ht="15" x14ac:dyDescent="0.25">
      <c r="A100" s="40">
        <v>96</v>
      </c>
      <c r="B100" s="62" t="s">
        <v>2543</v>
      </c>
      <c r="C100" s="62" t="s">
        <v>300</v>
      </c>
      <c r="D100" s="62" t="s">
        <v>2373</v>
      </c>
      <c r="E100" s="62" t="s">
        <v>2374</v>
      </c>
      <c r="F100" s="62">
        <v>100</v>
      </c>
      <c r="G100" s="62">
        <v>102.884</v>
      </c>
      <c r="H100" s="62" t="s">
        <v>2472</v>
      </c>
      <c r="I100" s="62" t="s">
        <v>2766</v>
      </c>
      <c r="J100" s="62" t="s">
        <v>271</v>
      </c>
    </row>
    <row r="101" spans="1:10" ht="15" x14ac:dyDescent="0.25">
      <c r="A101" s="40">
        <v>97</v>
      </c>
      <c r="B101" s="62" t="s">
        <v>2544</v>
      </c>
      <c r="C101" s="62" t="s">
        <v>302</v>
      </c>
      <c r="D101" s="62" t="s">
        <v>2373</v>
      </c>
      <c r="E101" s="62" t="s">
        <v>2374</v>
      </c>
      <c r="F101" s="62">
        <v>100</v>
      </c>
      <c r="G101" s="62">
        <v>106.01</v>
      </c>
      <c r="H101" s="62" t="s">
        <v>2289</v>
      </c>
      <c r="I101" s="62" t="s">
        <v>2767</v>
      </c>
      <c r="J101" s="62" t="s">
        <v>271</v>
      </c>
    </row>
    <row r="102" spans="1:10" ht="15" x14ac:dyDescent="0.25">
      <c r="A102" s="40">
        <v>98</v>
      </c>
      <c r="B102" s="62" t="s">
        <v>2545</v>
      </c>
      <c r="C102" s="62" t="s">
        <v>304</v>
      </c>
      <c r="D102" s="62" t="s">
        <v>2373</v>
      </c>
      <c r="E102" s="62" t="s">
        <v>2374</v>
      </c>
      <c r="F102" s="62">
        <v>100</v>
      </c>
      <c r="G102" s="62">
        <v>102.884</v>
      </c>
      <c r="H102" s="62" t="s">
        <v>2472</v>
      </c>
      <c r="I102" s="62" t="s">
        <v>2766</v>
      </c>
      <c r="J102" s="62" t="s">
        <v>271</v>
      </c>
    </row>
    <row r="103" spans="1:10" ht="15" x14ac:dyDescent="0.25">
      <c r="A103" s="40">
        <v>99</v>
      </c>
      <c r="B103" s="62" t="s">
        <v>2546</v>
      </c>
      <c r="C103" s="62" t="s">
        <v>306</v>
      </c>
      <c r="D103" s="62" t="s">
        <v>2373</v>
      </c>
      <c r="E103" s="62" t="s">
        <v>2374</v>
      </c>
      <c r="F103" s="62">
        <v>100</v>
      </c>
      <c r="G103" s="62">
        <v>100.85209999999999</v>
      </c>
      <c r="H103" s="62" t="s">
        <v>2290</v>
      </c>
      <c r="I103" s="62" t="s">
        <v>2768</v>
      </c>
      <c r="J103" s="62" t="s">
        <v>271</v>
      </c>
    </row>
    <row r="104" spans="1:10" ht="15" x14ac:dyDescent="0.25">
      <c r="A104" s="40">
        <v>100</v>
      </c>
      <c r="B104" s="62" t="s">
        <v>2547</v>
      </c>
      <c r="C104" s="62" t="s">
        <v>308</v>
      </c>
      <c r="D104" s="62" t="s">
        <v>2373</v>
      </c>
      <c r="E104" s="62" t="s">
        <v>2374</v>
      </c>
      <c r="F104" s="62">
        <v>100</v>
      </c>
      <c r="G104" s="62">
        <v>103.8344</v>
      </c>
      <c r="H104" s="62" t="s">
        <v>2436</v>
      </c>
      <c r="I104" s="62" t="s">
        <v>2769</v>
      </c>
      <c r="J104" s="62" t="s">
        <v>271</v>
      </c>
    </row>
    <row r="105" spans="1:10" ht="15" x14ac:dyDescent="0.25">
      <c r="A105" s="40">
        <v>101</v>
      </c>
      <c r="B105" s="62" t="s">
        <v>2548</v>
      </c>
      <c r="C105" s="62" t="s">
        <v>310</v>
      </c>
      <c r="D105" s="62" t="s">
        <v>2373</v>
      </c>
      <c r="E105" s="62" t="s">
        <v>2374</v>
      </c>
      <c r="F105" s="62">
        <v>100</v>
      </c>
      <c r="G105" s="62">
        <v>100.8848</v>
      </c>
      <c r="H105" s="62" t="s">
        <v>2292</v>
      </c>
      <c r="I105" s="62" t="s">
        <v>2770</v>
      </c>
      <c r="J105" s="62" t="s">
        <v>271</v>
      </c>
    </row>
    <row r="106" spans="1:10" ht="15" x14ac:dyDescent="0.25">
      <c r="A106" s="40">
        <v>102</v>
      </c>
      <c r="B106" s="62" t="s">
        <v>2549</v>
      </c>
      <c r="C106" s="62" t="s">
        <v>312</v>
      </c>
      <c r="D106" s="62" t="s">
        <v>2373</v>
      </c>
      <c r="E106" s="62" t="s">
        <v>2374</v>
      </c>
      <c r="F106" s="62">
        <v>100</v>
      </c>
      <c r="G106" s="62">
        <v>105.8335</v>
      </c>
      <c r="H106" s="62" t="s">
        <v>2291</v>
      </c>
      <c r="I106" s="62" t="s">
        <v>2771</v>
      </c>
      <c r="J106" s="62" t="s">
        <v>271</v>
      </c>
    </row>
    <row r="107" spans="1:10" ht="15" x14ac:dyDescent="0.25">
      <c r="A107" s="40">
        <v>103</v>
      </c>
      <c r="B107" s="62" t="s">
        <v>2550</v>
      </c>
      <c r="C107" s="62" t="s">
        <v>314</v>
      </c>
      <c r="D107" s="62" t="s">
        <v>2373</v>
      </c>
      <c r="E107" s="62" t="s">
        <v>2374</v>
      </c>
      <c r="F107" s="62">
        <v>100</v>
      </c>
      <c r="G107" s="62">
        <v>101.9008</v>
      </c>
      <c r="H107" s="62" t="s">
        <v>2292</v>
      </c>
      <c r="I107" s="62" t="s">
        <v>2772</v>
      </c>
      <c r="J107" s="62" t="s">
        <v>271</v>
      </c>
    </row>
    <row r="108" spans="1:10" ht="15" x14ac:dyDescent="0.25">
      <c r="A108" s="40">
        <v>104</v>
      </c>
      <c r="B108" s="62" t="s">
        <v>2552</v>
      </c>
      <c r="C108" s="62" t="s">
        <v>316</v>
      </c>
      <c r="D108" s="62" t="s">
        <v>2373</v>
      </c>
      <c r="E108" s="62" t="s">
        <v>2374</v>
      </c>
      <c r="F108" s="62">
        <v>100</v>
      </c>
      <c r="G108" s="62">
        <v>101.86799999999999</v>
      </c>
      <c r="H108" s="62" t="s">
        <v>2291</v>
      </c>
      <c r="I108" s="62" t="s">
        <v>2773</v>
      </c>
      <c r="J108" s="62" t="s">
        <v>271</v>
      </c>
    </row>
    <row r="109" spans="1:10" ht="15" x14ac:dyDescent="0.25">
      <c r="A109" s="40">
        <v>105</v>
      </c>
      <c r="B109" s="62" t="s">
        <v>2553</v>
      </c>
      <c r="C109" s="62" t="s">
        <v>318</v>
      </c>
      <c r="D109" s="62" t="s">
        <v>2373</v>
      </c>
      <c r="E109" s="62" t="s">
        <v>2374</v>
      </c>
      <c r="F109" s="62">
        <v>100</v>
      </c>
      <c r="G109" s="62">
        <v>108.8485</v>
      </c>
      <c r="H109" s="62" t="s">
        <v>2411</v>
      </c>
      <c r="I109" s="62" t="s">
        <v>2774</v>
      </c>
      <c r="J109" s="62" t="s">
        <v>271</v>
      </c>
    </row>
    <row r="110" spans="1:10" ht="15" x14ac:dyDescent="0.25">
      <c r="A110" s="40">
        <v>106</v>
      </c>
      <c r="B110" s="62" t="s">
        <v>2554</v>
      </c>
      <c r="C110" s="62" t="s">
        <v>320</v>
      </c>
      <c r="D110" s="62" t="s">
        <v>2373</v>
      </c>
      <c r="E110" s="62" t="s">
        <v>2374</v>
      </c>
      <c r="F110" s="62">
        <v>100</v>
      </c>
      <c r="G110" s="62">
        <v>105.9318</v>
      </c>
      <c r="H110" s="62" t="s">
        <v>2288</v>
      </c>
      <c r="I110" s="62" t="s">
        <v>2775</v>
      </c>
      <c r="J110" s="62" t="s">
        <v>271</v>
      </c>
    </row>
    <row r="111" spans="1:10" ht="15" x14ac:dyDescent="0.25">
      <c r="A111" s="40">
        <v>107</v>
      </c>
      <c r="B111" s="62" t="s">
        <v>2555</v>
      </c>
      <c r="C111" s="62" t="s">
        <v>322</v>
      </c>
      <c r="D111" s="62" t="s">
        <v>2373</v>
      </c>
      <c r="E111" s="62" t="s">
        <v>2374</v>
      </c>
      <c r="F111" s="62">
        <v>100</v>
      </c>
      <c r="G111" s="62">
        <v>111.76519999999999</v>
      </c>
      <c r="H111" s="62" t="s">
        <v>2445</v>
      </c>
      <c r="I111" s="62" t="s">
        <v>2776</v>
      </c>
      <c r="J111" s="62" t="s">
        <v>271</v>
      </c>
    </row>
    <row r="112" spans="1:10" ht="15" x14ac:dyDescent="0.25">
      <c r="A112" s="40">
        <v>108</v>
      </c>
      <c r="B112" s="62" t="s">
        <v>2556</v>
      </c>
      <c r="C112" s="62" t="s">
        <v>324</v>
      </c>
      <c r="D112" s="62" t="s">
        <v>2373</v>
      </c>
      <c r="E112" s="62" t="s">
        <v>2374</v>
      </c>
      <c r="F112" s="62">
        <v>100</v>
      </c>
      <c r="G112" s="62">
        <v>102.8184</v>
      </c>
      <c r="H112" s="62" t="s">
        <v>2294</v>
      </c>
      <c r="I112" s="62" t="s">
        <v>2777</v>
      </c>
      <c r="J112" s="62" t="s">
        <v>271</v>
      </c>
    </row>
    <row r="113" spans="1:10" ht="15" x14ac:dyDescent="0.25">
      <c r="A113" s="40">
        <v>109</v>
      </c>
      <c r="B113" s="62" t="s">
        <v>2557</v>
      </c>
      <c r="C113" s="62" t="s">
        <v>326</v>
      </c>
      <c r="D113" s="62" t="s">
        <v>2373</v>
      </c>
      <c r="E113" s="62" t="s">
        <v>2374</v>
      </c>
      <c r="F113" s="62">
        <v>100</v>
      </c>
      <c r="G113" s="62">
        <v>111.76519999999999</v>
      </c>
      <c r="H113" s="62" t="s">
        <v>2445</v>
      </c>
      <c r="I113" s="62" t="s">
        <v>2778</v>
      </c>
      <c r="J113" s="62" t="s">
        <v>271</v>
      </c>
    </row>
    <row r="114" spans="1:10" ht="15" x14ac:dyDescent="0.25">
      <c r="A114" s="40">
        <v>110</v>
      </c>
      <c r="B114" s="62" t="s">
        <v>2558</v>
      </c>
      <c r="C114" s="62" t="s">
        <v>328</v>
      </c>
      <c r="D114" s="62" t="s">
        <v>2373</v>
      </c>
      <c r="E114" s="62" t="s">
        <v>2374</v>
      </c>
      <c r="F114" s="62">
        <v>100</v>
      </c>
      <c r="G114" s="62">
        <v>107.7342</v>
      </c>
      <c r="H114" s="62" t="s">
        <v>2291</v>
      </c>
      <c r="I114" s="62" t="s">
        <v>2779</v>
      </c>
      <c r="J114" s="62" t="s">
        <v>271</v>
      </c>
    </row>
    <row r="115" spans="1:10" ht="15" x14ac:dyDescent="0.25">
      <c r="A115" s="40">
        <v>111</v>
      </c>
      <c r="B115" s="62" t="s">
        <v>2559</v>
      </c>
      <c r="C115" s="62" t="s">
        <v>330</v>
      </c>
      <c r="D115" s="62" t="s">
        <v>2373</v>
      </c>
      <c r="E115" s="62" t="s">
        <v>2374</v>
      </c>
      <c r="F115" s="62">
        <v>100</v>
      </c>
      <c r="G115" s="62">
        <v>101.86799999999999</v>
      </c>
      <c r="H115" s="62" t="s">
        <v>2292</v>
      </c>
      <c r="I115" s="62" t="s">
        <v>2551</v>
      </c>
      <c r="J115" s="62" t="s">
        <v>271</v>
      </c>
    </row>
    <row r="116" spans="1:10" ht="15" x14ac:dyDescent="0.25">
      <c r="A116" s="40">
        <v>112</v>
      </c>
      <c r="B116" s="62" t="s">
        <v>2560</v>
      </c>
      <c r="C116" s="62" t="s">
        <v>332</v>
      </c>
      <c r="D116" s="62" t="s">
        <v>2373</v>
      </c>
      <c r="E116" s="62" t="s">
        <v>2374</v>
      </c>
      <c r="F116" s="62">
        <v>100</v>
      </c>
      <c r="G116" s="62">
        <v>106.81659999999999</v>
      </c>
      <c r="H116" s="62" t="s">
        <v>2290</v>
      </c>
      <c r="I116" s="62" t="s">
        <v>2780</v>
      </c>
      <c r="J116" s="62" t="s">
        <v>271</v>
      </c>
    </row>
    <row r="117" spans="1:10" ht="15" x14ac:dyDescent="0.25">
      <c r="A117" s="40">
        <v>113</v>
      </c>
      <c r="B117" s="62" t="s">
        <v>2561</v>
      </c>
      <c r="C117" s="62" t="s">
        <v>334</v>
      </c>
      <c r="D117" s="62" t="s">
        <v>2373</v>
      </c>
      <c r="E117" s="62" t="s">
        <v>2374</v>
      </c>
      <c r="F117" s="62">
        <v>100</v>
      </c>
      <c r="G117" s="62">
        <v>110.7165</v>
      </c>
      <c r="H117" s="62" t="s">
        <v>2293</v>
      </c>
      <c r="I117" s="62" t="s">
        <v>2781</v>
      </c>
      <c r="J117" s="62" t="s">
        <v>271</v>
      </c>
    </row>
    <row r="118" spans="1:10" ht="15" x14ac:dyDescent="0.25">
      <c r="A118" s="40">
        <v>114</v>
      </c>
      <c r="B118" s="62" t="s">
        <v>2562</v>
      </c>
      <c r="C118" s="62" t="s">
        <v>336</v>
      </c>
      <c r="D118" s="62" t="s">
        <v>2373</v>
      </c>
      <c r="E118" s="62" t="s">
        <v>2374</v>
      </c>
      <c r="F118" s="62">
        <v>100</v>
      </c>
      <c r="G118" s="62">
        <v>110.7821</v>
      </c>
      <c r="H118" s="62" t="s">
        <v>2410</v>
      </c>
      <c r="I118" s="62" t="s">
        <v>2782</v>
      </c>
      <c r="J118" s="62" t="s">
        <v>271</v>
      </c>
    </row>
    <row r="119" spans="1:10" ht="15" x14ac:dyDescent="0.25">
      <c r="A119" s="40">
        <v>115</v>
      </c>
      <c r="B119" s="62" t="s">
        <v>2563</v>
      </c>
      <c r="C119" s="62" t="s">
        <v>338</v>
      </c>
      <c r="D119" s="62" t="s">
        <v>2373</v>
      </c>
      <c r="E119" s="62" t="s">
        <v>2374</v>
      </c>
      <c r="F119" s="62">
        <v>100</v>
      </c>
      <c r="G119" s="62">
        <v>107.767</v>
      </c>
      <c r="H119" s="62" t="s">
        <v>2294</v>
      </c>
      <c r="I119" s="62" t="s">
        <v>2783</v>
      </c>
      <c r="J119" s="62" t="s">
        <v>271</v>
      </c>
    </row>
    <row r="120" spans="1:10" ht="15" x14ac:dyDescent="0.25">
      <c r="A120" s="40">
        <v>116</v>
      </c>
      <c r="B120" s="62" t="s">
        <v>2564</v>
      </c>
      <c r="C120" s="62" t="s">
        <v>137</v>
      </c>
      <c r="D120" s="62" t="s">
        <v>2373</v>
      </c>
      <c r="E120" s="62" t="s">
        <v>2374</v>
      </c>
      <c r="F120" s="62">
        <v>91.075000000000003</v>
      </c>
      <c r="G120" s="62">
        <v>93.877200000000002</v>
      </c>
      <c r="H120" s="62" t="s">
        <v>2433</v>
      </c>
      <c r="I120" s="62" t="s">
        <v>2784</v>
      </c>
      <c r="J120" s="62" t="s">
        <v>271</v>
      </c>
    </row>
    <row r="121" spans="1:10" ht="15" x14ac:dyDescent="0.25">
      <c r="A121" s="40">
        <v>117</v>
      </c>
      <c r="B121" s="62" t="s">
        <v>2565</v>
      </c>
      <c r="C121" s="62" t="s">
        <v>139</v>
      </c>
      <c r="D121" s="62" t="s">
        <v>2373</v>
      </c>
      <c r="E121" s="62" t="s">
        <v>2374</v>
      </c>
      <c r="F121" s="62">
        <v>96.146600000000007</v>
      </c>
      <c r="G121" s="62">
        <v>103.4991</v>
      </c>
      <c r="H121" s="62" t="s">
        <v>2443</v>
      </c>
      <c r="I121" s="62" t="s">
        <v>2785</v>
      </c>
      <c r="J121" s="62" t="s">
        <v>271</v>
      </c>
    </row>
    <row r="122" spans="1:10" ht="15" x14ac:dyDescent="0.25">
      <c r="A122" s="40">
        <v>118</v>
      </c>
      <c r="B122" s="62" t="s">
        <v>2566</v>
      </c>
      <c r="C122" s="62" t="s">
        <v>141</v>
      </c>
      <c r="D122" s="62" t="s">
        <v>2373</v>
      </c>
      <c r="E122" s="62" t="s">
        <v>2374</v>
      </c>
      <c r="F122" s="62">
        <v>85.517899999999997</v>
      </c>
      <c r="G122" s="62">
        <v>91.151200000000003</v>
      </c>
      <c r="H122" s="62" t="s">
        <v>2444</v>
      </c>
      <c r="I122" s="62" t="s">
        <v>2786</v>
      </c>
      <c r="J122" s="62" t="s">
        <v>271</v>
      </c>
    </row>
    <row r="123" spans="1:10" ht="15" x14ac:dyDescent="0.25">
      <c r="A123" s="40">
        <v>119</v>
      </c>
      <c r="B123" s="62" t="s">
        <v>2567</v>
      </c>
      <c r="C123" s="62" t="s">
        <v>6</v>
      </c>
      <c r="D123" s="62" t="s">
        <v>2373</v>
      </c>
      <c r="E123" s="62" t="s">
        <v>2374</v>
      </c>
      <c r="F123" s="62">
        <v>87.203900000000004</v>
      </c>
      <c r="G123" s="62">
        <v>91.075000000000003</v>
      </c>
      <c r="H123" s="62" t="s">
        <v>2473</v>
      </c>
      <c r="I123" s="62" t="s">
        <v>2787</v>
      </c>
      <c r="J123" s="62" t="s">
        <v>271</v>
      </c>
    </row>
    <row r="124" spans="1:10" ht="15" x14ac:dyDescent="0.25">
      <c r="A124" s="40">
        <v>120</v>
      </c>
      <c r="B124" s="62" t="s">
        <v>2568</v>
      </c>
      <c r="C124" s="62" t="s">
        <v>144</v>
      </c>
      <c r="D124" s="62" t="s">
        <v>2373</v>
      </c>
      <c r="E124" s="62" t="s">
        <v>2374</v>
      </c>
      <c r="F124" s="62">
        <v>83.480599999999995</v>
      </c>
      <c r="G124" s="62">
        <v>89.613900000000001</v>
      </c>
      <c r="H124" s="62" t="s">
        <v>2426</v>
      </c>
      <c r="I124" s="62" t="s">
        <v>2788</v>
      </c>
      <c r="J124" s="62" t="s">
        <v>271</v>
      </c>
    </row>
    <row r="125" spans="1:10" ht="15" x14ac:dyDescent="0.25">
      <c r="A125" s="40">
        <v>121</v>
      </c>
      <c r="B125" s="62" t="s">
        <v>2569</v>
      </c>
      <c r="C125" s="62" t="s">
        <v>2066</v>
      </c>
      <c r="D125" s="62" t="s">
        <v>2373</v>
      </c>
      <c r="E125" s="62" t="s">
        <v>2374</v>
      </c>
      <c r="F125" s="62">
        <v>91.56</v>
      </c>
      <c r="G125" s="62">
        <v>98.454400000000007</v>
      </c>
      <c r="H125" s="62" t="s">
        <v>2446</v>
      </c>
      <c r="I125" s="62" t="s">
        <v>2789</v>
      </c>
      <c r="J125" s="62" t="s">
        <v>271</v>
      </c>
    </row>
    <row r="126" spans="1:10" ht="15" x14ac:dyDescent="0.25">
      <c r="A126" s="40">
        <v>122</v>
      </c>
      <c r="B126" s="62" t="s">
        <v>2570</v>
      </c>
      <c r="C126" s="62" t="s">
        <v>146</v>
      </c>
      <c r="D126" s="62" t="s">
        <v>2373</v>
      </c>
      <c r="E126" s="62" t="s">
        <v>2374</v>
      </c>
      <c r="F126" s="62">
        <v>85.385300000000001</v>
      </c>
      <c r="G126" s="62">
        <v>94.081199999999995</v>
      </c>
      <c r="H126" s="62" t="s">
        <v>2444</v>
      </c>
      <c r="I126" s="62" t="s">
        <v>2790</v>
      </c>
      <c r="J126" s="62" t="s">
        <v>271</v>
      </c>
    </row>
    <row r="127" spans="1:10" ht="15" x14ac:dyDescent="0.25">
      <c r="A127" s="40">
        <v>123</v>
      </c>
      <c r="B127" s="62" t="s">
        <v>2571</v>
      </c>
      <c r="C127" s="62" t="s">
        <v>8</v>
      </c>
      <c r="D127" s="62" t="s">
        <v>2373</v>
      </c>
      <c r="E127" s="62" t="s">
        <v>2374</v>
      </c>
      <c r="F127" s="62">
        <v>83.138800000000003</v>
      </c>
      <c r="G127" s="62">
        <v>83.959400000000002</v>
      </c>
      <c r="H127" s="62" t="s">
        <v>2444</v>
      </c>
      <c r="I127" s="62" t="s">
        <v>2791</v>
      </c>
      <c r="J127" s="62" t="s">
        <v>271</v>
      </c>
    </row>
    <row r="128" spans="1:10" ht="15" x14ac:dyDescent="0.25">
      <c r="A128" s="40">
        <v>124</v>
      </c>
      <c r="B128" s="62" t="s">
        <v>2572</v>
      </c>
      <c r="C128" s="62" t="s">
        <v>149</v>
      </c>
      <c r="D128" s="62" t="s">
        <v>2373</v>
      </c>
      <c r="E128" s="62" t="s">
        <v>2374</v>
      </c>
      <c r="F128" s="62">
        <v>82.681200000000004</v>
      </c>
      <c r="G128" s="62">
        <v>88.853399999999993</v>
      </c>
      <c r="H128" s="62" t="s">
        <v>2426</v>
      </c>
      <c r="I128" s="62" t="s">
        <v>2792</v>
      </c>
      <c r="J128" s="62" t="s">
        <v>271</v>
      </c>
    </row>
    <row r="129" spans="1:10" ht="15" x14ac:dyDescent="0.25">
      <c r="A129" s="40">
        <v>125</v>
      </c>
      <c r="B129" s="62" t="s">
        <v>2573</v>
      </c>
      <c r="C129" s="62" t="s">
        <v>151</v>
      </c>
      <c r="D129" s="62" t="s">
        <v>2373</v>
      </c>
      <c r="E129" s="62" t="s">
        <v>2374</v>
      </c>
      <c r="F129" s="62">
        <v>90.168400000000005</v>
      </c>
      <c r="G129" s="62">
        <v>94.212800000000001</v>
      </c>
      <c r="H129" s="62" t="s">
        <v>2448</v>
      </c>
      <c r="I129" s="62" t="s">
        <v>2793</v>
      </c>
      <c r="J129" s="62" t="s">
        <v>271</v>
      </c>
    </row>
    <row r="130" spans="1:10" ht="15" x14ac:dyDescent="0.25">
      <c r="A130" s="40">
        <v>126</v>
      </c>
      <c r="B130" s="62" t="s">
        <v>2574</v>
      </c>
      <c r="C130" s="62" t="s">
        <v>2243</v>
      </c>
      <c r="D130" s="62" t="s">
        <v>2373</v>
      </c>
      <c r="E130" s="62" t="s">
        <v>2374</v>
      </c>
      <c r="F130" s="62">
        <v>90.1511</v>
      </c>
      <c r="G130" s="62">
        <v>93.4024</v>
      </c>
      <c r="H130" s="62" t="s">
        <v>2447</v>
      </c>
      <c r="I130" s="62" t="s">
        <v>2794</v>
      </c>
      <c r="J130" s="62" t="s">
        <v>271</v>
      </c>
    </row>
    <row r="131" spans="1:10" ht="15" x14ac:dyDescent="0.25">
      <c r="A131" s="40">
        <v>127</v>
      </c>
      <c r="B131" s="62" t="s">
        <v>2575</v>
      </c>
      <c r="C131" s="62" t="s">
        <v>153</v>
      </c>
      <c r="D131" s="62" t="s">
        <v>2373</v>
      </c>
      <c r="E131" s="62" t="s">
        <v>2374</v>
      </c>
      <c r="F131" s="62">
        <v>94.420299999999997</v>
      </c>
      <c r="G131" s="62">
        <v>95.76</v>
      </c>
      <c r="H131" s="62" t="s">
        <v>2576</v>
      </c>
      <c r="I131" s="62" t="s">
        <v>2795</v>
      </c>
      <c r="J131" s="62" t="s">
        <v>271</v>
      </c>
    </row>
    <row r="132" spans="1:10" ht="15" x14ac:dyDescent="0.25">
      <c r="A132" s="40">
        <v>128</v>
      </c>
      <c r="B132" s="62" t="s">
        <v>2577</v>
      </c>
      <c r="C132" s="62" t="s">
        <v>7</v>
      </c>
      <c r="D132" s="62" t="s">
        <v>2373</v>
      </c>
      <c r="E132" s="62" t="s">
        <v>2374</v>
      </c>
      <c r="F132" s="62">
        <v>85.178600000000003</v>
      </c>
      <c r="G132" s="62">
        <v>89.639700000000005</v>
      </c>
      <c r="H132" s="62" t="s">
        <v>2444</v>
      </c>
      <c r="I132" s="62" t="s">
        <v>2796</v>
      </c>
      <c r="J132" s="62" t="s">
        <v>271</v>
      </c>
    </row>
    <row r="133" spans="1:10" ht="15" x14ac:dyDescent="0.25">
      <c r="A133" s="40">
        <v>129</v>
      </c>
      <c r="B133" s="62" t="s">
        <v>2578</v>
      </c>
      <c r="C133" s="62" t="s">
        <v>156</v>
      </c>
      <c r="D133" s="62" t="s">
        <v>2373</v>
      </c>
      <c r="E133" s="62" t="s">
        <v>2374</v>
      </c>
      <c r="F133" s="62">
        <v>89.159499999999994</v>
      </c>
      <c r="G133" s="62">
        <v>92.931700000000006</v>
      </c>
      <c r="H133" s="62" t="s">
        <v>2446</v>
      </c>
      <c r="I133" s="62" t="s">
        <v>2797</v>
      </c>
      <c r="J133" s="62" t="s">
        <v>271</v>
      </c>
    </row>
    <row r="134" spans="1:10" ht="15" x14ac:dyDescent="0.25">
      <c r="A134" s="40">
        <v>130</v>
      </c>
      <c r="B134" s="62" t="s">
        <v>2579</v>
      </c>
      <c r="C134" s="62" t="s">
        <v>2068</v>
      </c>
      <c r="D134" s="62" t="s">
        <v>2373</v>
      </c>
      <c r="E134" s="62" t="s">
        <v>2374</v>
      </c>
      <c r="F134" s="62">
        <v>89.857399999999998</v>
      </c>
      <c r="G134" s="62">
        <v>96.704599999999999</v>
      </c>
      <c r="H134" s="62" t="s">
        <v>2446</v>
      </c>
      <c r="I134" s="62" t="s">
        <v>2798</v>
      </c>
      <c r="J134" s="62" t="s">
        <v>271</v>
      </c>
    </row>
    <row r="135" spans="1:10" ht="15" x14ac:dyDescent="0.25">
      <c r="A135" s="40">
        <v>131</v>
      </c>
      <c r="B135" s="62" t="s">
        <v>2580</v>
      </c>
      <c r="C135" s="62" t="s">
        <v>158</v>
      </c>
      <c r="D135" s="62" t="s">
        <v>2373</v>
      </c>
      <c r="E135" s="62" t="s">
        <v>2374</v>
      </c>
      <c r="F135" s="62">
        <v>90.228700000000003</v>
      </c>
      <c r="G135" s="62">
        <v>94.478700000000003</v>
      </c>
      <c r="H135" s="62" t="s">
        <v>2581</v>
      </c>
      <c r="I135" s="62" t="s">
        <v>2799</v>
      </c>
      <c r="J135" s="62" t="s">
        <v>271</v>
      </c>
    </row>
    <row r="136" spans="1:10" ht="15" x14ac:dyDescent="0.25">
      <c r="A136" s="40">
        <v>132</v>
      </c>
      <c r="B136" s="62" t="s">
        <v>2582</v>
      </c>
      <c r="C136" s="62" t="s">
        <v>160</v>
      </c>
      <c r="D136" s="62" t="s">
        <v>2373</v>
      </c>
      <c r="E136" s="62" t="s">
        <v>2374</v>
      </c>
      <c r="F136" s="62">
        <v>88.491799999999998</v>
      </c>
      <c r="G136" s="62">
        <v>89.816800000000001</v>
      </c>
      <c r="H136" s="62" t="s">
        <v>2476</v>
      </c>
      <c r="I136" s="62" t="s">
        <v>2800</v>
      </c>
      <c r="J136" s="62" t="s">
        <v>271</v>
      </c>
    </row>
    <row r="137" spans="1:10" ht="15" x14ac:dyDescent="0.25">
      <c r="A137" s="40">
        <v>133</v>
      </c>
      <c r="B137" s="62" t="s">
        <v>2583</v>
      </c>
      <c r="C137" s="62" t="s">
        <v>9</v>
      </c>
      <c r="D137" s="62" t="s">
        <v>2373</v>
      </c>
      <c r="E137" s="62" t="s">
        <v>2374</v>
      </c>
      <c r="F137" s="62">
        <v>77.606499999999997</v>
      </c>
      <c r="G137" s="62">
        <v>82.155699999999996</v>
      </c>
      <c r="H137" s="62" t="s">
        <v>2448</v>
      </c>
      <c r="I137" s="62" t="s">
        <v>2801</v>
      </c>
      <c r="J137" s="62" t="s">
        <v>271</v>
      </c>
    </row>
    <row r="138" spans="1:10" ht="15" x14ac:dyDescent="0.25">
      <c r="A138" s="40">
        <v>134</v>
      </c>
      <c r="B138" s="62" t="s">
        <v>2584</v>
      </c>
      <c r="C138" s="62" t="s">
        <v>2041</v>
      </c>
      <c r="D138" s="62" t="s">
        <v>2373</v>
      </c>
      <c r="E138" s="62" t="s">
        <v>2374</v>
      </c>
      <c r="F138" s="62">
        <v>86.992000000000004</v>
      </c>
      <c r="G138" s="62">
        <v>94.497600000000006</v>
      </c>
      <c r="H138" s="62" t="s">
        <v>2475</v>
      </c>
      <c r="I138" s="62" t="s">
        <v>2802</v>
      </c>
      <c r="J138" s="62" t="s">
        <v>271</v>
      </c>
    </row>
    <row r="139" spans="1:10" ht="15" x14ac:dyDescent="0.25">
      <c r="A139" s="40">
        <v>135</v>
      </c>
      <c r="B139" s="62" t="s">
        <v>2585</v>
      </c>
      <c r="C139" s="62" t="s">
        <v>11</v>
      </c>
      <c r="D139" s="62" t="s">
        <v>2373</v>
      </c>
      <c r="E139" s="62" t="s">
        <v>2374</v>
      </c>
      <c r="F139" s="62">
        <v>75.979699999999994</v>
      </c>
      <c r="G139" s="62">
        <v>76.867199999999997</v>
      </c>
      <c r="H139" s="62" t="s">
        <v>2447</v>
      </c>
      <c r="I139" s="62" t="s">
        <v>2803</v>
      </c>
      <c r="J139" s="62" t="s">
        <v>271</v>
      </c>
    </row>
    <row r="140" spans="1:10" ht="15" x14ac:dyDescent="0.25">
      <c r="A140" s="40">
        <v>136</v>
      </c>
      <c r="B140" s="62" t="s">
        <v>2586</v>
      </c>
      <c r="C140" s="62" t="s">
        <v>164</v>
      </c>
      <c r="D140" s="62" t="s">
        <v>2373</v>
      </c>
      <c r="E140" s="62" t="s">
        <v>2374</v>
      </c>
      <c r="F140" s="62">
        <v>74.259699999999995</v>
      </c>
      <c r="G140" s="62">
        <v>74.348799999999997</v>
      </c>
      <c r="H140" s="62" t="s">
        <v>2426</v>
      </c>
      <c r="I140" s="62" t="s">
        <v>2804</v>
      </c>
      <c r="J140" s="62" t="s">
        <v>271</v>
      </c>
    </row>
    <row r="141" spans="1:10" ht="15" x14ac:dyDescent="0.25">
      <c r="A141" s="40">
        <v>137</v>
      </c>
      <c r="B141" s="62" t="s">
        <v>2587</v>
      </c>
      <c r="C141" s="62" t="s">
        <v>166</v>
      </c>
      <c r="D141" s="62" t="s">
        <v>2373</v>
      </c>
      <c r="E141" s="62" t="s">
        <v>2374</v>
      </c>
      <c r="F141" s="62">
        <v>86.438599999999994</v>
      </c>
      <c r="G141" s="62">
        <v>87.808099999999996</v>
      </c>
      <c r="H141" s="62" t="s">
        <v>2588</v>
      </c>
      <c r="I141" s="62" t="s">
        <v>2705</v>
      </c>
      <c r="J141" s="62" t="s">
        <v>271</v>
      </c>
    </row>
    <row r="142" spans="1:10" ht="15" x14ac:dyDescent="0.25">
      <c r="A142" s="40">
        <v>138</v>
      </c>
      <c r="B142" s="62" t="s">
        <v>2589</v>
      </c>
      <c r="C142" s="62" t="s">
        <v>168</v>
      </c>
      <c r="D142" s="62" t="s">
        <v>2373</v>
      </c>
      <c r="E142" s="62" t="s">
        <v>2374</v>
      </c>
      <c r="F142" s="62">
        <v>70.766800000000003</v>
      </c>
      <c r="G142" s="62">
        <v>73.251900000000006</v>
      </c>
      <c r="H142" s="62" t="s">
        <v>2446</v>
      </c>
      <c r="I142" s="62" t="s">
        <v>2805</v>
      </c>
      <c r="J142" s="62" t="s">
        <v>271</v>
      </c>
    </row>
    <row r="143" spans="1:10" ht="15" x14ac:dyDescent="0.25">
      <c r="A143" s="40">
        <v>139</v>
      </c>
      <c r="B143" s="62" t="s">
        <v>2590</v>
      </c>
      <c r="C143" s="62" t="s">
        <v>170</v>
      </c>
      <c r="D143" s="62" t="s">
        <v>2373</v>
      </c>
      <c r="E143" s="62" t="s">
        <v>2374</v>
      </c>
      <c r="F143" s="62">
        <v>70.781700000000001</v>
      </c>
      <c r="G143" s="62">
        <v>76.094700000000003</v>
      </c>
      <c r="H143" s="62" t="s">
        <v>2475</v>
      </c>
      <c r="I143" s="62" t="s">
        <v>2806</v>
      </c>
      <c r="J143" s="62" t="s">
        <v>271</v>
      </c>
    </row>
    <row r="144" spans="1:10" ht="15" x14ac:dyDescent="0.25">
      <c r="A144" s="40">
        <v>140</v>
      </c>
      <c r="B144" s="62" t="s">
        <v>2591</v>
      </c>
      <c r="C144" s="62" t="s">
        <v>2215</v>
      </c>
      <c r="D144" s="62" t="s">
        <v>2373</v>
      </c>
      <c r="E144" s="62" t="s">
        <v>2374</v>
      </c>
      <c r="F144" s="62">
        <v>86.1143</v>
      </c>
      <c r="G144" s="62">
        <v>89.796000000000006</v>
      </c>
      <c r="H144" s="62" t="s">
        <v>2447</v>
      </c>
      <c r="I144" s="62" t="s">
        <v>2807</v>
      </c>
      <c r="J144" s="62" t="s">
        <v>271</v>
      </c>
    </row>
    <row r="145" spans="1:10" ht="15" x14ac:dyDescent="0.25">
      <c r="A145" s="40">
        <v>141</v>
      </c>
      <c r="B145" s="62" t="s">
        <v>2592</v>
      </c>
      <c r="C145" s="62" t="s">
        <v>172</v>
      </c>
      <c r="D145" s="62" t="s">
        <v>2373</v>
      </c>
      <c r="E145" s="62" t="s">
        <v>2374</v>
      </c>
      <c r="F145" s="62">
        <v>98.932400000000001</v>
      </c>
      <c r="G145" s="62">
        <v>103.5531</v>
      </c>
      <c r="H145" s="62" t="s">
        <v>2808</v>
      </c>
      <c r="I145" s="62" t="s">
        <v>2809</v>
      </c>
      <c r="J145" s="62" t="s">
        <v>271</v>
      </c>
    </row>
    <row r="146" spans="1:10" ht="15" x14ac:dyDescent="0.25">
      <c r="A146" s="40">
        <v>142</v>
      </c>
      <c r="B146" s="62" t="s">
        <v>2593</v>
      </c>
      <c r="C146" s="62" t="s">
        <v>174</v>
      </c>
      <c r="D146" s="62" t="s">
        <v>2373</v>
      </c>
      <c r="E146" s="62" t="s">
        <v>2374</v>
      </c>
      <c r="F146" s="62">
        <v>97.651399999999995</v>
      </c>
      <c r="G146" s="62">
        <v>101.5403</v>
      </c>
      <c r="H146" s="62" t="s">
        <v>2594</v>
      </c>
      <c r="I146" s="62" t="s">
        <v>2810</v>
      </c>
      <c r="J146" s="62" t="s">
        <v>271</v>
      </c>
    </row>
    <row r="147" spans="1:10" ht="15" x14ac:dyDescent="0.25">
      <c r="A147" s="40">
        <v>143</v>
      </c>
      <c r="B147" s="62" t="s">
        <v>2595</v>
      </c>
      <c r="C147" s="62" t="s">
        <v>10</v>
      </c>
      <c r="D147" s="62" t="s">
        <v>2373</v>
      </c>
      <c r="E147" s="62" t="s">
        <v>2374</v>
      </c>
      <c r="F147" s="62">
        <v>67.992400000000004</v>
      </c>
      <c r="G147" s="62">
        <v>71.043800000000005</v>
      </c>
      <c r="H147" s="62" t="s">
        <v>2447</v>
      </c>
      <c r="I147" s="62" t="s">
        <v>2811</v>
      </c>
      <c r="J147" s="62" t="s">
        <v>271</v>
      </c>
    </row>
    <row r="148" spans="1:10" ht="15" x14ac:dyDescent="0.25">
      <c r="A148" s="40">
        <v>144</v>
      </c>
      <c r="B148" s="62" t="s">
        <v>2596</v>
      </c>
      <c r="C148" s="62" t="s">
        <v>177</v>
      </c>
      <c r="D148" s="62" t="s">
        <v>2373</v>
      </c>
      <c r="E148" s="62" t="s">
        <v>2374</v>
      </c>
      <c r="F148" s="62">
        <v>69.824399999999997</v>
      </c>
      <c r="G148" s="62">
        <v>74.550799999999995</v>
      </c>
      <c r="H148" s="62" t="s">
        <v>2447</v>
      </c>
      <c r="I148" s="62" t="s">
        <v>2812</v>
      </c>
      <c r="J148" s="62" t="s">
        <v>271</v>
      </c>
    </row>
    <row r="149" spans="1:10" ht="15" x14ac:dyDescent="0.25">
      <c r="A149" s="40">
        <v>145</v>
      </c>
      <c r="B149" s="62" t="s">
        <v>2597</v>
      </c>
      <c r="C149" s="62" t="s">
        <v>179</v>
      </c>
      <c r="D149" s="62" t="s">
        <v>2373</v>
      </c>
      <c r="E149" s="62" t="s">
        <v>2374</v>
      </c>
      <c r="F149" s="62">
        <v>97.548599999999993</v>
      </c>
      <c r="G149" s="62">
        <v>101.77970000000001</v>
      </c>
      <c r="H149" s="62" t="s">
        <v>2594</v>
      </c>
      <c r="I149" s="62" t="s">
        <v>2813</v>
      </c>
      <c r="J149" s="62" t="s">
        <v>271</v>
      </c>
    </row>
    <row r="150" spans="1:10" ht="15" x14ac:dyDescent="0.25">
      <c r="A150" s="40">
        <v>146</v>
      </c>
      <c r="B150" s="62" t="s">
        <v>2598</v>
      </c>
      <c r="C150" s="62" t="s">
        <v>181</v>
      </c>
      <c r="D150" s="62" t="s">
        <v>2373</v>
      </c>
      <c r="E150" s="62" t="s">
        <v>2374</v>
      </c>
      <c r="F150" s="62">
        <v>90.684600000000003</v>
      </c>
      <c r="G150" s="62">
        <v>90.806799999999996</v>
      </c>
      <c r="H150" s="62" t="s">
        <v>2599</v>
      </c>
      <c r="I150" s="62" t="s">
        <v>2814</v>
      </c>
      <c r="J150" s="62" t="s">
        <v>271</v>
      </c>
    </row>
    <row r="151" spans="1:10" ht="15" x14ac:dyDescent="0.25">
      <c r="A151" s="40">
        <v>147</v>
      </c>
      <c r="B151" s="62" t="s">
        <v>2600</v>
      </c>
      <c r="C151" s="62" t="s">
        <v>183</v>
      </c>
      <c r="D151" s="62" t="s">
        <v>2373</v>
      </c>
      <c r="E151" s="62" t="s">
        <v>2374</v>
      </c>
      <c r="F151" s="62">
        <v>87.753799999999998</v>
      </c>
      <c r="G151" s="62">
        <v>91.545500000000004</v>
      </c>
      <c r="H151" s="62" t="s">
        <v>2474</v>
      </c>
      <c r="I151" s="62" t="s">
        <v>2815</v>
      </c>
      <c r="J151" s="62" t="s">
        <v>271</v>
      </c>
    </row>
    <row r="152" spans="1:10" ht="15" x14ac:dyDescent="0.25">
      <c r="A152" s="40">
        <v>148</v>
      </c>
      <c r="B152" s="62" t="s">
        <v>2601</v>
      </c>
      <c r="C152" s="62" t="s">
        <v>5</v>
      </c>
      <c r="D152" s="62" t="s">
        <v>2373</v>
      </c>
      <c r="E152" s="62" t="s">
        <v>2374</v>
      </c>
      <c r="F152" s="62">
        <v>85.404700000000005</v>
      </c>
      <c r="G152" s="62">
        <v>87.677000000000007</v>
      </c>
      <c r="H152" s="62" t="s">
        <v>2581</v>
      </c>
      <c r="I152" s="62" t="s">
        <v>2816</v>
      </c>
      <c r="J152" s="62" t="s">
        <v>271</v>
      </c>
    </row>
    <row r="153" spans="1:10" ht="15" x14ac:dyDescent="0.25">
      <c r="A153" s="40">
        <v>149</v>
      </c>
      <c r="B153" s="62" t="s">
        <v>2602</v>
      </c>
      <c r="C153" s="62" t="s">
        <v>186</v>
      </c>
      <c r="D153" s="62" t="s">
        <v>2373</v>
      </c>
      <c r="E153" s="62" t="s">
        <v>2374</v>
      </c>
      <c r="F153" s="62">
        <v>81.673900000000003</v>
      </c>
      <c r="G153" s="62">
        <v>86.828400000000002</v>
      </c>
      <c r="H153" s="62" t="s">
        <v>2603</v>
      </c>
      <c r="I153" s="62" t="s">
        <v>2817</v>
      </c>
      <c r="J153" s="62" t="s">
        <v>271</v>
      </c>
    </row>
    <row r="154" spans="1:10" ht="15" x14ac:dyDescent="0.25">
      <c r="A154" s="40">
        <v>150</v>
      </c>
      <c r="B154" s="62" t="s">
        <v>2604</v>
      </c>
      <c r="C154" s="62" t="s">
        <v>188</v>
      </c>
      <c r="D154" s="62" t="s">
        <v>2373</v>
      </c>
      <c r="E154" s="62" t="s">
        <v>2374</v>
      </c>
      <c r="F154" s="62">
        <v>82.613900000000001</v>
      </c>
      <c r="G154" s="62">
        <v>88.066699999999997</v>
      </c>
      <c r="H154" s="62" t="s">
        <v>2477</v>
      </c>
      <c r="I154" s="62" t="s">
        <v>2818</v>
      </c>
      <c r="J154" s="62" t="s">
        <v>271</v>
      </c>
    </row>
    <row r="155" spans="1:10" ht="15" x14ac:dyDescent="0.25">
      <c r="A155" s="40">
        <v>151</v>
      </c>
      <c r="B155" s="62" t="s">
        <v>2605</v>
      </c>
      <c r="C155" s="62" t="s">
        <v>190</v>
      </c>
      <c r="D155" s="62" t="s">
        <v>2373</v>
      </c>
      <c r="E155" s="62" t="s">
        <v>2374</v>
      </c>
      <c r="F155" s="62">
        <v>77.1952</v>
      </c>
      <c r="G155" s="62">
        <v>82.329400000000007</v>
      </c>
      <c r="H155" s="62" t="s">
        <v>2448</v>
      </c>
      <c r="I155" s="62" t="s">
        <v>2819</v>
      </c>
      <c r="J155" s="62" t="s">
        <v>271</v>
      </c>
    </row>
    <row r="156" spans="1:10" ht="15" x14ac:dyDescent="0.25">
      <c r="A156" s="40">
        <v>152</v>
      </c>
      <c r="B156" s="62" t="s">
        <v>2606</v>
      </c>
      <c r="C156" s="62" t="s">
        <v>192</v>
      </c>
      <c r="D156" s="62" t="s">
        <v>2373</v>
      </c>
      <c r="E156" s="62" t="s">
        <v>2374</v>
      </c>
      <c r="F156" s="62">
        <v>75.150199999999998</v>
      </c>
      <c r="G156" s="62">
        <v>75.427499999999995</v>
      </c>
      <c r="H156" s="62" t="s">
        <v>2446</v>
      </c>
      <c r="I156" s="62" t="s">
        <v>2820</v>
      </c>
      <c r="J156" s="62" t="s">
        <v>271</v>
      </c>
    </row>
    <row r="157" spans="1:10" ht="15" x14ac:dyDescent="0.25">
      <c r="A157" s="40">
        <v>153</v>
      </c>
      <c r="B157" s="62" t="s">
        <v>2607</v>
      </c>
      <c r="C157" s="62" t="s">
        <v>194</v>
      </c>
      <c r="D157" s="62" t="s">
        <v>2373</v>
      </c>
      <c r="E157" s="62" t="s">
        <v>2374</v>
      </c>
      <c r="F157" s="62">
        <v>72.889399999999995</v>
      </c>
      <c r="G157" s="62">
        <v>77.198700000000002</v>
      </c>
      <c r="H157" s="62" t="s">
        <v>2426</v>
      </c>
      <c r="I157" s="62" t="s">
        <v>2792</v>
      </c>
      <c r="J157" s="62" t="s">
        <v>271</v>
      </c>
    </row>
    <row r="158" spans="1:10" ht="15" x14ac:dyDescent="0.25">
      <c r="A158" s="40">
        <v>154</v>
      </c>
      <c r="B158" s="62" t="s">
        <v>2608</v>
      </c>
      <c r="C158" s="62" t="s">
        <v>196</v>
      </c>
      <c r="D158" s="62" t="s">
        <v>2373</v>
      </c>
      <c r="E158" s="62" t="s">
        <v>2374</v>
      </c>
      <c r="F158" s="62">
        <v>66.373699999999999</v>
      </c>
      <c r="G158" s="62">
        <v>69.789599999999993</v>
      </c>
      <c r="H158" s="62" t="s">
        <v>2447</v>
      </c>
      <c r="I158" s="62" t="s">
        <v>2821</v>
      </c>
      <c r="J158" s="62" t="s">
        <v>271</v>
      </c>
    </row>
    <row r="159" spans="1:10" ht="15" x14ac:dyDescent="0.25">
      <c r="A159" s="40">
        <v>155</v>
      </c>
      <c r="B159" s="62" t="s">
        <v>2609</v>
      </c>
      <c r="C159" s="62" t="s">
        <v>198</v>
      </c>
      <c r="D159" s="62" t="s">
        <v>2373</v>
      </c>
      <c r="E159" s="62" t="s">
        <v>2374</v>
      </c>
      <c r="F159" s="62">
        <v>65.442899999999995</v>
      </c>
      <c r="G159" s="62">
        <v>68.333399999999997</v>
      </c>
      <c r="H159" s="62" t="s">
        <v>2447</v>
      </c>
      <c r="I159" s="62" t="s">
        <v>2822</v>
      </c>
      <c r="J159" s="62" t="s">
        <v>271</v>
      </c>
    </row>
    <row r="160" spans="1:10" ht="15" x14ac:dyDescent="0.25">
      <c r="A160" s="40">
        <v>156</v>
      </c>
      <c r="B160" s="62" t="s">
        <v>2610</v>
      </c>
      <c r="C160" s="62" t="s">
        <v>200</v>
      </c>
      <c r="D160" s="62" t="s">
        <v>2373</v>
      </c>
      <c r="E160" s="62" t="s">
        <v>2374</v>
      </c>
      <c r="F160" s="62">
        <v>70.772999999999996</v>
      </c>
      <c r="G160" s="62">
        <v>70.802899999999994</v>
      </c>
      <c r="H160" s="62" t="s">
        <v>2426</v>
      </c>
      <c r="I160" s="62" t="s">
        <v>2823</v>
      </c>
      <c r="J160" s="62" t="s">
        <v>271</v>
      </c>
    </row>
    <row r="161" spans="1:10" ht="15" x14ac:dyDescent="0.25">
      <c r="A161" s="40">
        <v>157</v>
      </c>
      <c r="B161" s="62" t="s">
        <v>2611</v>
      </c>
      <c r="C161" s="62" t="s">
        <v>202</v>
      </c>
      <c r="D161" s="62" t="s">
        <v>2373</v>
      </c>
      <c r="E161" s="62" t="s">
        <v>2374</v>
      </c>
      <c r="F161" s="62">
        <v>71.470500000000001</v>
      </c>
      <c r="G161" s="62">
        <v>77.854900000000001</v>
      </c>
      <c r="H161" s="62" t="s">
        <v>2426</v>
      </c>
      <c r="I161" s="62" t="s">
        <v>2824</v>
      </c>
      <c r="J161" s="62" t="s">
        <v>271</v>
      </c>
    </row>
    <row r="162" spans="1:10" ht="15" x14ac:dyDescent="0.25">
      <c r="A162" s="40">
        <v>158</v>
      </c>
      <c r="B162" s="62" t="s">
        <v>2612</v>
      </c>
      <c r="C162" s="62" t="s">
        <v>204</v>
      </c>
      <c r="D162" s="62" t="s">
        <v>2373</v>
      </c>
      <c r="E162" s="62" t="s">
        <v>2374</v>
      </c>
      <c r="F162" s="62">
        <v>80.692700000000002</v>
      </c>
      <c r="G162" s="62">
        <v>85.212400000000002</v>
      </c>
      <c r="H162" s="62" t="s">
        <v>2477</v>
      </c>
      <c r="I162" s="62" t="s">
        <v>2825</v>
      </c>
      <c r="J162" s="62" t="s">
        <v>271</v>
      </c>
    </row>
    <row r="163" spans="1:10" ht="17.25" customHeight="1" x14ac:dyDescent="0.25">
      <c r="A163" s="40">
        <v>159</v>
      </c>
      <c r="B163" s="62" t="s">
        <v>2613</v>
      </c>
      <c r="C163" s="62" t="s">
        <v>206</v>
      </c>
      <c r="D163" s="62" t="s">
        <v>2373</v>
      </c>
      <c r="E163" s="62" t="s">
        <v>2374</v>
      </c>
      <c r="F163" s="62">
        <v>76.390900000000002</v>
      </c>
      <c r="G163" s="62">
        <v>78.168700000000001</v>
      </c>
      <c r="H163" s="62" t="s">
        <v>2443</v>
      </c>
      <c r="I163" s="62" t="s">
        <v>2826</v>
      </c>
      <c r="J163" s="62" t="s">
        <v>271</v>
      </c>
    </row>
    <row r="164" spans="1:10" ht="17.25" customHeight="1" x14ac:dyDescent="0.25">
      <c r="A164" s="40">
        <v>160</v>
      </c>
      <c r="B164" s="62" t="s">
        <v>2614</v>
      </c>
      <c r="C164" s="62" t="s">
        <v>208</v>
      </c>
      <c r="D164" s="62" t="s">
        <v>2373</v>
      </c>
      <c r="E164" s="62" t="s">
        <v>2374</v>
      </c>
      <c r="F164" s="62">
        <v>74.592799999999997</v>
      </c>
      <c r="G164" s="62">
        <v>79.726100000000002</v>
      </c>
      <c r="H164" s="62" t="s">
        <v>2448</v>
      </c>
      <c r="I164" s="62" t="s">
        <v>2827</v>
      </c>
      <c r="J164" s="62" t="s">
        <v>271</v>
      </c>
    </row>
    <row r="165" spans="1:10" ht="17.25" customHeight="1" x14ac:dyDescent="0.25">
      <c r="A165" s="15">
        <v>161</v>
      </c>
      <c r="B165" s="62" t="s">
        <v>2615</v>
      </c>
      <c r="C165" s="62" t="s">
        <v>210</v>
      </c>
      <c r="D165" s="62" t="s">
        <v>2373</v>
      </c>
      <c r="E165" s="62" t="s">
        <v>2374</v>
      </c>
      <c r="F165" s="62">
        <v>59.6188</v>
      </c>
      <c r="G165" s="62">
        <v>60.231200000000001</v>
      </c>
      <c r="H165" s="62" t="s">
        <v>2426</v>
      </c>
      <c r="I165" s="62" t="s">
        <v>2828</v>
      </c>
      <c r="J165" s="62" t="s">
        <v>271</v>
      </c>
    </row>
    <row r="166" spans="1:10" ht="17.25" customHeight="1" x14ac:dyDescent="0.25">
      <c r="A166" s="15">
        <v>162</v>
      </c>
      <c r="B166" s="62" t="s">
        <v>2616</v>
      </c>
      <c r="C166" s="62" t="s">
        <v>212</v>
      </c>
      <c r="D166" s="62" t="s">
        <v>2373</v>
      </c>
      <c r="E166" s="62" t="s">
        <v>2374</v>
      </c>
      <c r="F166" s="62">
        <v>59.811999999999998</v>
      </c>
      <c r="G166" s="62">
        <v>64.524500000000003</v>
      </c>
      <c r="H166" s="62" t="s">
        <v>2475</v>
      </c>
      <c r="I166" s="62" t="s">
        <v>2829</v>
      </c>
      <c r="J166" s="62" t="s">
        <v>271</v>
      </c>
    </row>
    <row r="167" spans="1:10" ht="17.25" customHeight="1" x14ac:dyDescent="0.25">
      <c r="A167" s="15">
        <v>163</v>
      </c>
      <c r="B167" s="62" t="s">
        <v>2617</v>
      </c>
      <c r="C167" s="62" t="s">
        <v>214</v>
      </c>
      <c r="D167" s="62" t="s">
        <v>2373</v>
      </c>
      <c r="E167" s="62" t="s">
        <v>2374</v>
      </c>
      <c r="F167" s="62">
        <v>56.648400000000002</v>
      </c>
      <c r="G167" s="62">
        <v>58.512300000000003</v>
      </c>
      <c r="H167" s="62" t="s">
        <v>2447</v>
      </c>
      <c r="I167" s="62" t="s">
        <v>2830</v>
      </c>
      <c r="J167" s="62" t="s">
        <v>271</v>
      </c>
    </row>
    <row r="168" spans="1:10" ht="17.25" customHeight="1" x14ac:dyDescent="0.25">
      <c r="A168" s="15">
        <v>164</v>
      </c>
      <c r="B168" s="62" t="s">
        <v>2618</v>
      </c>
      <c r="C168" s="62" t="s">
        <v>12</v>
      </c>
      <c r="D168" s="62" t="s">
        <v>2373</v>
      </c>
      <c r="E168" s="62" t="s">
        <v>2374</v>
      </c>
      <c r="F168" s="62">
        <v>61.462800000000001</v>
      </c>
      <c r="G168" s="62">
        <v>63.7941</v>
      </c>
      <c r="H168" s="62" t="s">
        <v>2447</v>
      </c>
      <c r="I168" s="62" t="s">
        <v>2831</v>
      </c>
      <c r="J168" s="62" t="s">
        <v>271</v>
      </c>
    </row>
    <row r="169" spans="1:10" ht="17.25" customHeight="1" x14ac:dyDescent="0.25">
      <c r="A169" s="15">
        <v>165</v>
      </c>
      <c r="B169" s="62" t="s">
        <v>2619</v>
      </c>
      <c r="C169" s="62" t="s">
        <v>13</v>
      </c>
      <c r="D169" s="62" t="s">
        <v>2373</v>
      </c>
      <c r="E169" s="62" t="s">
        <v>2374</v>
      </c>
      <c r="F169" s="62">
        <v>59.9923</v>
      </c>
      <c r="G169" s="62">
        <v>64.632599999999996</v>
      </c>
      <c r="H169" s="62" t="s">
        <v>2426</v>
      </c>
      <c r="I169" s="62" t="s">
        <v>2832</v>
      </c>
      <c r="J169" s="62" t="s">
        <v>271</v>
      </c>
    </row>
    <row r="170" spans="1:10" ht="17.25" customHeight="1" x14ac:dyDescent="0.25">
      <c r="A170" s="15">
        <v>166</v>
      </c>
      <c r="B170" s="62" t="s">
        <v>2620</v>
      </c>
      <c r="C170" s="62" t="s">
        <v>218</v>
      </c>
      <c r="D170" s="62" t="s">
        <v>2373</v>
      </c>
      <c r="E170" s="62" t="s">
        <v>2374</v>
      </c>
      <c r="F170" s="62">
        <v>53.674599999999998</v>
      </c>
      <c r="G170" s="62">
        <v>59.072899999999997</v>
      </c>
      <c r="H170" s="62" t="s">
        <v>2426</v>
      </c>
      <c r="I170" s="62" t="s">
        <v>2833</v>
      </c>
      <c r="J170" s="62" t="s">
        <v>271</v>
      </c>
    </row>
    <row r="171" spans="1:10" ht="17.25" customHeight="1" x14ac:dyDescent="0.25">
      <c r="A171" s="15">
        <v>167</v>
      </c>
      <c r="B171" s="62" t="s">
        <v>2621</v>
      </c>
      <c r="C171" s="62" t="s">
        <v>220</v>
      </c>
      <c r="D171" s="62" t="s">
        <v>2373</v>
      </c>
      <c r="E171" s="62" t="s">
        <v>2374</v>
      </c>
      <c r="F171" s="62">
        <v>55.5548</v>
      </c>
      <c r="G171" s="62">
        <v>56.273800000000001</v>
      </c>
      <c r="H171" s="62" t="s">
        <v>2426</v>
      </c>
      <c r="I171" s="62" t="s">
        <v>2834</v>
      </c>
      <c r="J171" s="62" t="s">
        <v>271</v>
      </c>
    </row>
    <row r="172" spans="1:10" ht="17.25" customHeight="1" x14ac:dyDescent="0.25">
      <c r="A172" s="15">
        <v>168</v>
      </c>
      <c r="B172" s="62" t="s">
        <v>2622</v>
      </c>
      <c r="C172" s="62" t="s">
        <v>222</v>
      </c>
      <c r="D172" s="62" t="s">
        <v>2373</v>
      </c>
      <c r="E172" s="62" t="s">
        <v>2374</v>
      </c>
      <c r="F172" s="62">
        <v>55.001100000000001</v>
      </c>
      <c r="G172" s="62">
        <v>59.186100000000003</v>
      </c>
      <c r="H172" s="62" t="s">
        <v>2475</v>
      </c>
      <c r="I172" s="62" t="s">
        <v>2835</v>
      </c>
      <c r="J172" s="62" t="s">
        <v>271</v>
      </c>
    </row>
    <row r="173" spans="1:10" ht="17.25" customHeight="1" x14ac:dyDescent="0.25">
      <c r="A173" s="15">
        <v>169</v>
      </c>
      <c r="B173" s="62" t="s">
        <v>2623</v>
      </c>
      <c r="C173" s="62" t="s">
        <v>224</v>
      </c>
      <c r="D173" s="62" t="s">
        <v>2373</v>
      </c>
      <c r="E173" s="62" t="s">
        <v>2374</v>
      </c>
      <c r="F173" s="62">
        <v>54.016800000000003</v>
      </c>
      <c r="G173" s="62">
        <v>61.945999999999998</v>
      </c>
      <c r="H173" s="62" t="s">
        <v>2475</v>
      </c>
      <c r="I173" s="62" t="s">
        <v>2836</v>
      </c>
      <c r="J173" s="62" t="s">
        <v>271</v>
      </c>
    </row>
    <row r="174" spans="1:10" ht="17.25" customHeight="1" x14ac:dyDescent="0.25">
      <c r="A174" s="15">
        <v>170</v>
      </c>
      <c r="B174" s="62" t="s">
        <v>2624</v>
      </c>
      <c r="C174" s="62" t="s">
        <v>2101</v>
      </c>
      <c r="D174" s="62" t="s">
        <v>2373</v>
      </c>
      <c r="E174" s="62" t="s">
        <v>2374</v>
      </c>
      <c r="F174" s="62">
        <v>100</v>
      </c>
      <c r="G174" s="62">
        <v>105.7946</v>
      </c>
      <c r="H174" s="62" t="s">
        <v>2339</v>
      </c>
      <c r="I174" s="62" t="s">
        <v>2837</v>
      </c>
      <c r="J174" s="62" t="s">
        <v>271</v>
      </c>
    </row>
    <row r="175" spans="1:10" ht="17.25" customHeight="1" x14ac:dyDescent="0.25">
      <c r="A175" s="15">
        <v>171</v>
      </c>
      <c r="B175" s="62" t="s">
        <v>2625</v>
      </c>
      <c r="C175" s="62" t="s">
        <v>229</v>
      </c>
      <c r="D175" s="62" t="s">
        <v>2352</v>
      </c>
      <c r="E175" s="62" t="s">
        <v>2415</v>
      </c>
      <c r="F175" s="62">
        <v>100.1592</v>
      </c>
      <c r="G175" s="62">
        <v>107.0967</v>
      </c>
      <c r="H175" s="62" t="s">
        <v>2838</v>
      </c>
      <c r="I175" s="62" t="s">
        <v>2839</v>
      </c>
      <c r="J175" s="62" t="s">
        <v>271</v>
      </c>
    </row>
    <row r="176" spans="1:10" ht="17.25" customHeight="1" x14ac:dyDescent="0.25">
      <c r="A176" s="15">
        <v>172</v>
      </c>
      <c r="B176" s="62" t="s">
        <v>2626</v>
      </c>
      <c r="C176" s="62" t="s">
        <v>2156</v>
      </c>
      <c r="D176" s="62" t="s">
        <v>2352</v>
      </c>
      <c r="E176" s="62" t="s">
        <v>2415</v>
      </c>
      <c r="F176" s="62">
        <v>99.963200000000001</v>
      </c>
      <c r="G176" s="62">
        <v>102.866</v>
      </c>
      <c r="H176" s="62" t="s">
        <v>2416</v>
      </c>
      <c r="I176" s="62" t="s">
        <v>2840</v>
      </c>
      <c r="J176" s="62" t="s">
        <v>271</v>
      </c>
    </row>
    <row r="177" spans="1:10" ht="17.25" customHeight="1" x14ac:dyDescent="0.25">
      <c r="A177" s="15">
        <v>173</v>
      </c>
      <c r="B177" s="62" t="s">
        <v>2627</v>
      </c>
      <c r="C177" s="62" t="s">
        <v>2449</v>
      </c>
      <c r="D177" s="62" t="s">
        <v>2373</v>
      </c>
      <c r="E177" s="62" t="s">
        <v>2379</v>
      </c>
      <c r="F177" s="62">
        <v>99.124200000000002</v>
      </c>
      <c r="G177" s="62">
        <v>99.124200000000002</v>
      </c>
      <c r="H177" s="62" t="s">
        <v>2628</v>
      </c>
      <c r="I177" s="62" t="s">
        <v>2841</v>
      </c>
      <c r="J177" s="62" t="s">
        <v>271</v>
      </c>
    </row>
    <row r="178" spans="1:10" ht="17.25" customHeight="1" x14ac:dyDescent="0.25">
      <c r="A178" s="15">
        <v>174</v>
      </c>
      <c r="B178" s="62" t="s">
        <v>2629</v>
      </c>
      <c r="C178" s="62" t="s">
        <v>1589</v>
      </c>
      <c r="D178" s="62" t="s">
        <v>2352</v>
      </c>
      <c r="E178" s="62" t="s">
        <v>2380</v>
      </c>
      <c r="F178" s="63">
        <v>3418.127</v>
      </c>
      <c r="G178" s="63">
        <v>3418.127</v>
      </c>
      <c r="H178" s="62" t="s">
        <v>343</v>
      </c>
      <c r="I178" s="62" t="s">
        <v>2842</v>
      </c>
      <c r="J178" s="62" t="s">
        <v>2393</v>
      </c>
    </row>
    <row r="179" spans="1:10" ht="17.25" customHeight="1" x14ac:dyDescent="0.25">
      <c r="A179" s="15">
        <v>175</v>
      </c>
      <c r="B179" s="62" t="s">
        <v>2631</v>
      </c>
      <c r="C179" s="62" t="s">
        <v>431</v>
      </c>
      <c r="D179" s="62" t="s">
        <v>2352</v>
      </c>
      <c r="E179" s="62" t="s">
        <v>2381</v>
      </c>
      <c r="F179" s="62">
        <v>96.544399999999996</v>
      </c>
      <c r="G179" s="62">
        <v>97.2</v>
      </c>
      <c r="H179" s="62" t="s">
        <v>2843</v>
      </c>
      <c r="I179" s="62" t="s">
        <v>2844</v>
      </c>
      <c r="J179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E24F7A75-0869-44A9-95DA-866660D44F1F}"/>
    <hyperlink ref="E5" r:id="rId2" display="https://kase.kz/ru/listing/issuers/AIRA" xr:uid="{75146243-13F5-43DB-90F0-1C50838343EC}"/>
    <hyperlink ref="B6" r:id="rId3" display="https://kase.kz/ru/investors/depts/AIRAd" xr:uid="{F69FFA58-20CC-4C4B-8D3C-0F0FF48121ED}"/>
    <hyperlink ref="E6" r:id="rId4" display="https://kase.kz/ru/listing/issuers/AIRA" xr:uid="{B5E9E45F-6765-42DF-842C-3FCA1EA135B8}"/>
    <hyperlink ref="B7" r:id="rId5" display="https://kase.kz/ru/investors/shares/AKZM" xr:uid="{EA4A58F6-A71B-4831-A415-F99B21AE642C}"/>
    <hyperlink ref="E7" r:id="rId6" display="https://kase.kz/ru/listing/issuers/AKZM" xr:uid="{BD23C240-0F60-47BA-A7F3-9C528B580E46}"/>
    <hyperlink ref="B8" r:id="rId7" display="https://kase.kz/ru/investors/bonds/ALMSb1" xr:uid="{74C7B135-BB3F-4B27-8735-9255626BC398}"/>
    <hyperlink ref="E8" r:id="rId8" display="https://kase.kz/ru/listing/issuers/ALMS" xr:uid="{E35CC019-5668-4A8A-8051-8712AED65E89}"/>
    <hyperlink ref="B9" r:id="rId9" display="https://kase.kz/ru/investors/shares/ASBN" xr:uid="{6130E47B-FDD6-44E7-BED2-E4BAF034F65F}"/>
    <hyperlink ref="E9" r:id="rId10" display="https://kase.kz/ru/listing/issuers/ASBN" xr:uid="{BBC50A8B-7A62-4102-B15B-DA0394B39568}"/>
    <hyperlink ref="B10" r:id="rId11" display="https://kase.kz/ru/investors/bonds/ASKQb1" xr:uid="{0BBC507D-FB1B-496C-9C17-A20E545F8828}"/>
    <hyperlink ref="E10" r:id="rId12" display="https://kase.kz/ru/listing/issuers/ASKQ" xr:uid="{C38F207F-D51C-4354-9F95-349A9E991CDF}"/>
    <hyperlink ref="B11" r:id="rId13" display="https://kase.kz/ru/investors/mifs/BCCIbe" xr:uid="{F072B5B1-E5D6-4BCF-AF54-2A8CF1C0EA7C}"/>
    <hyperlink ref="E11" r:id="rId14" display="https://kase.kz/ru/listing/issuers/BCCI" xr:uid="{9ECFCC7D-A4E5-4993-A233-1487672B5101}"/>
    <hyperlink ref="B12" r:id="rId15" display="https://kase.kz/ru/investors/mifs/BCCIrb" xr:uid="{AFEAA415-A0BC-433B-8701-D28B5BFE0287}"/>
    <hyperlink ref="E12" r:id="rId16" display="https://kase.kz/ru/listing/issuers/BCCI" xr:uid="{C37EDF18-9269-4577-9285-E6153C2CB632}"/>
    <hyperlink ref="B13" r:id="rId17" display="https://kase.kz/ru/investors/bonds/BIGDb5" xr:uid="{B7E18CBF-4CDC-4300-8D80-BA310D69357C}"/>
    <hyperlink ref="E13" r:id="rId18" display="https://kase.kz/ru/listing/issuers/BIGD" xr:uid="{95A737B2-3F0A-44F6-8B9A-AB5AD7355229}"/>
    <hyperlink ref="B14" r:id="rId19" display="https://kase.kz/ru/investors/bonds/BRKZe18" xr:uid="{B89E9A61-8336-484F-802E-DFBF7C9A38D3}"/>
    <hyperlink ref="E14" r:id="rId20" display="https://kase.kz/ru/listing/issuers/BRKZ" xr:uid="{10DA1EB3-C563-4300-AEB6-74FE1CD833BE}"/>
    <hyperlink ref="B15" r:id="rId21" display="https://kase.kz/ru/investors/bonds/BRKZe4" xr:uid="{AFCA8DCC-5F60-4DA6-B2B2-659E32FAAA94}"/>
    <hyperlink ref="E15" r:id="rId22" display="https://kase.kz/ru/listing/issuers/BRKZ" xr:uid="{EE76ACB4-3074-4BEE-B4D5-B181C99BBDD0}"/>
    <hyperlink ref="B16" r:id="rId23" display="https://kase.kz/ru/investors/bonds/BTRKe1" xr:uid="{AFCD08F1-F940-4ACD-8A7C-65114CAB1CA2}"/>
    <hyperlink ref="E16" r:id="rId24" display="https://kase.kz/ru/listing/issuers/BTRK" xr:uid="{34BF25F0-9FEB-4B13-9DE2-5BF0779BF6D2}"/>
    <hyperlink ref="B17" r:id="rId25" display="https://kase.kz/ru/investors/shares/CCBN" xr:uid="{FD2DA5EA-5B28-4283-ADAB-A1764910AD78}"/>
    <hyperlink ref="E17" r:id="rId26" display="https://kase.kz/ru/listing/issuers/CCBN" xr:uid="{56B9C3F9-A261-4C2E-8E09-345B786258F9}"/>
    <hyperlink ref="B18" r:id="rId27" display="https://kase.kz/ru/investors/shares/CCBNp" xr:uid="{D42FF9D5-15F7-4B1B-8E8C-FA081D027157}"/>
    <hyperlink ref="E18" r:id="rId28" display="https://kase.kz/ru/listing/issuers/CCBN" xr:uid="{6E5F4ECE-58F7-46EC-BA29-46144948CC54}"/>
    <hyperlink ref="B19" r:id="rId29" display="https://kase.kz/ru/investors/mifs/CSECfe" xr:uid="{4BC305EF-936E-42B9-AB12-3571413066A4}"/>
    <hyperlink ref="E19" r:id="rId30" display="https://kase.kz/ru/listing/issuers/CSEC" xr:uid="{94189EED-BEBD-41BE-9B78-1488BA653E60}"/>
    <hyperlink ref="B20" r:id="rId31" display="https://kase.kz/ru/investors/mifs/CSECtf" xr:uid="{A940FA9B-AE81-42B8-AECE-6C6D56FF0F4A}"/>
    <hyperlink ref="E20" r:id="rId32" display="https://kase.kz/ru/listing/issuers/CSEC" xr:uid="{D229B8A3-05E6-4E06-B8ED-F6BE917D097A}"/>
    <hyperlink ref="B21" r:id="rId33" display="https://kase.kz/ru/investors/bonds/EABRb40" xr:uid="{AA7B3F7C-8183-4685-9652-EC58D0386023}"/>
    <hyperlink ref="E21" r:id="rId34" display="https://kase.kz/ru/listing/issuers/EABR" xr:uid="{A35AE6AB-0032-409F-B37A-B1581E6C8BBA}"/>
    <hyperlink ref="B22" r:id="rId35" display="https://kase.kz/ru/investors/bonds/EABRb42" xr:uid="{32ED441F-E74A-4B13-A5DB-0EEF6396A54B}"/>
    <hyperlink ref="E22" r:id="rId36" display="https://kase.kz/ru/listing/issuers/EABR" xr:uid="{6B003675-9CA9-40EB-9FDA-7EFBC9851B79}"/>
    <hyperlink ref="B23" r:id="rId37" display="https://kase.kz/ru/investors/bonds/EABRb53" xr:uid="{5A9CD667-548B-457B-9055-6F8AEB6C6D64}"/>
    <hyperlink ref="E23" r:id="rId38" display="https://kase.kz/ru/listing/issuers/EABR" xr:uid="{A14303D9-B143-4D98-8C6F-2910A5E484AB}"/>
    <hyperlink ref="B24" r:id="rId39" display="https://kase.kz/ru/investors/mifs/FFIN_or" xr:uid="{A161AEDF-0DE8-46E6-8DB5-19FBDCD8CCB0}"/>
    <hyperlink ref="E24" r:id="rId40" display="https://kase.kz/ru/listing/issuers/FFIN" xr:uid="{529446FE-92D1-4502-9676-48DAF0A7084D}"/>
    <hyperlink ref="B25" r:id="rId41" display="https://kase.kz/ru/investors/mifs/FFINgw" xr:uid="{A38828F2-2803-41E9-A90F-26D66EF3EBE8}"/>
    <hyperlink ref="E25" r:id="rId42" display="https://kase.kz/ru/listing/issuers/FFIN" xr:uid="{57CA34C7-0151-4DC0-867D-4EECFCFF8144}"/>
    <hyperlink ref="B26" r:id="rId43" display="https://kase.kz/ru/investors/mifs/FHJIag" xr:uid="{0CD6DD50-1896-45DD-866E-67B5ED064FF0}"/>
    <hyperlink ref="E26" r:id="rId44" display="https://kase.kz/ru/listing/issuers/FHJI" xr:uid="{3BBE2C7B-9A25-4090-AE8C-BF169EF3A3CA}"/>
    <hyperlink ref="B27" r:id="rId45" display="https://kase.kz/ru/investors/mifs/FHJIpc" xr:uid="{9A110B81-7ECB-46BB-8B95-695D52B3D08A}"/>
    <hyperlink ref="E27" r:id="rId46" display="https://kase.kz/ru/listing/issuers/FHJI" xr:uid="{2137EFE6-19D0-4922-B865-5BA4B9EA90DD}"/>
    <hyperlink ref="B28" r:id="rId47" display="https://kase.kz/ru/investors/bonds/HCBNb13" xr:uid="{E82E06C3-0A26-4735-B455-6941E4AA3E6D}"/>
    <hyperlink ref="E28" r:id="rId48" display="https://kase.kz/ru/listing/issuers/HCBN" xr:uid="{25E7C26B-A25D-4311-A1FA-1B918D65D31B}"/>
    <hyperlink ref="B29" r:id="rId49" display="https://kase.kz/ru/investors/mifs/HFINhl" xr:uid="{DA6788E6-B034-4D93-8BBA-68C9759F7360}"/>
    <hyperlink ref="E29" r:id="rId50" display="https://kase.kz/ru/listing/issuers/HFIN" xr:uid="{CEF39739-F9F2-4B4D-8271-28B33F509B52}"/>
    <hyperlink ref="B30" r:id="rId51" display="https://kase.kz/ru/investors/mifs/HFINhp" xr:uid="{50B35472-FA28-4FDC-A8F9-FCB7C48C9487}"/>
    <hyperlink ref="E30" r:id="rId52" display="https://kase.kz/ru/listing/issuers/HFIN" xr:uid="{44237C51-47DF-42FD-AB05-A058F2F4BB4D}"/>
    <hyperlink ref="B31" r:id="rId53" display="https://kase.kz/ru/investors/mifs/HFINhs" xr:uid="{3D6ADCA5-A305-46B5-A26F-C71DC8D3A17B}"/>
    <hyperlink ref="E31" r:id="rId54" display="https://kase.kz/ru/listing/issuers/HFIN" xr:uid="{96FB7EF5-9EB6-4D72-8A0F-9031E52226B7}"/>
    <hyperlink ref="B32" r:id="rId55" display="https://kase.kz/ru/investors/mifs/HFINhv" xr:uid="{554EDA6A-0CED-4B7D-8C6E-978EAC2E8E19}"/>
    <hyperlink ref="E32" r:id="rId56" display="https://kase.kz/ru/listing/issuers/HFIN" xr:uid="{D9CBEAEA-0B2A-4BAD-83DB-6ECB647580B6}"/>
    <hyperlink ref="B33" r:id="rId57" display="https://kase.kz/ru/investors/shares/HSBK" xr:uid="{8A498533-8454-4A8A-8BC6-56BD351B29D3}"/>
    <hyperlink ref="E33" r:id="rId58" display="https://kase.kz/ru/listing/issuers/HSBK" xr:uid="{33A0B1D7-26F7-416E-ACE0-086588CFE3F8}"/>
    <hyperlink ref="B34" r:id="rId59" display="https://kase.kz/ru/investors/depts/HSBKd" xr:uid="{999961E5-81E5-4D6F-BF2C-656E681BE2BA}"/>
    <hyperlink ref="E34" r:id="rId60" display="https://kase.kz/ru/listing/issuers/HSBK" xr:uid="{51D778C7-F04D-4079-83F1-C8EA6C6F2452}"/>
    <hyperlink ref="B35" r:id="rId61" display="https://kase.kz/ru/investors/shares/IFDR" xr:uid="{FEAD5C2E-84E6-4DE3-BBB9-6EC723DF1E16}"/>
    <hyperlink ref="E35" r:id="rId62" display="https://kase.kz/ru/listing/issuers/TCIB" xr:uid="{5A0D13B2-3118-433C-B296-6601E579261E}"/>
    <hyperlink ref="B36" r:id="rId63" display="https://kase.kz/ru/investors/shares/KCEL" xr:uid="{51FD67FE-84BD-4531-8F6F-6D514BF3ECA3}"/>
    <hyperlink ref="E36" r:id="rId64" display="https://kase.kz/ru/listing/issuers/KCEL" xr:uid="{44A514A9-70B7-4C3B-9DC4-E6A621BA7D23}"/>
    <hyperlink ref="B37" r:id="rId65" display="https://kase.kz/ru/investors/shares/KEGC" xr:uid="{6F1DFFB7-67B6-49B5-AB5E-5174B9725AD8}"/>
    <hyperlink ref="E37" r:id="rId66" display="https://kase.kz/ru/listing/issuers/KEGC" xr:uid="{68C8C82E-5FCF-47CD-B713-0A9145296293}"/>
    <hyperlink ref="B38" r:id="rId67" display="https://kase.kz/ru/investors/bonds/KFUSb45" xr:uid="{6BEC6807-165E-40F9-851F-28D2BF125BA1}"/>
    <hyperlink ref="E38" r:id="rId68" display="https://kase.kz/ru/listing/issuers/KFUS" xr:uid="{803B3F67-2658-447F-B85D-A85D92E7A5A4}"/>
    <hyperlink ref="B39" r:id="rId69" display="https://kase.kz/ru/investors/shares/KMGZ" xr:uid="{9EB443E4-F86C-46FB-8CEC-5D821F7D80B6}"/>
    <hyperlink ref="E39" r:id="rId70" display="https://kase.kz/ru/listing/issuers/KMGZ" xr:uid="{6FC971ED-5BE5-426A-B076-6821CF3A1299}"/>
    <hyperlink ref="B40" r:id="rId71" display="https://kase.kz/ru/investors/bonds/KMGZe12" xr:uid="{8E73B75F-236E-4815-BCF7-45325C0AF0BC}"/>
    <hyperlink ref="E40" r:id="rId72" display="https://kase.kz/ru/listing/issuers/KMGZ" xr:uid="{4347A3E3-4A7F-4C73-BA0A-0A32C84EC290}"/>
    <hyperlink ref="B41" r:id="rId73" display="https://kase.kz/ru/investors/bonds/KMGZe14" xr:uid="{6E4DD6D7-E51F-4305-95E3-DC1A9359711A}"/>
    <hyperlink ref="E41" r:id="rId74" display="https://kase.kz/ru/listing/issuers/KMGZ" xr:uid="{26469016-912E-4126-B7CD-B2919F71C0B1}"/>
    <hyperlink ref="B42" r:id="rId75" display="https://kase.kz/ru/investors/bonds/KMGZe15" xr:uid="{989A7F6A-8493-4365-A596-6620A4BC4518}"/>
    <hyperlink ref="E42" r:id="rId76" display="https://kase.kz/ru/listing/issuers/KMGZ" xr:uid="{90A41910-DF8F-4203-A04A-FD09873CF872}"/>
    <hyperlink ref="B43" r:id="rId77" display="https://kase.kz/ru/investors/bonds/KMGZe16" xr:uid="{7F3A49C9-A9E0-48C3-94F2-64D81E5E1131}"/>
    <hyperlink ref="E43" r:id="rId78" display="https://kase.kz/ru/listing/issuers/KMGZ" xr:uid="{64515ED0-C4B5-41C4-8B19-1B650322941E}"/>
    <hyperlink ref="B44" r:id="rId79" display="https://kase.kz/ru/investors/shares/KSPI" xr:uid="{8697FC47-852B-4F99-9466-C1BE12996FF8}"/>
    <hyperlink ref="E44" r:id="rId80" display="https://kase.kz/ru/listing/issuers/KSPI" xr:uid="{65663C4B-649B-4E0F-BC5E-284876EB60FE}"/>
    <hyperlink ref="B45" r:id="rId81" display="https://kase.kz/ru/investors/depts/KSPId" xr:uid="{3C58EEF9-0B94-40BC-8376-5DB4428A3E26}"/>
    <hyperlink ref="E45" r:id="rId82" display="https://kase.kz/ru/listing/issuers/KSPI" xr:uid="{56ADF8CB-5FA4-40A6-A82A-695CB3F625C0}"/>
    <hyperlink ref="B46" r:id="rId83" display="https://kase.kz/ru/investors/shares/KZAP" xr:uid="{D88EFB42-0EAA-45D3-B40E-E99B2D1A09A4}"/>
    <hyperlink ref="E46" r:id="rId84" display="https://kase.kz/ru/listing/issuers/KZAP" xr:uid="{6A9F00D6-A450-48D3-978F-510A97BC2CC0}"/>
    <hyperlink ref="B47" r:id="rId85" display="https://kase.kz/ru/investors/bonds/KZTCb3" xr:uid="{4A80065E-1465-4D37-AF28-A2866CC9850C}"/>
    <hyperlink ref="E47" r:id="rId86" display="https://kase.kz/ru/listing/issuers/KZTC" xr:uid="{2A751BE4-A18E-48A7-932B-6D8F0A50B26B}"/>
    <hyperlink ref="B48" r:id="rId87" display="https://kase.kz/ru/investors/shares/KZTK" xr:uid="{D9446A58-C3D3-48BA-A4F0-B75F4B27A0B5}"/>
    <hyperlink ref="E48" r:id="rId88" display="https://kase.kz/ru/listing/issuers/KZTK" xr:uid="{84DF3B47-3175-4488-8EF7-E61598AD1CEE}"/>
    <hyperlink ref="B49" r:id="rId89" display="https://kase.kz/ru/investors/shares/KZTKp" xr:uid="{6E474698-590E-4251-8B4B-3B37C71DA381}"/>
    <hyperlink ref="E49" r:id="rId90" display="https://kase.kz/ru/listing/issuers/KZTK" xr:uid="{8EE6C2F1-62E0-42CF-AF0F-FEF5DEDB7353}"/>
    <hyperlink ref="B50" r:id="rId91" display="https://kase.kz/ru/investors/shares/KZTO" xr:uid="{AA8A3D4E-45A1-4798-A540-D99B8D732773}"/>
    <hyperlink ref="E50" r:id="rId92" display="https://kase.kz/ru/listing/issuers/KZTO" xr:uid="{5C13E977-1BFB-4F31-8F2C-7AC86997F34B}"/>
    <hyperlink ref="B51" r:id="rId93" display="https://kase.kz/ru/investors/gsecs/KZ_23_3504" xr:uid="{D82C77E6-FAC4-41E5-BB74-3D899DA50B6E}"/>
    <hyperlink ref="E51" r:id="rId94" display="https://kase.kz/ru/listing/issuers/MFRK" xr:uid="{B4A68DC6-26CB-465F-A3AF-F4FB0C19A58B}"/>
    <hyperlink ref="B52" r:id="rId95" display="https://kase.kz/ru/investors/bonds/MFKTb4" xr:uid="{AB89AA49-7A5D-4DB3-B07E-24AD0A6A9969}"/>
    <hyperlink ref="E52" r:id="rId96" display="https://kase.kz/ru/listing/issuers/MFKT" xr:uid="{D350F07C-E5DF-4712-AFB6-4988E9F594BB}"/>
    <hyperlink ref="B53" r:id="rId97" display="https://kase.kz/ru/investors/bonds/MFMCb2" xr:uid="{67040EA9-C179-4D58-87DF-6DC82AA1322B}"/>
    <hyperlink ref="E53" r:id="rId98" display="https://kase.kz/ru/listing/issuers/MFMC" xr:uid="{B2E3A62D-F0C8-4F7F-8EE2-D3530563F75A}"/>
    <hyperlink ref="B54" r:id="rId99" display="https://kase.kz/ru/investors/bonds/MFMOb10" xr:uid="{B488704D-3975-4732-AF9D-90DCE64EDC05}"/>
    <hyperlink ref="E54" r:id="rId100" display="https://kase.kz/ru/listing/issuers/MFMO" xr:uid="{D0E52907-480F-4840-8933-C7CF6600B1ED}"/>
    <hyperlink ref="B55" r:id="rId101" display="https://kase.kz/ru/investors/bonds/MFMOb17" xr:uid="{7B3F060F-DD51-4C88-8E11-D091E438BF6A}"/>
    <hyperlink ref="E55" r:id="rId102" display="https://kase.kz/ru/listing/issuers/MFMO" xr:uid="{BF5E0DF7-34D3-4817-8BDD-0001F8D6B029}"/>
    <hyperlink ref="B56" r:id="rId103" display="https://kase.kz/ru/investors/bonds/MFMOb23" xr:uid="{24827C47-6B30-4235-8BC0-F2CFCE4A8CE0}"/>
    <hyperlink ref="E56" r:id="rId104" display="https://kase.kz/ru/listing/issuers/MFMO" xr:uid="{EAB3C4AE-A4BD-4002-9746-FDCD5E18F302}"/>
    <hyperlink ref="B57" r:id="rId105" display="https://kase.kz/ru/investors/bonds/MFMOb25" xr:uid="{B3EBF85B-B4A3-4C75-B906-AD172B0118F2}"/>
    <hyperlink ref="E57" r:id="rId106" display="https://kase.kz/ru/listing/issuers/MFMO" xr:uid="{91A9239E-A204-4978-992F-35DC07196DCB}"/>
    <hyperlink ref="B58" r:id="rId107" display="https://kase.kz/ru/investors/bonds/MFMOb26" xr:uid="{25651EF1-A7F6-4E07-A999-A62211D2B996}"/>
    <hyperlink ref="E58" r:id="rId108" display="https://kase.kz/ru/listing/issuers/MFMO" xr:uid="{7F120125-EF4D-4517-A09C-731109E6F9F1}"/>
    <hyperlink ref="B59" r:id="rId109" display="https://kase.kz/ru/investors/bonds/MFMOb27" xr:uid="{6A0C7F08-4781-4D30-85E9-147ED02D9674}"/>
    <hyperlink ref="E59" r:id="rId110" display="https://kase.kz/ru/listing/issuers/MFMO" xr:uid="{63A1A1CE-9C50-4D70-B3EC-4B054B71A7AB}"/>
    <hyperlink ref="B60" r:id="rId111" display="https://kase.kz/ru/investors/bonds/MFMOb28" xr:uid="{276FDE11-015A-48F7-8CBB-B03DCACCF5C6}"/>
    <hyperlink ref="E60" r:id="rId112" display="https://kase.kz/ru/listing/issuers/MFMO" xr:uid="{1A7C2DE1-7C00-478B-82B4-AEC3AA152419}"/>
    <hyperlink ref="B61" r:id="rId113" display="https://kase.kz/ru/investors/bonds/MFOKb16" xr:uid="{50FEF2D5-AB90-4B9E-9952-A35BC16A4332}"/>
    <hyperlink ref="E61" r:id="rId114" display="https://kase.kz/ru/listing/issuers/MFOK" xr:uid="{2ED5193B-5C3D-4CC2-99B7-EB216F6B1C2A}"/>
    <hyperlink ref="B62" r:id="rId115" display="https://kase.kz/ru/investors/bonds/MFOKb18" xr:uid="{33CCB9DB-CC85-4C66-9F47-D4FD38CD724D}"/>
    <hyperlink ref="E62" r:id="rId116" display="https://kase.kz/ru/listing/issuers/MFOK" xr:uid="{72824476-E0A1-455B-8946-74FB8A3F77F6}"/>
    <hyperlink ref="B63" r:id="rId117" display="https://kase.kz/ru/investors/bonds/MFOKb19" xr:uid="{A3FC79DF-5949-4D06-A009-6BA024F32C6D}"/>
    <hyperlink ref="E63" r:id="rId118" display="https://kase.kz/ru/listing/issuers/MFOK" xr:uid="{99DDD5AE-9626-4B87-A2B0-236A756C3F7A}"/>
    <hyperlink ref="B64" r:id="rId119" display="https://kase.kz/ru/investors/bonds/MFOKb20" xr:uid="{3AE71417-E6BC-4C1D-9432-E339EEBD7CC4}"/>
    <hyperlink ref="E64" r:id="rId120" display="https://kase.kz/ru/listing/issuers/MFOK" xr:uid="{9F5431DB-D333-4569-986F-CDE592105341}"/>
    <hyperlink ref="B65" r:id="rId121" display="https://kase.kz/ru/investors/bonds/MFOKb21" xr:uid="{8818A1BC-230B-454D-AF7D-ABFBC06ED120}"/>
    <hyperlink ref="E65" r:id="rId122" display="https://kase.kz/ru/listing/issuers/MFOK" xr:uid="{4FD004E5-CD65-4D4D-A311-4D3E24C0069A}"/>
    <hyperlink ref="B66" r:id="rId123" display="https://kase.kz/ru/investors/bonds/MFOKb22" xr:uid="{D61D7F54-333B-43D6-A681-409E01F4D96E}"/>
    <hyperlink ref="E66" r:id="rId124" display="https://kase.kz/ru/listing/issuers/MFOK" xr:uid="{CC794A7D-D126-42CE-8719-4D3682F4D9BD}"/>
    <hyperlink ref="B67" r:id="rId125" display="https://kase.kz/ru/investors/bonds/MFOKb24" xr:uid="{A98B0056-99C2-4F7D-A89E-4E9C238D1A0B}"/>
    <hyperlink ref="E67" r:id="rId126" display="https://kase.kz/ru/listing/issuers/MFOK" xr:uid="{150B0538-22E9-46EB-84BB-62E5ED7B4AE2}"/>
    <hyperlink ref="B68" r:id="rId127" display="https://kase.kz/ru/investors/bonds/MFOKb25" xr:uid="{F608110D-783A-4F9F-B253-68FDD5CCFEA8}"/>
    <hyperlink ref="E68" r:id="rId128" display="https://kase.kz/ru/listing/issuers/MFOK" xr:uid="{EA363277-B419-464A-8BE1-72F709C82C25}"/>
    <hyperlink ref="B69" r:id="rId129" display="https://kase.kz/ru/investors/bonds/MFOKb26" xr:uid="{4039E7B8-CE84-4208-8A94-06BFDC76C06A}"/>
    <hyperlink ref="E69" r:id="rId130" display="https://kase.kz/ru/listing/issuers/MFOK" xr:uid="{A8A849D0-C817-41A7-8DD0-E5F136B53258}"/>
    <hyperlink ref="B70" r:id="rId131" display="https://kase.kz/ru/investors/bonds/MFRFb12" xr:uid="{CBD75FB7-423B-48CF-85F6-8210015AD781}"/>
    <hyperlink ref="E70" r:id="rId132" display="https://kase.kz/ru/listing/issuers/MFRF" xr:uid="{39DE3A59-6570-44C0-A09F-3398491D3DCE}"/>
    <hyperlink ref="B71" r:id="rId133" display="https://kase.kz/ru/investors/bonds/MFRFb13" xr:uid="{5F4487B8-9C3A-4041-8912-312A204B0234}"/>
    <hyperlink ref="E71" r:id="rId134" display="https://kase.kz/ru/listing/issuers/MFRF" xr:uid="{83BFF52F-6ED5-4CFE-9390-543AAA8BBB25}"/>
    <hyperlink ref="B72" r:id="rId135" display="https://kase.kz/ru/investors/bonds/MFRFb14" xr:uid="{F1EE71F8-79CC-4874-8230-DF4751D01869}"/>
    <hyperlink ref="E72" r:id="rId136" display="https://kase.kz/ru/listing/issuers/MFRF" xr:uid="{F1CE21D7-E3D5-4ED9-87AA-6CA681F4A2E7}"/>
    <hyperlink ref="B73" r:id="rId137" display="https://kase.kz/ru/investors/bonds/MFRFb16" xr:uid="{DB5CDBA9-9625-45B9-82A7-81DA2A22951F}"/>
    <hyperlink ref="E73" r:id="rId138" display="https://kase.kz/ru/listing/issuers/MFRF" xr:uid="{1C156D9C-3F8C-4DE4-A9ED-A52AAF539312}"/>
    <hyperlink ref="B74" r:id="rId139" display="https://kase.kz/ru/investors/bonds/MFRFb18" xr:uid="{4AD0E7D0-A6BC-49C8-B89E-4C7483C06058}"/>
    <hyperlink ref="E74" r:id="rId140" display="https://kase.kz/ru/listing/issuers/MFRF" xr:uid="{D5386608-5E60-4117-8FCA-25DC5984379E}"/>
    <hyperlink ref="B75" r:id="rId141" display="https://kase.kz/ru/investors/bonds/MFRFb19" xr:uid="{F35AC989-7247-46FB-9EF5-297F78165C94}"/>
    <hyperlink ref="E75" r:id="rId142" display="https://kase.kz/ru/listing/issuers/MFRF" xr:uid="{2C29031E-BCF9-42F8-9E5B-17C005918AED}"/>
    <hyperlink ref="B76" r:id="rId143" display="https://kase.kz/ru/investors/bonds/MFRFb21" xr:uid="{91E2C980-3856-4EA8-BA2B-8E44528A8FFC}"/>
    <hyperlink ref="E76" r:id="rId144" display="https://kase.kz/ru/listing/issuers/MFRF" xr:uid="{B7EDD5C1-1FEB-4977-94AC-486E5AB1511D}"/>
    <hyperlink ref="B77" r:id="rId145" display="https://kase.kz/ru/investors/bonds/MFSLb11" xr:uid="{4106ED33-4793-48E0-B062-795C0FE1F9C4}"/>
    <hyperlink ref="E77" r:id="rId146" display="https://kase.kz/ru/listing/issuers/MFSL" xr:uid="{50683F81-6925-484C-B6EE-54DD636C696C}"/>
    <hyperlink ref="B78" r:id="rId147" display="https://kase.kz/ru/investors/gsecs/MKM012_0159" xr:uid="{9B163840-D11E-40BF-BCC8-01D906D49E36}"/>
    <hyperlink ref="E78" r:id="rId148" display="https://kase.kz/ru/listing/issuers/MFRK" xr:uid="{24021885-106A-40A1-A55A-A8FF05767356}"/>
    <hyperlink ref="B79" r:id="rId149" display="https://kase.kz/ru/investors/gsecs/MKM012_0160" xr:uid="{8277BD04-0C84-44E5-9136-3C1D54CCB885}"/>
    <hyperlink ref="E79" r:id="rId150" display="https://kase.kz/ru/listing/issuers/MFRK" xr:uid="{9D753A09-972E-4A56-8AAA-420A37F6CC25}"/>
    <hyperlink ref="B80" r:id="rId151" display="https://kase.kz/ru/investors/gsecs/MKM012_0161" xr:uid="{4B908FD9-8472-4796-AB5A-FD703A31232B}"/>
    <hyperlink ref="E80" r:id="rId152" display="https://kase.kz/ru/listing/issuers/MFRK" xr:uid="{6F0074F8-22E0-4CBC-B4AE-341ED587C2A3}"/>
    <hyperlink ref="B81" r:id="rId153" display="https://kase.kz/ru/investors/gsecs/MOM048_0052" xr:uid="{B42B151C-5615-4154-ACB4-5272161412DA}"/>
    <hyperlink ref="E81" r:id="rId154" display="https://kase.kz/ru/listing/issuers/MFRK" xr:uid="{91B3D0A2-08D1-4619-8C2E-BC4324EFC4E3}"/>
    <hyperlink ref="B82" r:id="rId155" display="https://kase.kz/ru/investors/gsecs/MOM048_0053" xr:uid="{9FC199FE-4652-49CE-B819-8CC3BECBD2FA}"/>
    <hyperlink ref="E82" r:id="rId156" display="https://kase.kz/ru/listing/issuers/MFRK" xr:uid="{BE25D927-F48F-4E36-A9C9-658D763FAF4F}"/>
    <hyperlink ref="B83" r:id="rId157" display="https://kase.kz/ru/investors/gsecs/MOM048_0054" xr:uid="{4DD3D193-3664-4509-8C28-8A64F172D54A}"/>
    <hyperlink ref="E83" r:id="rId158" display="https://kase.kz/ru/listing/issuers/MFRK" xr:uid="{0748B13B-F381-4DF1-8A59-6C4CC048586E}"/>
    <hyperlink ref="B84" r:id="rId159" display="https://kase.kz/ru/investors/gsecs/MOM048_0056" xr:uid="{34F82BEF-70D7-43B8-A0EE-E873A6C3BB96}"/>
    <hyperlink ref="E84" r:id="rId160" display="https://kase.kz/ru/listing/issuers/MFRK" xr:uid="{145A0D26-1852-4C34-9EAF-EB3BD1E9FAC3}"/>
    <hyperlink ref="B85" r:id="rId161" display="https://kase.kz/ru/investors/gsecs/MOM060_0052" xr:uid="{0F94E5E6-CABA-4F58-83CB-D1530E45EF08}"/>
    <hyperlink ref="E85" r:id="rId162" display="https://kase.kz/ru/listing/issuers/MFRK" xr:uid="{39F76276-FA89-480E-AC6F-F4FBCC131412}"/>
    <hyperlink ref="B86" r:id="rId163" display="https://kase.kz/ru/investors/gsecs/MOM060_0054" xr:uid="{26B1C594-AA8C-4134-A38B-FAA3CE70557D}"/>
    <hyperlink ref="E86" r:id="rId164" display="https://kase.kz/ru/listing/issuers/MFRK" xr:uid="{9447935F-E8EA-49A2-AF63-B9CA371CCD7D}"/>
    <hyperlink ref="B87" r:id="rId165" display="https://kase.kz/ru/investors/gsecs/MTC048_0001" xr:uid="{A145600B-BE3A-4634-9815-98DFEA086F72}"/>
    <hyperlink ref="E87" r:id="rId166" display="https://kase.kz/ru/listing/issuers/MFRK" xr:uid="{3766EB9F-95F5-4D01-A996-3DB6B3B270D6}"/>
    <hyperlink ref="B88" r:id="rId167" display="https://kase.kz/ru/investors/gsecs/MTM048_0001" xr:uid="{72D08EB9-1789-49FB-88FF-2714D6DA7F2B}"/>
    <hyperlink ref="E88" r:id="rId168" display="https://kase.kz/ru/listing/issuers/MFRK" xr:uid="{94C15A63-46B1-4F13-A250-23059E55E68D}"/>
    <hyperlink ref="B89" r:id="rId169" display="https://kase.kz/ru/investors/gsecs/MTM060_0001" xr:uid="{C4902170-DF77-4BE7-91C8-C8854B0C5D02}"/>
    <hyperlink ref="E89" r:id="rId170" display="https://kase.kz/ru/listing/issuers/MFRK" xr:uid="{03586E8A-1865-4BFC-A0AA-BCEB2888C5DD}"/>
    <hyperlink ref="B90" r:id="rId171" display="https://kase.kz/ru/investors/gsecs/MTM072_0001" xr:uid="{6EF5242B-5AE2-4C84-80AE-1755C510097F}"/>
    <hyperlink ref="E90" r:id="rId172" display="https://kase.kz/ru/listing/issuers/MFRK" xr:uid="{44C9DEF4-2AED-4C18-919F-D45A53EA4DDD}"/>
    <hyperlink ref="B91" r:id="rId173" display="https://kase.kz/ru/investors/gsecs/MTM084_0001" xr:uid="{BA0FF508-9416-4814-A585-A5C26FB79B16}"/>
    <hyperlink ref="E91" r:id="rId174" display="https://kase.kz/ru/listing/issuers/MFRK" xr:uid="{21C13E0A-D8F3-4A16-821D-DBB17DEAF6AE}"/>
    <hyperlink ref="B92" r:id="rId175" display="https://kase.kz/ru/investors/gsecs/MTM096_0001" xr:uid="{14E4BF52-678B-4638-9207-4EC4D54BF2AB}"/>
    <hyperlink ref="E92" r:id="rId176" display="https://kase.kz/ru/listing/issuers/MFRK" xr:uid="{D80D6D7C-39E5-4E61-8923-F4D6A1D2AA9B}"/>
    <hyperlink ref="B93" r:id="rId177" display="https://kase.kz/ru/investors/gsecs/MUJ144_0005" xr:uid="{28F4A4E2-BA41-4BC5-9C6F-BBC8D6642B61}"/>
    <hyperlink ref="E93" r:id="rId178" display="https://kase.kz/ru/listing/issuers/MFRK" xr:uid="{54A8BF53-6145-4480-967D-C04836AF5526}"/>
    <hyperlink ref="B94" r:id="rId179" display="https://kase.kz/ru/investors/gsecs/MUJ156_0004" xr:uid="{47A0E38D-C56A-4BF4-874F-EA23ECC156EB}"/>
    <hyperlink ref="E94" r:id="rId180" display="https://kase.kz/ru/listing/issuers/MFRK" xr:uid="{4C72652B-B8EE-4785-B8AF-FBE12C4962F5}"/>
    <hyperlink ref="B95" r:id="rId181" display="https://kase.kz/ru/investors/gsecs/MUJ168_0004" xr:uid="{D47D644C-92B3-49FC-8504-13CDA666F808}"/>
    <hyperlink ref="E95" r:id="rId182" display="https://kase.kz/ru/listing/issuers/MFRK" xr:uid="{9DD8EF4F-E965-434B-A4E6-B63867EA9B3A}"/>
    <hyperlink ref="B96" r:id="rId183" display="https://kase.kz/ru/investors/gsecs/MUJ168_0005" xr:uid="{5C96E785-58F9-4202-A9B1-3BD7C52A706C}"/>
    <hyperlink ref="E96" r:id="rId184" display="https://kase.kz/ru/listing/issuers/MFRK" xr:uid="{7D0B0CE9-DEC7-4A95-9086-A4232283646E}"/>
    <hyperlink ref="B97" r:id="rId185" display="https://kase.kz/ru/investors/gsecs/MUJ180_0007" xr:uid="{959BC71F-D2BA-4ACD-89E7-B291A3705FDA}"/>
    <hyperlink ref="E97" r:id="rId186" display="https://kase.kz/ru/listing/issuers/MFRK" xr:uid="{54F43103-A7CD-45FE-82CA-EDF1CA7F9D79}"/>
    <hyperlink ref="B98" r:id="rId187" display="https://kase.kz/ru/investors/gsecs/MUJ180_0008" xr:uid="{87974B58-922E-4D76-8F52-680037A60A86}"/>
    <hyperlink ref="E98" r:id="rId188" display="https://kase.kz/ru/listing/issuers/MFRK" xr:uid="{D31EFCE0-9ADC-4484-AA2C-F8F2AF564458}"/>
    <hyperlink ref="B99" r:id="rId189" display="https://kase.kz/ru/investors/gsecs/MUJ192_0002" xr:uid="{23E41655-0203-4F4F-8CB2-AE2C74961E2C}"/>
    <hyperlink ref="E99" r:id="rId190" display="https://kase.kz/ru/listing/issuers/MFRK" xr:uid="{C6C7306B-D00A-45F7-A38E-3EEBADE3B03C}"/>
    <hyperlink ref="B100" r:id="rId191" display="https://kase.kz/ru/investors/gsecs/MUJ192_0003" xr:uid="{8B130EE6-639D-4E6C-9622-53FD2ABC1555}"/>
    <hyperlink ref="E100" r:id="rId192" display="https://kase.kz/ru/listing/issuers/MFRK" xr:uid="{7BAE9A09-5D80-4159-8D39-A9802BCD6EEA}"/>
    <hyperlink ref="B101" r:id="rId193" display="https://kase.kz/ru/investors/gsecs/MUJ192_0004" xr:uid="{94D9035F-50DE-47DC-B57D-BFD7510F7302}"/>
    <hyperlink ref="E101" r:id="rId194" display="https://kase.kz/ru/listing/issuers/MFRK" xr:uid="{C49E0652-A1B2-4B56-8A73-152423AA3C64}"/>
    <hyperlink ref="B102" r:id="rId195" display="https://kase.kz/ru/investors/gsecs/MUJ204_0001" xr:uid="{07D34CE4-52D0-4DE2-9144-A0231F5FE48D}"/>
    <hyperlink ref="E102" r:id="rId196" display="https://kase.kz/ru/listing/issuers/MFRK" xr:uid="{EA713684-DCFC-4DA1-91B6-5E992725BF29}"/>
    <hyperlink ref="B103" r:id="rId197" display="https://kase.kz/ru/investors/gsecs/MUJ204_0002" xr:uid="{E355906E-A2B3-4641-AB45-44B7944923A8}"/>
    <hyperlink ref="E103" r:id="rId198" display="https://kase.kz/ru/listing/issuers/MFRK" xr:uid="{4DFB5093-A766-4674-8C02-3AAF7164AB46}"/>
    <hyperlink ref="B104" r:id="rId199" display="https://kase.kz/ru/investors/gsecs/MUJ204_0003" xr:uid="{A8467809-4F37-4C01-9DED-9B2061D80598}"/>
    <hyperlink ref="E104" r:id="rId200" display="https://kase.kz/ru/listing/issuers/MFRK" xr:uid="{8961A276-0F89-46A9-9610-B0928AAA29C6}"/>
    <hyperlink ref="B105" r:id="rId201" display="https://kase.kz/ru/investors/gsecs/MUJ204_0004" xr:uid="{4138A062-C05D-432B-ACD9-C4B9866F6547}"/>
    <hyperlink ref="E105" r:id="rId202" display="https://kase.kz/ru/listing/issuers/MFRK" xr:uid="{3F6BB969-B182-4419-81EC-4FD0030CF77F}"/>
    <hyperlink ref="B106" r:id="rId203" display="https://kase.kz/ru/investors/gsecs/MUJ204_0005" xr:uid="{55A544D1-B5AC-459C-8C85-C8B4242E5AE8}"/>
    <hyperlink ref="E106" r:id="rId204" display="https://kase.kz/ru/listing/issuers/MFRK" xr:uid="{6BA6AC37-7043-4BA7-B2B2-52402C693867}"/>
    <hyperlink ref="B107" r:id="rId205" display="https://kase.kz/ru/investors/gsecs/MUJ204_0006" xr:uid="{2EB2F489-BFD5-409B-A9C4-22150AC62C43}"/>
    <hyperlink ref="E107" r:id="rId206" display="https://kase.kz/ru/listing/issuers/MFRK" xr:uid="{64F37A0D-AC94-4BFC-9256-94AFCAE92A9B}"/>
    <hyperlink ref="B108" r:id="rId207" display="https://kase.kz/ru/investors/gsecs/MUJ216_0001" xr:uid="{A00FD82D-A1B3-4979-AE2B-3A588C4FD5C9}"/>
    <hyperlink ref="E108" r:id="rId208" display="https://kase.kz/ru/listing/issuers/MFRK" xr:uid="{9940AB93-8050-440E-ADC8-559184577C7B}"/>
    <hyperlink ref="B109" r:id="rId209" display="https://kase.kz/ru/investors/gsecs/MUJ216_0002" xr:uid="{F2519AA0-5561-4B49-BECD-D443D76005B0}"/>
    <hyperlink ref="E109" r:id="rId210" display="https://kase.kz/ru/listing/issuers/MFRK" xr:uid="{5200EE43-0C05-437D-9393-FDE709AAB5AD}"/>
    <hyperlink ref="B110" r:id="rId211" display="https://kase.kz/ru/investors/gsecs/MUJ216_0003" xr:uid="{B0A643E5-04F6-4B85-96A2-D8B752281A95}"/>
    <hyperlink ref="E110" r:id="rId212" display="https://kase.kz/ru/listing/issuers/MFRK" xr:uid="{972D1F9D-865E-4348-8E75-461197715C1B}"/>
    <hyperlink ref="B111" r:id="rId213" display="https://kase.kz/ru/investors/gsecs/MUJ216_0004" xr:uid="{186080F1-6665-4BBB-830B-801E8B1B5CB4}"/>
    <hyperlink ref="E111" r:id="rId214" display="https://kase.kz/ru/listing/issuers/MFRK" xr:uid="{B9D8AF8C-BE3B-4A86-9A2A-A60FC7294F45}"/>
    <hyperlink ref="B112" r:id="rId215" display="https://kase.kz/ru/investors/gsecs/MUJ216_0005" xr:uid="{8F3DD524-074B-4C25-B9D4-E16F077063E0}"/>
    <hyperlink ref="E112" r:id="rId216" display="https://kase.kz/ru/listing/issuers/MFRK" xr:uid="{64635114-2B7D-4A31-BCE5-72C14E592DB2}"/>
    <hyperlink ref="B113" r:id="rId217" display="https://kase.kz/ru/investors/gsecs/MUJ228_0001" xr:uid="{D34943AE-D9A7-4033-A29B-0BC542123C29}"/>
    <hyperlink ref="E113" r:id="rId218" display="https://kase.kz/ru/listing/issuers/MFRK" xr:uid="{952A108B-6781-483D-BB3D-92595D74C51B}"/>
    <hyperlink ref="B114" r:id="rId219" display="https://kase.kz/ru/investors/gsecs/MUJ228_0002" xr:uid="{561C6F73-AEC2-42A0-9CBA-D4CD3500DC8B}"/>
    <hyperlink ref="E114" r:id="rId220" display="https://kase.kz/ru/listing/issuers/MFRK" xr:uid="{994B2820-FCAE-424C-B4FE-1797647BD4A3}"/>
    <hyperlink ref="B115" r:id="rId221" display="https://kase.kz/ru/investors/gsecs/MUJ228_0003" xr:uid="{EC9C5CDB-C0C0-4E05-AB63-A4306C608B9A}"/>
    <hyperlink ref="E115" r:id="rId222" display="https://kase.kz/ru/listing/issuers/MFRK" xr:uid="{9EAB0159-6AD0-4EAD-93DD-526DCD2DC488}"/>
    <hyperlink ref="B116" r:id="rId223" display="https://kase.kz/ru/investors/gsecs/MUJ228_0004" xr:uid="{A85A1DC2-7FCF-408E-97EB-AA66A6365936}"/>
    <hyperlink ref="E116" r:id="rId224" display="https://kase.kz/ru/listing/issuers/MFRK" xr:uid="{2B77FA09-81BA-402B-AB84-15FAEF0DA3A2}"/>
    <hyperlink ref="B117" r:id="rId225" display="https://kase.kz/ru/investors/gsecs/MUJ228_0005" xr:uid="{6A3AC451-2A39-44E5-A2B5-DBF1486274D6}"/>
    <hyperlink ref="E117" r:id="rId226" display="https://kase.kz/ru/listing/issuers/MFRK" xr:uid="{62E1C4B7-7206-4752-82C0-40800B649B5D}"/>
    <hyperlink ref="B118" r:id="rId227" display="https://kase.kz/ru/investors/gsecs/MUJ228_0006" xr:uid="{13C2FAE6-FA1C-4F8B-99BE-DDDABCC0DB7A}"/>
    <hyperlink ref="E118" r:id="rId228" display="https://kase.kz/ru/listing/issuers/MFRK" xr:uid="{DB5FAD12-3F00-440E-8051-4D82D6E35A6D}"/>
    <hyperlink ref="B119" r:id="rId229" display="https://kase.kz/ru/investors/gsecs/MUJ240_0001" xr:uid="{E6FE6D2D-E3EE-4821-8039-12A0BCC2909B}"/>
    <hyperlink ref="E119" r:id="rId230" display="https://kase.kz/ru/listing/issuers/MFRK" xr:uid="{AD5AB679-DB38-4DD8-9E6B-D3B61718EDD2}"/>
    <hyperlink ref="B120" r:id="rId231" display="https://kase.kz/ru/investors/gsecs/MUM072_0013" xr:uid="{965BB0E5-AF5F-499B-9983-080E7E6AACDE}"/>
    <hyperlink ref="E120" r:id="rId232" display="https://kase.kz/ru/listing/issuers/MFRK" xr:uid="{E36E74EB-7BF7-4D36-9FD8-C64CFDA9AA6E}"/>
    <hyperlink ref="B121" r:id="rId233" display="https://kase.kz/ru/investors/gsecs/MUM072_0014" xr:uid="{FC653C81-FF6B-4570-B253-FFFFD223321A}"/>
    <hyperlink ref="E121" r:id="rId234" display="https://kase.kz/ru/listing/issuers/MFRK" xr:uid="{20D8768B-C77C-433C-B87F-0FE33C78CB42}"/>
    <hyperlink ref="B122" r:id="rId235" display="https://kase.kz/ru/investors/gsecs/MUM072_0015" xr:uid="{2B2C2446-B36B-4D9F-9B96-B521F7759AA6}"/>
    <hyperlink ref="E122" r:id="rId236" display="https://kase.kz/ru/listing/issuers/MFRK" xr:uid="{2CA66103-828E-493E-A86D-266FBAC8DB4B}"/>
    <hyperlink ref="B123" r:id="rId237" display="https://kase.kz/ru/investors/gsecs/MUM084_0018" xr:uid="{4A136FF9-8526-4F2D-8B11-6D9BCF726140}"/>
    <hyperlink ref="E123" r:id="rId238" display="https://kase.kz/ru/listing/issuers/MFRK" xr:uid="{8ECE89EF-A99D-42FE-9580-BAE95716F5F0}"/>
    <hyperlink ref="B124" r:id="rId239" display="https://kase.kz/ru/investors/gsecs/MUM084_0019" xr:uid="{B1DAF8D3-5F86-41E6-BE58-DDE99EF312B7}"/>
    <hyperlink ref="E124" r:id="rId240" display="https://kase.kz/ru/listing/issuers/MFRK" xr:uid="{30CDC9CA-4393-4DAC-8FB3-4EE4C937DE62}"/>
    <hyperlink ref="B125" r:id="rId241" display="https://kase.kz/ru/investors/gsecs/MUM084_0020" xr:uid="{93ED7A30-684D-457C-8A27-73A0EBB0CC1A}"/>
    <hyperlink ref="E125" r:id="rId242" display="https://kase.kz/ru/listing/issuers/MFRK" xr:uid="{FC90906B-C88C-48B4-BDEF-C14896F36674}"/>
    <hyperlink ref="B126" r:id="rId243" display="https://kase.kz/ru/investors/gsecs/MUM096_0011" xr:uid="{CA01D461-9067-4219-BC14-EE2E940A88E0}"/>
    <hyperlink ref="E126" r:id="rId244" display="https://kase.kz/ru/listing/issuers/MFRK" xr:uid="{0BCA9097-4C40-49FA-BB21-1FC52FCD50DC}"/>
    <hyperlink ref="B127" r:id="rId245" display="https://kase.kz/ru/investors/gsecs/MUM096_0012" xr:uid="{988A953F-13ED-4D61-9BB2-E338601D890C}"/>
    <hyperlink ref="E127" r:id="rId246" display="https://kase.kz/ru/listing/issuers/MFRK" xr:uid="{57BAED98-65AF-4F1D-B47D-AA14BDE3448F}"/>
    <hyperlink ref="B128" r:id="rId247" display="https://kase.kz/ru/investors/gsecs/MUM096_0013" xr:uid="{29DB1746-E895-4D7F-908B-D65763F225AA}"/>
    <hyperlink ref="E128" r:id="rId248" display="https://kase.kz/ru/listing/issuers/MFRK" xr:uid="{2CC26577-960F-4E1A-8C5A-9A610476F9E8}"/>
    <hyperlink ref="B129" r:id="rId249" display="https://kase.kz/ru/investors/gsecs/MUM096_0014" xr:uid="{86DDDE42-DF59-4A0A-93C3-855F168B4CA4}"/>
    <hyperlink ref="E129" r:id="rId250" display="https://kase.kz/ru/listing/issuers/MFRK" xr:uid="{00958BD1-8D00-4A64-A850-FD1E0161E225}"/>
    <hyperlink ref="B130" r:id="rId251" display="https://kase.kz/ru/investors/gsecs/MUM096_0015" xr:uid="{467438EF-D1F9-44BE-A969-22A086E51F5E}"/>
    <hyperlink ref="E130" r:id="rId252" display="https://kase.kz/ru/listing/issuers/MFRK" xr:uid="{B29EA4FD-29FF-4197-AE8A-1B631269BF32}"/>
    <hyperlink ref="B131" r:id="rId253" display="https://kase.kz/ru/investors/gsecs/MUM108_0012" xr:uid="{15608334-2980-45C3-BE80-8FC3732632BD}"/>
    <hyperlink ref="E131" r:id="rId254" display="https://kase.kz/ru/listing/issuers/MFRK" xr:uid="{62383429-39B5-49F7-87C4-6A9A423FB8B1}"/>
    <hyperlink ref="B132" r:id="rId255" display="https://kase.kz/ru/investors/gsecs/MUM108_0013" xr:uid="{FC92D626-E319-490B-9FA6-B746B43EC531}"/>
    <hyperlink ref="E132" r:id="rId256" display="https://kase.kz/ru/listing/issuers/MFRK" xr:uid="{EF1859FA-84DB-421F-87C4-07BEFEC5632F}"/>
    <hyperlink ref="B133" r:id="rId257" display="https://kase.kz/ru/investors/gsecs/MUM108_0014" xr:uid="{778F0C37-FA14-426D-A74C-74EF0D630206}"/>
    <hyperlink ref="E133" r:id="rId258" display="https://kase.kz/ru/listing/issuers/MFRK" xr:uid="{BE5FE8FC-6889-46C0-B1DC-4E59D0B2A9E8}"/>
    <hyperlink ref="B134" r:id="rId259" display="https://kase.kz/ru/investors/gsecs/MUM108_0015" xr:uid="{96614403-98C3-4578-A88D-BB0E75601B83}"/>
    <hyperlink ref="E134" r:id="rId260" display="https://kase.kz/ru/listing/issuers/MFRK" xr:uid="{95E33DEA-149C-4F0D-99A1-F925BC72B45C}"/>
    <hyperlink ref="B135" r:id="rId261" display="https://kase.kz/ru/investors/gsecs/MUM120_0017" xr:uid="{A074A1D2-7FFC-4EB6-AE73-56268B37760D}"/>
    <hyperlink ref="E135" r:id="rId262" display="https://kase.kz/ru/listing/issuers/MFRK" xr:uid="{50989A57-1C78-4F30-B786-5E8C93B92D64}"/>
    <hyperlink ref="B136" r:id="rId263" display="https://kase.kz/ru/investors/gsecs/MUM120_0018" xr:uid="{D2B6D30E-2FCA-4836-91BA-A0985CCF5059}"/>
    <hyperlink ref="E136" r:id="rId264" display="https://kase.kz/ru/listing/issuers/MFRK" xr:uid="{A3E9B7FA-E22F-4213-9B43-A01F9806326C}"/>
    <hyperlink ref="B137" r:id="rId265" display="https://kase.kz/ru/investors/gsecs/MUM120_0019" xr:uid="{E423BB9F-EADF-482D-9669-E52D19224A13}"/>
    <hyperlink ref="E137" r:id="rId266" display="https://kase.kz/ru/listing/issuers/MFRK" xr:uid="{BE44B766-5DA5-4D2E-8792-7CD72A8B8978}"/>
    <hyperlink ref="B138" r:id="rId267" display="https://kase.kz/ru/investors/gsecs/MUM120_0020" xr:uid="{23BC3C27-658D-4537-952A-6F355F998717}"/>
    <hyperlink ref="E138" r:id="rId268" display="https://kase.kz/ru/listing/issuers/MFRK" xr:uid="{1741F33E-A4F0-466D-BE15-53D0FBA603E5}"/>
    <hyperlink ref="B139" r:id="rId269" display="https://kase.kz/ru/investors/gsecs/MUM132_0007" xr:uid="{DDFCD0DA-3B62-46A5-A9E9-BD94AA1C43A2}"/>
    <hyperlink ref="E139" r:id="rId270" display="https://kase.kz/ru/listing/issuers/MFRK" xr:uid="{B4E97FF7-95E6-4E48-B61E-9950687DC9FD}"/>
    <hyperlink ref="B140" r:id="rId271" display="https://kase.kz/ru/investors/gsecs/MUM144_0009" xr:uid="{0E4A81E4-F63C-41D0-8B95-A070C9C27E7B}"/>
    <hyperlink ref="E140" r:id="rId272" display="https://kase.kz/ru/listing/issuers/MFRK" xr:uid="{B9630D35-D12B-4C39-AC01-4CD2F5A2758F}"/>
    <hyperlink ref="B141" r:id="rId273" display="https://kase.kz/ru/investors/gsecs/MUM156_0005" xr:uid="{3D255396-49CC-44D5-99D6-991A035BB8FD}"/>
    <hyperlink ref="E141" r:id="rId274" display="https://kase.kz/ru/listing/issuers/MFRK" xr:uid="{E4CD620C-096E-44B5-9A77-1AECA07763DE}"/>
    <hyperlink ref="B142" r:id="rId275" display="https://kase.kz/ru/investors/gsecs/MUM156_0006" xr:uid="{BD62C270-DF8A-4001-B02C-26A89AD92816}"/>
    <hyperlink ref="E142" r:id="rId276" display="https://kase.kz/ru/listing/issuers/MFRK" xr:uid="{071ABA1E-82AA-4C00-A19D-6CD97F509E0E}"/>
    <hyperlink ref="B143" r:id="rId277" display="https://kase.kz/ru/investors/gsecs/MUM156_0007" xr:uid="{7DE2C15B-BB42-428A-A232-6B7D95272293}"/>
    <hyperlink ref="E143" r:id="rId278" display="https://kase.kz/ru/listing/issuers/MFRK" xr:uid="{BFD67206-0DFE-4A3D-A46C-FBC6443B115F}"/>
    <hyperlink ref="B144" r:id="rId279" display="https://kase.kz/ru/investors/gsecs/MUM156_0008" xr:uid="{6FC8C016-BC75-41AD-A70B-BA48FBB9C54D}"/>
    <hyperlink ref="E144" r:id="rId280" display="https://kase.kz/ru/listing/issuers/MFRK" xr:uid="{A34DEFCD-F9E3-4FF7-B9E8-6C9E0EFDF05E}"/>
    <hyperlink ref="B145" r:id="rId281" display="https://kase.kz/ru/investors/gsecs/MUM168_0001" xr:uid="{321D37F8-1701-4656-A17D-A2249A46AA7D}"/>
    <hyperlink ref="E145" r:id="rId282" display="https://kase.kz/ru/listing/issuers/MFRK" xr:uid="{DC837E46-089E-4EBC-B245-1AE067D69A1E}"/>
    <hyperlink ref="B146" r:id="rId283" display="https://kase.kz/ru/investors/gsecs/MUM168_0002" xr:uid="{20B1E761-AACE-43EE-8D06-611495F6756C}"/>
    <hyperlink ref="E146" r:id="rId284" display="https://kase.kz/ru/listing/issuers/MFRK" xr:uid="{BFA88069-1188-489B-B493-0D26561FD9E5}"/>
    <hyperlink ref="B147" r:id="rId285" display="https://kase.kz/ru/investors/gsecs/MUM168_0003" xr:uid="{E19596FC-EE6C-4FBC-A4DD-3C94EF4023DD}"/>
    <hyperlink ref="E147" r:id="rId286" display="https://kase.kz/ru/listing/issuers/MFRK" xr:uid="{8FC4189A-99E4-4286-B47C-6F218D55FCF1}"/>
    <hyperlink ref="B148" r:id="rId287" display="https://kase.kz/ru/investors/gsecs/MUM168_0005" xr:uid="{B7E425D4-CC1D-45BF-9FE6-E0F37CAE33AB}"/>
    <hyperlink ref="E148" r:id="rId288" display="https://kase.kz/ru/listing/issuers/MFRK" xr:uid="{4675E6B4-003C-4679-BEBA-5DF1AC335584}"/>
    <hyperlink ref="B149" r:id="rId289" display="https://kase.kz/ru/investors/gsecs/MUM180_0003" xr:uid="{DE57B0F9-8549-410B-8012-93702A8D932B}"/>
    <hyperlink ref="E149" r:id="rId290" display="https://kase.kz/ru/listing/issuers/MFRK" xr:uid="{C80C72A7-392F-459E-80DA-8E776F4F1260}"/>
    <hyperlink ref="B150" r:id="rId291" display="https://kase.kz/ru/investors/gsecs/MUM180_0004" xr:uid="{20FB0C66-06B6-41A9-9A9C-3FC7927AD9A9}"/>
    <hyperlink ref="E150" r:id="rId292" display="https://kase.kz/ru/listing/issuers/MFRK" xr:uid="{9F02ED9F-01E0-45B8-B2DE-593ED563D156}"/>
    <hyperlink ref="B151" r:id="rId293" display="https://kase.kz/ru/investors/gsecs/MUM180_0005" xr:uid="{3F03F1A9-DBD4-4230-9C67-728103AE8D44}"/>
    <hyperlink ref="E151" r:id="rId294" display="https://kase.kz/ru/listing/issuers/MFRK" xr:uid="{A4EA7B22-FC77-4692-B4EA-55346DAF38D2}"/>
    <hyperlink ref="B152" r:id="rId295" display="https://kase.kz/ru/investors/gsecs/MUM180_0006" xr:uid="{5BBEBE36-52F4-4900-B82F-9FE96593ECDB}"/>
    <hyperlink ref="E152" r:id="rId296" display="https://kase.kz/ru/listing/issuers/MFRK" xr:uid="{DEACB98A-4C73-4699-865B-76EBB047519F}"/>
    <hyperlink ref="B153" r:id="rId297" display="https://kase.kz/ru/investors/gsecs/MUM180_0007" xr:uid="{04AAA012-6FAD-45F9-8FD6-F8D8D6976AF5}"/>
    <hyperlink ref="E153" r:id="rId298" display="https://kase.kz/ru/listing/issuers/MFRK" xr:uid="{D5F448CD-ED84-4782-92F1-514FB6C8C972}"/>
    <hyperlink ref="B154" r:id="rId299" display="https://kase.kz/ru/investors/gsecs/MUM180_0008" xr:uid="{A726E766-399E-4C04-9D46-B2AE748F79ED}"/>
    <hyperlink ref="E154" r:id="rId300" display="https://kase.kz/ru/listing/issuers/MFRK" xr:uid="{5D20161D-1CB2-46E5-917E-D376F7EA3A3C}"/>
    <hyperlink ref="B155" r:id="rId301" display="https://kase.kz/ru/investors/gsecs/MUM180_0009" xr:uid="{65569B2E-E7D1-48B2-8910-B693C0A12D0C}"/>
    <hyperlink ref="E155" r:id="rId302" display="https://kase.kz/ru/listing/issuers/MFRK" xr:uid="{6267A2FC-D23B-4845-A5F6-7480EA467912}"/>
    <hyperlink ref="B156" r:id="rId303" display="https://kase.kz/ru/investors/gsecs/MUM180_0011" xr:uid="{C22FAF98-7FEB-4E0F-AA83-40CC8FAFAD7D}"/>
    <hyperlink ref="E156" r:id="rId304" display="https://kase.kz/ru/listing/issuers/MFRK" xr:uid="{D599DD28-CFA2-4066-8B15-70DC89D9EF6B}"/>
    <hyperlink ref="B157" r:id="rId305" display="https://kase.kz/ru/investors/gsecs/MUM180_0012" xr:uid="{58CA5371-C25F-48FC-9DE8-7277348C35BE}"/>
    <hyperlink ref="E157" r:id="rId306" display="https://kase.kz/ru/listing/issuers/MFRK" xr:uid="{3D5BAC75-CE27-4950-A961-F959CC0A446F}"/>
    <hyperlink ref="B158" r:id="rId307" display="https://kase.kz/ru/investors/gsecs/MUM180_0013" xr:uid="{3C1E8050-92D2-4B68-A48A-165DFACD394F}"/>
    <hyperlink ref="E158" r:id="rId308" display="https://kase.kz/ru/listing/issuers/MFRK" xr:uid="{04DEF11D-7596-451B-8D57-A1D2C484DCA6}"/>
    <hyperlink ref="B159" r:id="rId309" display="https://kase.kz/ru/investors/gsecs/MUM180_0014" xr:uid="{C10C9613-C467-4F26-8C6F-D0D8D2027580}"/>
    <hyperlink ref="E159" r:id="rId310" display="https://kase.kz/ru/listing/issuers/MFRK" xr:uid="{980AF342-A066-4B82-8A55-94DD3DB98C2D}"/>
    <hyperlink ref="B160" r:id="rId311" display="https://kase.kz/ru/investors/gsecs/MUM180_0015" xr:uid="{2C2A9076-A913-478F-8E36-7113C63D08DD}"/>
    <hyperlink ref="E160" r:id="rId312" display="https://kase.kz/ru/listing/issuers/MFRK" xr:uid="{9FC5576E-2F26-400E-A9CE-1A42381982C5}"/>
    <hyperlink ref="B161" r:id="rId313" display="https://kase.kz/ru/investors/gsecs/MUM180_0016" xr:uid="{64286B2F-A03E-4337-889E-D550D8D7F995}"/>
    <hyperlink ref="E161" r:id="rId314" display="https://kase.kz/ru/listing/issuers/MFRK" xr:uid="{C13B688A-0CA9-4C75-823B-48DF6DE7E6D8}"/>
    <hyperlink ref="B162" r:id="rId315" display="https://kase.kz/ru/investors/gsecs/MUM192_0001" xr:uid="{7EDC728C-8A2E-413D-84B5-65EC7272FDBE}"/>
    <hyperlink ref="E162" r:id="rId316" display="https://kase.kz/ru/listing/issuers/MFRK" xr:uid="{1FA5E3C2-E753-4E77-A8EF-C17EE07692AF}"/>
    <hyperlink ref="B163" r:id="rId317" display="https://kase.kz/ru/investors/gsecs/MUM192_0002" xr:uid="{C6D671D1-D7D0-435D-B78D-CF7E7B71265D}"/>
    <hyperlink ref="E163" r:id="rId318" display="https://kase.kz/ru/listing/issuers/MFRK" xr:uid="{FFC72881-7F9C-43E7-B6FB-3600FA34551E}"/>
    <hyperlink ref="B164" r:id="rId319" display="https://kase.kz/ru/investors/gsecs/MUM192_0003" xr:uid="{0D12BDBC-D9F1-462C-8A7A-7B56E65C79B1}"/>
    <hyperlink ref="E164" r:id="rId320" display="https://kase.kz/ru/listing/issuers/MFRK" xr:uid="{8B5996DB-67D1-468C-840B-C47A3837BF54}"/>
    <hyperlink ref="B165" r:id="rId321" display="https://kase.kz/ru/investors/gsecs/MUM216_0001" xr:uid="{990FA152-5F55-40EE-A1C7-68BC6C9F8C20}"/>
    <hyperlink ref="E165" r:id="rId322" display="https://kase.kz/ru/listing/issuers/MFRK" xr:uid="{03DAAB4D-0D9C-4E00-9680-CA03CE6ECCE7}"/>
    <hyperlink ref="B166" r:id="rId323" display="https://kase.kz/ru/investors/gsecs/MUM216_0002" xr:uid="{EF80C81C-446C-4F24-AEE1-7DE7520ABA0E}"/>
    <hyperlink ref="E166" r:id="rId324" display="https://kase.kz/ru/listing/issuers/MFRK" xr:uid="{6C7BF1F9-1B14-4B3C-919E-F9A35C3E2989}"/>
    <hyperlink ref="B167" r:id="rId325" display="https://kase.kz/ru/investors/gsecs/MUM240_0001" xr:uid="{E7BA9B49-02B3-49F2-810C-08EB1A8CF002}"/>
    <hyperlink ref="E167" r:id="rId326" display="https://kase.kz/ru/listing/issuers/MFRK" xr:uid="{6ABFE012-0D79-4DE5-9C88-52CAA5D9A509}"/>
    <hyperlink ref="B168" r:id="rId327" display="https://kase.kz/ru/investors/gsecs/MUM240_0002" xr:uid="{12A940CE-C6B6-429A-95B7-6D4AB54A93BC}"/>
    <hyperlink ref="E168" r:id="rId328" display="https://kase.kz/ru/listing/issuers/MFRK" xr:uid="{CD9B36B3-74F8-4918-93D6-65C9D6A2BA61}"/>
    <hyperlink ref="B169" r:id="rId329" display="https://kase.kz/ru/investors/gsecs/MUM240_0004" xr:uid="{D5E96F0F-37E8-4E19-B4BA-DCD3DA4EDF5D}"/>
    <hyperlink ref="E169" r:id="rId330" display="https://kase.kz/ru/listing/issuers/MFRK" xr:uid="{959C5E87-F5FB-4CF3-847D-C61949E7804C}"/>
    <hyperlink ref="B170" r:id="rId331" display="https://kase.kz/ru/investors/gsecs/MUM300_0001" xr:uid="{357E6E56-A971-4A65-85FD-BEBD58252C25}"/>
    <hyperlink ref="E170" r:id="rId332" display="https://kase.kz/ru/listing/issuers/MFRK" xr:uid="{390C063C-3FF6-483E-859C-D2E4D2C5A1A9}"/>
    <hyperlink ref="B171" r:id="rId333" display="https://kase.kz/ru/investors/gsecs/MUM300_0002" xr:uid="{F7282852-5029-47BA-B9A5-16650F7B0E5F}"/>
    <hyperlink ref="E171" r:id="rId334" display="https://kase.kz/ru/listing/issuers/MFRK" xr:uid="{801ECC43-4A0E-451C-A344-CC70CCE55B09}"/>
    <hyperlink ref="B172" r:id="rId335" display="https://kase.kz/ru/investors/gsecs/MUM300_0003" xr:uid="{19C2ADA4-DC78-4F14-985D-4EFCFEB07831}"/>
    <hyperlink ref="E172" r:id="rId336" display="https://kase.kz/ru/listing/issuers/MFRK" xr:uid="{55C85BA5-78A2-4E63-90A6-7284201F4FB9}"/>
    <hyperlink ref="B173" r:id="rId337" display="https://kase.kz/ru/investors/gsecs/MUM360_0001" xr:uid="{7DCC33FC-4398-4655-852C-FFC4AAAF2004}"/>
    <hyperlink ref="E173" r:id="rId338" display="https://kase.kz/ru/listing/issuers/MFRK" xr:uid="{7F09E7B1-524D-434A-BF6C-EF12EDE13E09}"/>
    <hyperlink ref="B174" r:id="rId339" display="https://kase.kz/ru/investors/gsecs/MUX072_0003" xr:uid="{156FE951-29BD-4E49-97A3-DE478C022967}"/>
    <hyperlink ref="E174" r:id="rId340" display="https://kase.kz/ru/listing/issuers/MFRK" xr:uid="{A50E3946-A277-440B-AFBA-1D21E68294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45895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7046.0396499999997</v>
      </c>
      <c r="G5" s="116">
        <v>7046.0396499999997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122517.59715</v>
      </c>
      <c r="G6" s="120">
        <v>122517.59715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101.2042</v>
      </c>
      <c r="H7" s="116">
        <v>4.2300000000000004</v>
      </c>
      <c r="I7" s="113">
        <v>378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100.0856</v>
      </c>
      <c r="H8" s="116">
        <v>0.35</v>
      </c>
      <c r="I8" s="113">
        <v>272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100.0183</v>
      </c>
      <c r="H9" s="118">
        <v>0.02</v>
      </c>
      <c r="I9" s="121">
        <v>3094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101.03360000000001</v>
      </c>
      <c r="H10" s="118">
        <v>6.08</v>
      </c>
      <c r="I10" s="121">
        <v>1709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105.8969</v>
      </c>
      <c r="H11" s="118">
        <v>7.08</v>
      </c>
      <c r="I11" s="121">
        <v>2191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100.2033</v>
      </c>
      <c r="H12" s="118">
        <v>6.09</v>
      </c>
      <c r="I12" s="121">
        <v>2118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105.1511</v>
      </c>
      <c r="H13" s="118">
        <v>6.08</v>
      </c>
      <c r="I13" s="121">
        <v>2546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105.1511</v>
      </c>
      <c r="H14" s="118">
        <v>6.08</v>
      </c>
      <c r="I14" s="121">
        <v>2546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70476.452799999999</v>
      </c>
      <c r="G15" s="116">
        <v>70476.452799999999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98.243033817889838</v>
      </c>
      <c r="G16" s="116">
        <v>100.68053381788984</v>
      </c>
      <c r="H16" s="116">
        <v>20.62</v>
      </c>
      <c r="I16" s="113">
        <v>675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60639.292999999998</v>
      </c>
      <c r="G19" s="116">
        <v>60639.292999999998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96.622</v>
      </c>
      <c r="G20" s="120">
        <v>97.750500000000002</v>
      </c>
      <c r="H20" s="118">
        <v>3.93</v>
      </c>
      <c r="I20" s="121">
        <v>1670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94.420529234225498</v>
      </c>
      <c r="G21" s="120">
        <v>95.434429234225505</v>
      </c>
      <c r="H21" s="118">
        <v>3.99</v>
      </c>
      <c r="I21" s="121">
        <v>1474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95.296002521217829</v>
      </c>
      <c r="G22" s="120">
        <v>98.139102521217836</v>
      </c>
      <c r="H22" s="118">
        <v>18.38</v>
      </c>
      <c r="I22" s="121">
        <v>271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92.388030223618699</v>
      </c>
      <c r="G23" s="120">
        <v>96.449130223618695</v>
      </c>
      <c r="H23" s="118">
        <v>18.53</v>
      </c>
      <c r="I23" s="121">
        <v>404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80.381244570148596</v>
      </c>
      <c r="G24" s="120">
        <v>80.381244570148596</v>
      </c>
      <c r="H24" s="118">
        <v>16.690000000000001</v>
      </c>
      <c r="I24" s="121">
        <v>1800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86.761050051935641</v>
      </c>
      <c r="G25" s="120">
        <v>89.927750051935647</v>
      </c>
      <c r="H25" s="118">
        <v>18.64</v>
      </c>
      <c r="I25" s="121">
        <v>2264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57.474582783597903</v>
      </c>
      <c r="G26" s="120">
        <v>63.371482783597905</v>
      </c>
      <c r="H26" s="118">
        <v>19.510000000000002</v>
      </c>
      <c r="I26" s="121">
        <v>2221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74.055083621508686</v>
      </c>
      <c r="G27" s="120">
        <v>76.131483621508693</v>
      </c>
      <c r="H27" s="118">
        <v>18.64</v>
      </c>
      <c r="I27" s="121">
        <v>2275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96.683451820347258</v>
      </c>
      <c r="G28" s="120">
        <v>99.172351820347259</v>
      </c>
      <c r="H28" s="118">
        <v>18.43</v>
      </c>
      <c r="I28" s="121">
        <v>296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102.1014</v>
      </c>
      <c r="H30" s="118">
        <v>4.24</v>
      </c>
      <c r="I30" s="121">
        <v>303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100.11669999999999</v>
      </c>
      <c r="H31" s="118">
        <v>0.35</v>
      </c>
      <c r="I31" s="121">
        <v>60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100.07680000000001</v>
      </c>
      <c r="H32" s="118">
        <v>0.35</v>
      </c>
      <c r="I32" s="121">
        <v>281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100.0865</v>
      </c>
      <c r="H33" s="118">
        <v>0.35</v>
      </c>
      <c r="I33" s="121">
        <v>631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100.0138</v>
      </c>
      <c r="H34" s="118">
        <v>0.02</v>
      </c>
      <c r="I34" s="121">
        <v>3094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100.00369999999999</v>
      </c>
      <c r="H35" s="118">
        <v>0.02</v>
      </c>
      <c r="I35" s="121">
        <v>3094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745.82569184025397</v>
      </c>
      <c r="G36" s="120">
        <v>745.82569184025397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3023.9364999999998</v>
      </c>
      <c r="G37" s="120">
        <v>3023.9364999999998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114183.77840000002</v>
      </c>
      <c r="G38" s="120">
        <v>114183.77840000002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102.1014</v>
      </c>
      <c r="H40" s="116">
        <v>4.24</v>
      </c>
      <c r="I40" s="113">
        <v>303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100.08459999999999</v>
      </c>
      <c r="H41" s="116">
        <v>0.35</v>
      </c>
      <c r="I41" s="113">
        <v>93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100.0856</v>
      </c>
      <c r="H42" s="118">
        <v>0.35</v>
      </c>
      <c r="I42" s="121">
        <v>272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100.0544</v>
      </c>
      <c r="H43" s="118">
        <v>0.35</v>
      </c>
      <c r="I43" s="121">
        <v>664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100.0012</v>
      </c>
      <c r="H44" s="118">
        <v>0.02</v>
      </c>
      <c r="I44" s="121">
        <v>3094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101.03360000000001</v>
      </c>
      <c r="H45" s="118">
        <v>6.08</v>
      </c>
      <c r="I45" s="121">
        <v>1709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105.8969</v>
      </c>
      <c r="H46" s="118">
        <v>7.08</v>
      </c>
      <c r="I46" s="121">
        <v>2191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100.2033</v>
      </c>
      <c r="H47" s="116">
        <v>6.09</v>
      </c>
      <c r="I47" s="113">
        <v>2118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105.1511</v>
      </c>
      <c r="H48" s="116">
        <v>6.08</v>
      </c>
      <c r="I48" s="113">
        <v>2546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105.1511</v>
      </c>
      <c r="H49" s="116">
        <v>6.08</v>
      </c>
      <c r="I49" s="113">
        <v>2546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104.0158</v>
      </c>
      <c r="H50" s="116">
        <v>6.08</v>
      </c>
      <c r="I50" s="113">
        <v>2613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2987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1388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99.445393327423261</v>
      </c>
      <c r="G54" s="120">
        <v>101.46759332742326</v>
      </c>
      <c r="H54" s="118">
        <v>26.27</v>
      </c>
      <c r="I54" s="121">
        <v>962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93.07501581585629</v>
      </c>
      <c r="G56" s="120">
        <v>96.688215815856296</v>
      </c>
      <c r="H56" s="118">
        <v>17.53</v>
      </c>
      <c r="I56" s="121">
        <v>419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101.77079999999999</v>
      </c>
      <c r="H57" s="118">
        <v>4.24</v>
      </c>
      <c r="I57" s="121">
        <v>330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100.01990000000001</v>
      </c>
      <c r="H58" s="118">
        <v>0.02</v>
      </c>
      <c r="I58" s="121">
        <v>3094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104.7728</v>
      </c>
      <c r="H59" s="118">
        <v>7.05</v>
      </c>
      <c r="I59" s="121">
        <v>2191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101.03360000000001</v>
      </c>
      <c r="H60" s="116">
        <v>6.08</v>
      </c>
      <c r="I60" s="113">
        <v>1709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105.8969</v>
      </c>
      <c r="H61" s="116">
        <v>7.08</v>
      </c>
      <c r="I61" s="113">
        <v>2191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100.2033</v>
      </c>
      <c r="H62" s="118">
        <v>6.09</v>
      </c>
      <c r="I62" s="121">
        <v>2118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105.1511</v>
      </c>
      <c r="H63" s="118">
        <v>6.08</v>
      </c>
      <c r="I63" s="121">
        <v>2546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105.1511</v>
      </c>
      <c r="H64" s="118">
        <v>6.08</v>
      </c>
      <c r="I64" s="121">
        <v>2546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104.0158</v>
      </c>
      <c r="H65" s="118">
        <v>6.08</v>
      </c>
      <c r="I65" s="121">
        <v>2613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89.082929869712345</v>
      </c>
      <c r="G66" s="120">
        <v>90.641229869712348</v>
      </c>
      <c r="H66" s="118">
        <v>29.2</v>
      </c>
      <c r="I66" s="121">
        <v>2498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100.44369879150851</v>
      </c>
      <c r="G68" s="120">
        <v>101.77699879150852</v>
      </c>
      <c r="H68" s="118">
        <v>7.79</v>
      </c>
      <c r="I68" s="121">
        <v>840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87827.960999999996</v>
      </c>
      <c r="G71" s="120">
        <v>87827.960999999996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122322.2455</v>
      </c>
      <c r="G75" s="120">
        <v>122322.2455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91.806959718041853</v>
      </c>
      <c r="G77" s="120">
        <v>101.15695971804185</v>
      </c>
      <c r="H77" s="118">
        <v>28.24</v>
      </c>
      <c r="I77" s="121">
        <v>2388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93.001915788078051</v>
      </c>
      <c r="G78" s="120">
        <v>97.768615788078051</v>
      </c>
      <c r="H78" s="118">
        <v>28.25</v>
      </c>
      <c r="I78" s="121">
        <v>2634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92.922869963563556</v>
      </c>
      <c r="G79" s="120">
        <v>101.44506996356355</v>
      </c>
      <c r="H79" s="118">
        <v>28.24</v>
      </c>
      <c r="I79" s="121">
        <v>2762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100.00230000000001</v>
      </c>
      <c r="H80" s="118">
        <v>0.02</v>
      </c>
      <c r="I80" s="121">
        <v>3094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101.03360000000001</v>
      </c>
      <c r="H81" s="118">
        <v>6.08</v>
      </c>
      <c r="I81" s="121">
        <v>1709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105.8969</v>
      </c>
      <c r="H82" s="116">
        <v>7.08</v>
      </c>
      <c r="I82" s="113">
        <v>2191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100.2033</v>
      </c>
      <c r="H83" s="116">
        <v>6.09</v>
      </c>
      <c r="I83" s="113">
        <v>2118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105.1511</v>
      </c>
      <c r="H84" s="116">
        <v>6.08</v>
      </c>
      <c r="I84" s="113">
        <v>2546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105.1511</v>
      </c>
      <c r="H85" s="118">
        <v>6.08</v>
      </c>
      <c r="I85" s="121">
        <v>2546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104.0158</v>
      </c>
      <c r="H86" s="116">
        <v>6.08</v>
      </c>
      <c r="I86" s="113">
        <v>2613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87.707125222193085</v>
      </c>
      <c r="G87" s="116">
        <v>95.71682522219308</v>
      </c>
      <c r="H87" s="116">
        <v>24.65</v>
      </c>
      <c r="I87" s="113">
        <v>1475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98.569851573265794</v>
      </c>
      <c r="G88" s="116">
        <v>98.716551573265804</v>
      </c>
      <c r="H88" s="116">
        <v>0.71</v>
      </c>
      <c r="I88" s="113">
        <v>4952</v>
      </c>
      <c r="J88" s="115" t="s">
        <v>271</v>
      </c>
    </row>
    <row r="89" spans="1:10" x14ac:dyDescent="0.25">
      <c r="A89" s="117">
        <v>86</v>
      </c>
      <c r="B89" s="114" t="s">
        <v>2318</v>
      </c>
      <c r="C89" s="115" t="s">
        <v>2319</v>
      </c>
      <c r="D89" s="115" t="s">
        <v>461</v>
      </c>
      <c r="E89" s="115" t="s">
        <v>2320</v>
      </c>
      <c r="F89" s="119">
        <v>100.62313155947356</v>
      </c>
      <c r="G89" s="120">
        <v>102.59193155947357</v>
      </c>
      <c r="H89" s="118">
        <v>19.95</v>
      </c>
      <c r="I89" s="121">
        <v>1045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22.983569920177501</v>
      </c>
      <c r="G90" s="120">
        <v>22.983569920177501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87.518595534327645</v>
      </c>
      <c r="G92" s="120">
        <v>93.746095534327651</v>
      </c>
      <c r="H92" s="118">
        <v>17.579999999999998</v>
      </c>
      <c r="I92" s="121">
        <v>1911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100.02800000000001</v>
      </c>
      <c r="G93" s="120">
        <v>101.2884</v>
      </c>
      <c r="H93" s="118">
        <v>3.74</v>
      </c>
      <c r="I93" s="121">
        <v>959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101.96599999999999</v>
      </c>
      <c r="G94" s="120">
        <v>104.032</v>
      </c>
      <c r="H94" s="118">
        <v>3.77</v>
      </c>
      <c r="I94" s="121">
        <v>1270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96.046470764403622</v>
      </c>
      <c r="G95" s="120">
        <v>97.401770764403622</v>
      </c>
      <c r="H95" s="118">
        <v>17.11</v>
      </c>
      <c r="I95" s="121">
        <v>505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98.227128680827221</v>
      </c>
      <c r="G96" s="120">
        <v>99.050328680827221</v>
      </c>
      <c r="H96" s="118">
        <v>15.23</v>
      </c>
      <c r="I96" s="121">
        <v>154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92.471224107048215</v>
      </c>
      <c r="G97" s="120">
        <v>99.250824107048217</v>
      </c>
      <c r="H97" s="118">
        <v>17.82</v>
      </c>
      <c r="I97" s="121">
        <v>1642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76.575000000000003</v>
      </c>
      <c r="G98" s="120">
        <v>81.057900000000004</v>
      </c>
      <c r="H98" s="118">
        <v>16.77</v>
      </c>
      <c r="I98" s="121">
        <v>1911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1.0156158333333334</v>
      </c>
      <c r="G99" s="120">
        <v>1.0156158333333334</v>
      </c>
      <c r="H99" s="118">
        <v>0</v>
      </c>
      <c r="I99" s="121">
        <v>201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0.88273416666666671</v>
      </c>
      <c r="G100" s="120">
        <v>0.88273416666666671</v>
      </c>
      <c r="H100" s="118">
        <v>0</v>
      </c>
      <c r="I100" s="121">
        <v>1462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79.468999999999994</v>
      </c>
      <c r="G101" s="120">
        <v>84.327299999999994</v>
      </c>
      <c r="H101" s="118">
        <v>16.77</v>
      </c>
      <c r="I101" s="121">
        <v>1911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100.5431</v>
      </c>
      <c r="H102" s="118">
        <v>4.24</v>
      </c>
      <c r="I102" s="121">
        <v>254</v>
      </c>
      <c r="J102" s="115" t="s">
        <v>271</v>
      </c>
    </row>
    <row r="103" spans="1:10" x14ac:dyDescent="0.25">
      <c r="A103" s="117">
        <v>100</v>
      </c>
      <c r="B103" s="114" t="s">
        <v>2314</v>
      </c>
      <c r="C103" s="115" t="s">
        <v>2315</v>
      </c>
      <c r="D103" s="115" t="s">
        <v>461</v>
      </c>
      <c r="E103" s="115" t="s">
        <v>661</v>
      </c>
      <c r="F103" s="119">
        <v>100</v>
      </c>
      <c r="G103" s="120">
        <v>100.4958</v>
      </c>
      <c r="H103" s="118">
        <v>4.24</v>
      </c>
      <c r="I103" s="121">
        <v>618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100.0963</v>
      </c>
      <c r="H104" s="118">
        <v>0.35</v>
      </c>
      <c r="I104" s="121">
        <v>261</v>
      </c>
      <c r="J104" s="115" t="s">
        <v>271</v>
      </c>
    </row>
    <row r="105" spans="1:10" x14ac:dyDescent="0.25">
      <c r="A105" s="117">
        <v>102</v>
      </c>
      <c r="B105" s="114" t="s">
        <v>2390</v>
      </c>
      <c r="C105" s="115" t="s">
        <v>2391</v>
      </c>
      <c r="D105" s="115" t="s">
        <v>461</v>
      </c>
      <c r="E105" s="115" t="s">
        <v>661</v>
      </c>
      <c r="F105" s="119">
        <v>100</v>
      </c>
      <c r="G105" s="120">
        <v>100.0253</v>
      </c>
      <c r="H105" s="118">
        <v>0.35</v>
      </c>
      <c r="I105" s="121">
        <v>694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100.0012</v>
      </c>
      <c r="H106" s="118">
        <v>0.02</v>
      </c>
      <c r="I106" s="121">
        <v>3094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101.03360000000001</v>
      </c>
      <c r="H107" s="118">
        <v>6.08</v>
      </c>
      <c r="I107" s="121">
        <v>1709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93.772111299516638</v>
      </c>
      <c r="G109" s="120">
        <v>95.897111299516638</v>
      </c>
      <c r="H109" s="118">
        <v>14.54</v>
      </c>
      <c r="I109" s="121">
        <v>455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93.611294883992684</v>
      </c>
      <c r="G112" s="120">
        <v>99.894594883992681</v>
      </c>
      <c r="H112" s="118">
        <v>28.08</v>
      </c>
      <c r="I112" s="121">
        <v>2613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90.020922626391439</v>
      </c>
      <c r="G113" s="120">
        <v>92.24312262639144</v>
      </c>
      <c r="H113" s="118">
        <v>28.08</v>
      </c>
      <c r="I113" s="121">
        <v>3118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96.5308012547179</v>
      </c>
      <c r="G116" s="120">
        <v>101.4583012547179</v>
      </c>
      <c r="H116" s="118">
        <v>17.809999999999999</v>
      </c>
      <c r="I116" s="121">
        <v>198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7.5988383859952142</v>
      </c>
      <c r="G117" s="120">
        <v>7.6844383859952146</v>
      </c>
      <c r="H117" s="118">
        <v>17.5</v>
      </c>
      <c r="I117" s="121">
        <v>5465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100.059</v>
      </c>
      <c r="H118" s="118">
        <v>4.24</v>
      </c>
      <c r="I118" s="121">
        <v>295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100.07680000000001</v>
      </c>
      <c r="H119" s="118">
        <v>0.35</v>
      </c>
      <c r="I119" s="121">
        <v>281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100.0544</v>
      </c>
      <c r="H120" s="118">
        <v>0.35</v>
      </c>
      <c r="I120" s="121">
        <v>664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100.0183</v>
      </c>
      <c r="H121" s="118">
        <v>0.02</v>
      </c>
      <c r="I121" s="121">
        <v>3094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100.0012</v>
      </c>
      <c r="H122" s="118">
        <v>0.02</v>
      </c>
      <c r="I122" s="121">
        <v>3094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101.03360000000001</v>
      </c>
      <c r="H123" s="118">
        <v>6.08</v>
      </c>
      <c r="I123" s="121">
        <v>1709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105.8969</v>
      </c>
      <c r="H124" s="118">
        <v>7.08</v>
      </c>
      <c r="I124" s="121">
        <v>2191</v>
      </c>
      <c r="J124" s="115" t="s">
        <v>271</v>
      </c>
    </row>
    <row r="125" spans="1:10" x14ac:dyDescent="0.25">
      <c r="A125" s="117">
        <v>122</v>
      </c>
      <c r="B125" s="114" t="s">
        <v>2394</v>
      </c>
      <c r="C125" s="115" t="s">
        <v>2395</v>
      </c>
      <c r="D125" s="115" t="s">
        <v>461</v>
      </c>
      <c r="E125" s="115" t="s">
        <v>698</v>
      </c>
      <c r="F125" s="119">
        <v>90.543312951209003</v>
      </c>
      <c r="G125" s="120">
        <v>91.85771295120901</v>
      </c>
      <c r="H125" s="118">
        <v>20.47</v>
      </c>
      <c r="I125" s="121">
        <v>3574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100.2033</v>
      </c>
      <c r="H126" s="118">
        <v>6.09</v>
      </c>
      <c r="I126" s="121">
        <v>2118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105.1511</v>
      </c>
      <c r="H127" s="118">
        <v>6.08</v>
      </c>
      <c r="I127" s="121">
        <v>2546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105.1511</v>
      </c>
      <c r="H128" s="118">
        <v>6.08</v>
      </c>
      <c r="I128" s="121">
        <v>2546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104.0158</v>
      </c>
      <c r="H129" s="118">
        <v>6.08</v>
      </c>
      <c r="I129" s="121">
        <v>2613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30.074999999999999</v>
      </c>
      <c r="G131" s="120">
        <v>30.207699999999999</v>
      </c>
      <c r="H131" s="118">
        <v>3.22</v>
      </c>
      <c r="I131" s="121">
        <v>34641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92.895394737261199</v>
      </c>
      <c r="G132" s="120">
        <v>93.6175947372612</v>
      </c>
      <c r="H132" s="118">
        <v>28.36</v>
      </c>
      <c r="I132" s="121">
        <v>2510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89.233116055457984</v>
      </c>
      <c r="G133" s="120">
        <v>91.941416055457992</v>
      </c>
      <c r="H133" s="118">
        <v>28.35</v>
      </c>
      <c r="I133" s="121">
        <v>3111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26377.824850000001</v>
      </c>
      <c r="G136" s="120">
        <v>26377.824850000001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122442.66774999999</v>
      </c>
      <c r="G138" s="120">
        <v>122442.66774999999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68084.057800481751</v>
      </c>
      <c r="G139" s="120">
        <v>68084.057800481751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1468.585</v>
      </c>
      <c r="G140" s="120">
        <v>1468.585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6.9537130813237349</v>
      </c>
      <c r="G141" s="120">
        <v>6.9537130813237349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28.705128669361038</v>
      </c>
      <c r="G144" s="120">
        <v>28.705228669361038</v>
      </c>
      <c r="H144" s="118">
        <v>17.57</v>
      </c>
      <c r="I144" s="121">
        <v>2668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98.657163827154747</v>
      </c>
      <c r="G145" s="120">
        <v>106.62156382715474</v>
      </c>
      <c r="H145" s="118">
        <v>17.66</v>
      </c>
      <c r="I145" s="121">
        <v>366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97.464547381181774</v>
      </c>
      <c r="G146" s="120">
        <v>105.45354738118178</v>
      </c>
      <c r="H146" s="118">
        <v>17.75</v>
      </c>
      <c r="I146" s="121">
        <v>731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99.061637423699125</v>
      </c>
      <c r="G147" s="120">
        <v>104.61993742369913</v>
      </c>
      <c r="H147" s="118">
        <v>18.09</v>
      </c>
      <c r="I147" s="121">
        <v>424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101.60889711832743</v>
      </c>
      <c r="G148" s="120">
        <v>104.02559711832743</v>
      </c>
      <c r="H148" s="118">
        <v>6.05</v>
      </c>
      <c r="I148" s="121">
        <v>424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100.71814986649777</v>
      </c>
      <c r="G149" s="120">
        <v>105.43064986649777</v>
      </c>
      <c r="H149" s="118">
        <v>18.920000000000002</v>
      </c>
      <c r="I149" s="121">
        <v>633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73759.966149999993</v>
      </c>
      <c r="G150" s="120">
        <v>73759.966149999993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49081.43305</v>
      </c>
      <c r="G151" s="120">
        <v>49081.43305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10851.382750000001</v>
      </c>
      <c r="G152" s="120">
        <v>10851.382750000001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96.78040426982156</v>
      </c>
      <c r="G153" s="120">
        <v>102.69290426982157</v>
      </c>
      <c r="H153" s="118">
        <v>24.55</v>
      </c>
      <c r="I153" s="121">
        <v>441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18146.295050000001</v>
      </c>
      <c r="G154" s="120">
        <v>18146.295050000001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92.134660900058662</v>
      </c>
      <c r="G155" s="120">
        <v>92.191560900058661</v>
      </c>
      <c r="H155" s="118">
        <v>24.35</v>
      </c>
      <c r="I155" s="121">
        <v>1079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71.084164580853042</v>
      </c>
      <c r="G156" s="120">
        <v>71.209164580853042</v>
      </c>
      <c r="H156" s="118">
        <v>18.86</v>
      </c>
      <c r="I156" s="121">
        <v>2516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76.078066453930859</v>
      </c>
      <c r="G157" s="120">
        <v>76.171866453930846</v>
      </c>
      <c r="H157" s="118">
        <v>18.850000000000001</v>
      </c>
      <c r="I157" s="121">
        <v>1797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82.663386297253098</v>
      </c>
      <c r="G158" s="120">
        <v>82.724486297253094</v>
      </c>
      <c r="H158" s="118">
        <v>18.84</v>
      </c>
      <c r="I158" s="121">
        <v>1078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77.590396954852167</v>
      </c>
      <c r="G159" s="120">
        <v>80.126496954852172</v>
      </c>
      <c r="H159" s="118">
        <v>18.850000000000001</v>
      </c>
      <c r="I159" s="121">
        <v>1537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79.309695343935616</v>
      </c>
      <c r="G160" s="120">
        <v>81.387495343935626</v>
      </c>
      <c r="H160" s="118">
        <v>17.52</v>
      </c>
      <c r="I160" s="121">
        <v>1732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93.692817848823708</v>
      </c>
      <c r="G161" s="120">
        <v>95.581717848823715</v>
      </c>
      <c r="H161" s="118">
        <v>18.66</v>
      </c>
      <c r="I161" s="121">
        <v>292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8.5605784748216625</v>
      </c>
      <c r="G162" s="120">
        <v>8.6184784748216625</v>
      </c>
      <c r="H162" s="118">
        <v>18.89</v>
      </c>
      <c r="I162" s="121">
        <v>5081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7.75994998806783</v>
      </c>
      <c r="G163" s="120">
        <v>7.8024499880678304</v>
      </c>
      <c r="H163" s="118">
        <v>18.89</v>
      </c>
      <c r="I163" s="121">
        <v>5298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76.958916901734298</v>
      </c>
      <c r="G164" s="120">
        <v>79.482816901734296</v>
      </c>
      <c r="H164" s="118">
        <v>18.850000000000001</v>
      </c>
      <c r="I164" s="121">
        <v>1903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87.377968554129424</v>
      </c>
      <c r="G165" s="120">
        <v>89.901868554129422</v>
      </c>
      <c r="H165" s="118">
        <v>18.809999999999999</v>
      </c>
      <c r="I165" s="121">
        <v>823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56.932253873128332</v>
      </c>
      <c r="G166" s="120">
        <v>62.829153873128334</v>
      </c>
      <c r="H166" s="118">
        <v>19.75</v>
      </c>
      <c r="I166" s="121">
        <v>2221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22.435333016574241</v>
      </c>
      <c r="G167" s="120">
        <v>22.76313301657424</v>
      </c>
      <c r="H167" s="118">
        <v>18.84</v>
      </c>
      <c r="I167" s="121">
        <v>3169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20.15849776902536</v>
      </c>
      <c r="G168" s="120">
        <v>20.423797769025359</v>
      </c>
      <c r="H168" s="118">
        <v>19.78</v>
      </c>
      <c r="I168" s="121">
        <v>3409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96.85530481120766</v>
      </c>
      <c r="G169" s="120">
        <v>100.39420481120766</v>
      </c>
      <c r="H169" s="118">
        <v>18.579999999999998</v>
      </c>
      <c r="I169" s="121">
        <v>269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103.2101</v>
      </c>
      <c r="H170" s="118">
        <v>17.41</v>
      </c>
      <c r="I170" s="121">
        <v>215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2974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47.00596475244366</v>
      </c>
      <c r="G172" s="120">
        <v>51.00596475244366</v>
      </c>
      <c r="H172" s="118">
        <v>18.77</v>
      </c>
      <c r="I172" s="121">
        <v>2970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96.107061646686688</v>
      </c>
      <c r="G173" s="120">
        <v>97.079261646686689</v>
      </c>
      <c r="H173" s="118">
        <v>18.71</v>
      </c>
      <c r="I173" s="121">
        <v>335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86.580294181916699</v>
      </c>
      <c r="G174" s="120">
        <v>87.746994181916691</v>
      </c>
      <c r="H174" s="118">
        <v>18.84</v>
      </c>
      <c r="I174" s="121">
        <v>2132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95.879814140639965</v>
      </c>
      <c r="G175" s="120">
        <v>99.225614140639976</v>
      </c>
      <c r="H175" s="118">
        <v>17.420000000000002</v>
      </c>
      <c r="I175" s="121">
        <v>250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88.225677472316519</v>
      </c>
      <c r="G176" s="120">
        <v>89.127077472316515</v>
      </c>
      <c r="H176" s="118">
        <v>5.38</v>
      </c>
      <c r="I176" s="121">
        <v>2050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101.29600000000001</v>
      </c>
      <c r="G177" s="120">
        <v>103.2974</v>
      </c>
      <c r="H177" s="118">
        <v>4.66</v>
      </c>
      <c r="I177" s="121">
        <v>589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93.698486300057482</v>
      </c>
      <c r="G178" s="120">
        <v>98.429086300057477</v>
      </c>
      <c r="H178" s="118">
        <v>17.559999999999999</v>
      </c>
      <c r="I178" s="121">
        <v>589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101.551</v>
      </c>
      <c r="G179" s="120">
        <v>103.34480000000001</v>
      </c>
      <c r="H179" s="118">
        <v>4.83</v>
      </c>
      <c r="I179" s="121">
        <v>1497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89.775000000000006</v>
      </c>
      <c r="G180" s="120">
        <v>93.259699999999995</v>
      </c>
      <c r="H180" s="118">
        <v>18.37</v>
      </c>
      <c r="I180" s="121">
        <v>987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102.27800000000001</v>
      </c>
      <c r="G181" s="120">
        <v>104.4499</v>
      </c>
      <c r="H181" s="118">
        <v>5.0599999999999996</v>
      </c>
      <c r="I181" s="121">
        <v>1661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100.2166681486186</v>
      </c>
      <c r="G182" s="120">
        <v>102.76666814861859</v>
      </c>
      <c r="H182" s="118">
        <v>5.6</v>
      </c>
      <c r="I182" s="121">
        <v>207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103.59360546261541</v>
      </c>
      <c r="G184" s="120">
        <v>104.54850546261541</v>
      </c>
      <c r="H184" s="118">
        <v>5.2</v>
      </c>
      <c r="I184" s="121">
        <v>1385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61.203794864005715</v>
      </c>
      <c r="G186" s="120">
        <v>62.223894864005715</v>
      </c>
      <c r="H186" s="118">
        <v>18.95</v>
      </c>
      <c r="I186" s="121">
        <v>1739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55.959879266178163</v>
      </c>
      <c r="G187" s="120">
        <v>56.160579266178168</v>
      </c>
      <c r="H187" s="118">
        <v>18.96</v>
      </c>
      <c r="I187" s="121">
        <v>2148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51.369337240957002</v>
      </c>
      <c r="G188" s="120">
        <v>56.452937240957006</v>
      </c>
      <c r="H188" s="118">
        <v>18.97</v>
      </c>
      <c r="I188" s="121">
        <v>2576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51.369337240957002</v>
      </c>
      <c r="G189" s="120">
        <v>56.452937240957006</v>
      </c>
      <c r="H189" s="118">
        <v>18.97</v>
      </c>
      <c r="I189" s="121">
        <v>2576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65.035184212210268</v>
      </c>
      <c r="G190" s="120">
        <v>66.592084212210267</v>
      </c>
      <c r="H190" s="118">
        <v>17.66</v>
      </c>
      <c r="I190" s="121">
        <v>3001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88.870379015518679</v>
      </c>
      <c r="G191" s="120">
        <v>92.34757901551869</v>
      </c>
      <c r="H191" s="118">
        <v>17.62</v>
      </c>
      <c r="I191" s="121">
        <v>1347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99.873800000000003</v>
      </c>
      <c r="G192" s="120">
        <v>106.2694</v>
      </c>
      <c r="H192" s="118">
        <v>16.72</v>
      </c>
      <c r="I192" s="121">
        <v>14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98.378654914734625</v>
      </c>
      <c r="G193" s="120">
        <v>101.77395491473462</v>
      </c>
      <c r="H193" s="118">
        <v>16.649999999999999</v>
      </c>
      <c r="I193" s="121">
        <v>212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98.940147264117371</v>
      </c>
      <c r="G194" s="120">
        <v>101.44014726411737</v>
      </c>
      <c r="H194" s="118">
        <v>16.66</v>
      </c>
      <c r="I194" s="121">
        <v>210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99.685906189666127</v>
      </c>
      <c r="G195" s="120">
        <v>106.24980618966613</v>
      </c>
      <c r="H195" s="118">
        <v>17.09</v>
      </c>
      <c r="I195" s="121">
        <v>311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99.962423014808536</v>
      </c>
      <c r="G196" s="120">
        <v>106.27132301480853</v>
      </c>
      <c r="H196" s="118">
        <v>16.66</v>
      </c>
      <c r="I196" s="121">
        <v>224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97.896000000000001</v>
      </c>
      <c r="G197" s="120">
        <v>102.96599999999999</v>
      </c>
      <c r="H197" s="118">
        <v>17.5</v>
      </c>
      <c r="I197" s="121">
        <v>1692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99.68087756275149</v>
      </c>
      <c r="G198" s="120">
        <v>103.27807756275149</v>
      </c>
      <c r="H198" s="118">
        <v>17.53</v>
      </c>
      <c r="I198" s="121">
        <v>1726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99.68087756275149</v>
      </c>
      <c r="G199" s="120">
        <v>103.27807756275149</v>
      </c>
      <c r="H199" s="118">
        <v>17.53</v>
      </c>
      <c r="I199" s="121">
        <v>1726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99.625527605178874</v>
      </c>
      <c r="G200" s="120">
        <v>104.40302760517888</v>
      </c>
      <c r="H200" s="118">
        <v>17.09</v>
      </c>
      <c r="I200" s="121">
        <v>267</v>
      </c>
      <c r="J200" s="115" t="s">
        <v>271</v>
      </c>
    </row>
    <row r="201" spans="1:10" x14ac:dyDescent="0.25">
      <c r="A201" s="117">
        <v>198</v>
      </c>
      <c r="B201" s="114" t="s">
        <v>2340</v>
      </c>
      <c r="C201" s="115" t="s">
        <v>2341</v>
      </c>
      <c r="D201" s="115" t="s">
        <v>461</v>
      </c>
      <c r="E201" s="115" t="s">
        <v>391</v>
      </c>
      <c r="F201" s="119">
        <v>100.13392190374596</v>
      </c>
      <c r="G201" s="120">
        <v>101.87972190374596</v>
      </c>
      <c r="H201" s="118">
        <v>17.47</v>
      </c>
      <c r="I201" s="121">
        <v>334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78.87859878726114</v>
      </c>
      <c r="G202" s="120">
        <v>82.17439878726114</v>
      </c>
      <c r="H202" s="118">
        <v>17.649999999999999</v>
      </c>
      <c r="I202" s="121">
        <v>1875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88.587507185284537</v>
      </c>
      <c r="G203" s="120">
        <v>91.004407185284535</v>
      </c>
      <c r="H203" s="118">
        <v>17.54</v>
      </c>
      <c r="I203" s="121">
        <v>823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78.689486145378822</v>
      </c>
      <c r="G204" s="120">
        <v>81.106386145378821</v>
      </c>
      <c r="H204" s="118">
        <v>17.649999999999999</v>
      </c>
      <c r="I204" s="121">
        <v>1903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77.373845564284352</v>
      </c>
      <c r="G205" s="120">
        <v>82.171045564284341</v>
      </c>
      <c r="H205" s="118">
        <v>17.52</v>
      </c>
      <c r="I205" s="121">
        <v>2003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82.152824843292365</v>
      </c>
      <c r="G206" s="120">
        <v>84.138924843292372</v>
      </c>
      <c r="H206" s="118">
        <v>15.52</v>
      </c>
      <c r="I206" s="121">
        <v>2275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76.916758820792154</v>
      </c>
      <c r="G207" s="120">
        <v>84.500058820792162</v>
      </c>
      <c r="H207" s="118">
        <v>17.52</v>
      </c>
      <c r="I207" s="121">
        <v>4830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101.08633148141924</v>
      </c>
      <c r="G208" s="120">
        <v>102.72133148141924</v>
      </c>
      <c r="H208" s="118">
        <v>5.01</v>
      </c>
      <c r="I208" s="121">
        <v>972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97.286133535917813</v>
      </c>
      <c r="G209" s="120">
        <v>101.5444335359178</v>
      </c>
      <c r="H209" s="118">
        <v>21.44</v>
      </c>
      <c r="I209" s="121">
        <v>94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231954.66190000001</v>
      </c>
      <c r="G211" s="116">
        <v>231954.66190000001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4453.2070587085755</v>
      </c>
      <c r="G212" s="116">
        <v>4453.2070587085755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99.130821274898352</v>
      </c>
      <c r="G213" s="116">
        <v>103.21412127489835</v>
      </c>
      <c r="H213" s="116">
        <v>19.62</v>
      </c>
      <c r="I213" s="113">
        <v>33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85.299800403306861</v>
      </c>
      <c r="G214" s="116">
        <v>85.999800403306864</v>
      </c>
      <c r="H214" s="116">
        <v>19.87</v>
      </c>
      <c r="I214" s="113">
        <v>879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97.277314416545209</v>
      </c>
      <c r="G215" s="116">
        <v>99.071914416545212</v>
      </c>
      <c r="H215" s="116">
        <v>19.53</v>
      </c>
      <c r="I215" s="113">
        <v>121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80.757734237227723</v>
      </c>
      <c r="G216" s="116">
        <v>84.175834237227718</v>
      </c>
      <c r="H216" s="116">
        <v>19.88</v>
      </c>
      <c r="I216" s="113">
        <v>1153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98.828605069717938</v>
      </c>
      <c r="G217" s="116">
        <v>98.828605069717938</v>
      </c>
      <c r="H217" s="116">
        <v>4.79</v>
      </c>
      <c r="I217" s="113">
        <v>89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6798</v>
      </c>
      <c r="G218" s="116">
        <v>6798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2421</v>
      </c>
      <c r="C219" s="115" t="s">
        <v>2422</v>
      </c>
      <c r="D219" s="115" t="s">
        <v>461</v>
      </c>
      <c r="E219" s="115" t="s">
        <v>2423</v>
      </c>
      <c r="F219" s="116">
        <v>100</v>
      </c>
      <c r="G219" s="116">
        <v>104.9054</v>
      </c>
      <c r="H219" s="116">
        <v>16.12</v>
      </c>
      <c r="I219" s="113">
        <v>663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85.713920747780435</v>
      </c>
      <c r="G220" s="116">
        <v>87.266720747780425</v>
      </c>
      <c r="H220" s="116">
        <v>36.950000000000003</v>
      </c>
      <c r="I220" s="113">
        <v>424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78.478840408367844</v>
      </c>
      <c r="G221" s="116">
        <v>81.098240408367843</v>
      </c>
      <c r="H221" s="116">
        <v>36.880000000000003</v>
      </c>
      <c r="I221" s="113">
        <v>674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77.779689349493339</v>
      </c>
      <c r="G222" s="116">
        <v>80.22408934949334</v>
      </c>
      <c r="H222" s="116">
        <v>36.869999999999997</v>
      </c>
      <c r="I222" s="113">
        <v>676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98.524993110862297</v>
      </c>
      <c r="G223" s="116">
        <v>103.65829311086229</v>
      </c>
      <c r="H223" s="116">
        <v>37.909999999999997</v>
      </c>
      <c r="I223" s="113">
        <v>32</v>
      </c>
      <c r="J223" s="115" t="s">
        <v>271</v>
      </c>
    </row>
    <row r="224" spans="1:10" x14ac:dyDescent="0.25">
      <c r="A224" s="113">
        <v>221</v>
      </c>
      <c r="B224" s="114" t="s">
        <v>2344</v>
      </c>
      <c r="C224" s="115" t="s">
        <v>2345</v>
      </c>
      <c r="D224" s="115" t="s">
        <v>461</v>
      </c>
      <c r="E224" s="115" t="s">
        <v>861</v>
      </c>
      <c r="F224" s="116">
        <v>93.694383231211617</v>
      </c>
      <c r="G224" s="116">
        <v>95.561083231211612</v>
      </c>
      <c r="H224" s="116">
        <v>38.64</v>
      </c>
      <c r="I224" s="113">
        <v>148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51725.370450000002</v>
      </c>
      <c r="G225" s="116">
        <v>51725.370450000002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132336.0246</v>
      </c>
      <c r="G227" s="116">
        <v>132336.0246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5873766.9800000004</v>
      </c>
      <c r="G229" s="116">
        <v>5873766.9800000004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1735800.45</v>
      </c>
      <c r="G231" s="116">
        <v>1735800.45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50981.428549999997</v>
      </c>
      <c r="G232" s="116">
        <v>50981.428549999997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63339.427450000003</v>
      </c>
      <c r="G233" s="116">
        <v>63339.427450000003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73.188282516584692</v>
      </c>
      <c r="G234" s="116">
        <v>73.971582516584689</v>
      </c>
      <c r="H234" s="116">
        <v>25.83</v>
      </c>
      <c r="I234" s="113">
        <v>1056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100.3896</v>
      </c>
      <c r="H235" s="116">
        <v>4.24</v>
      </c>
      <c r="I235" s="113">
        <v>267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100.0924</v>
      </c>
      <c r="H236" s="116">
        <v>0.35</v>
      </c>
      <c r="I236" s="113">
        <v>85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100.08459999999999</v>
      </c>
      <c r="H237" s="116">
        <v>0.35</v>
      </c>
      <c r="I237" s="113">
        <v>93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100.0972</v>
      </c>
      <c r="H238" s="116">
        <v>0.35</v>
      </c>
      <c r="I238" s="113">
        <v>260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100.12439999999999</v>
      </c>
      <c r="H239" s="116">
        <v>0.35</v>
      </c>
      <c r="I239" s="113">
        <v>592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100.00369999999999</v>
      </c>
      <c r="H240" s="116">
        <v>0.02</v>
      </c>
      <c r="I240" s="113">
        <v>3094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101.03360000000001</v>
      </c>
      <c r="H241" s="116">
        <v>6.08</v>
      </c>
      <c r="I241" s="113">
        <v>1709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105.8969</v>
      </c>
      <c r="H242" s="116">
        <v>7.08</v>
      </c>
      <c r="I242" s="113">
        <v>2191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100.2033</v>
      </c>
      <c r="H243" s="116">
        <v>6.09</v>
      </c>
      <c r="I243" s="113">
        <v>2118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105.1511</v>
      </c>
      <c r="H244" s="116">
        <v>6.08</v>
      </c>
      <c r="I244" s="113">
        <v>2546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105.1511</v>
      </c>
      <c r="H245" s="116">
        <v>6.08</v>
      </c>
      <c r="I245" s="113">
        <v>2546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104.0158</v>
      </c>
      <c r="H246" s="116">
        <v>6.08</v>
      </c>
      <c r="I246" s="113">
        <v>2613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100.21819177182273</v>
      </c>
      <c r="G247" s="116">
        <v>102.69689177182273</v>
      </c>
      <c r="H247" s="116">
        <v>5.32</v>
      </c>
      <c r="I247" s="113">
        <v>204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97.695701695346855</v>
      </c>
      <c r="G248" s="116">
        <v>97.740201695346869</v>
      </c>
      <c r="H248" s="116">
        <v>17.43</v>
      </c>
      <c r="I248" s="113">
        <v>913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94.199343375922183</v>
      </c>
      <c r="G249" s="116">
        <v>103.58714337592218</v>
      </c>
      <c r="H249" s="116">
        <v>17.48</v>
      </c>
      <c r="I249" s="113">
        <v>662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90.879585207119035</v>
      </c>
      <c r="G250" s="116">
        <v>96.509085207119028</v>
      </c>
      <c r="H250" s="116">
        <v>17.510000000000002</v>
      </c>
      <c r="I250" s="113">
        <v>738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93.832529690418824</v>
      </c>
      <c r="G251" s="116">
        <v>107.85442969041883</v>
      </c>
      <c r="H251" s="116">
        <v>18.2</v>
      </c>
      <c r="I251" s="113">
        <v>727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100.10049565254799</v>
      </c>
      <c r="G252" s="116">
        <v>107.38819565254799</v>
      </c>
      <c r="H252" s="116">
        <v>17.420000000000002</v>
      </c>
      <c r="I252" s="113">
        <v>944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106.54174902033843</v>
      </c>
      <c r="G253" s="116">
        <v>107.08424902033843</v>
      </c>
      <c r="H253" s="116">
        <v>4.79</v>
      </c>
      <c r="I253" s="113">
        <v>1769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96.837306083162957</v>
      </c>
      <c r="G254" s="116">
        <v>97.281106083162953</v>
      </c>
      <c r="H254" s="116">
        <v>6.98</v>
      </c>
      <c r="I254" s="113">
        <v>203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98.004905510323653</v>
      </c>
      <c r="G255" s="116">
        <v>100.97050551032366</v>
      </c>
      <c r="H255" s="116">
        <v>15.82</v>
      </c>
      <c r="I255" s="113">
        <v>833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98.355765964730253</v>
      </c>
      <c r="G256" s="116">
        <v>98.650165964730249</v>
      </c>
      <c r="H256" s="116">
        <v>15.84</v>
      </c>
      <c r="I256" s="113">
        <v>1073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98.016730269974389</v>
      </c>
      <c r="G257" s="116">
        <v>101.57173026997438</v>
      </c>
      <c r="H257" s="116">
        <v>15.86</v>
      </c>
      <c r="I257" s="113">
        <v>1542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351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418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98.858734817451946</v>
      </c>
      <c r="G260" s="116">
        <v>108.09923481745194</v>
      </c>
      <c r="H260" s="116">
        <v>16.75</v>
      </c>
      <c r="I260" s="113">
        <v>117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100.77030000000001</v>
      </c>
      <c r="H261" s="116">
        <v>15.61</v>
      </c>
      <c r="I261" s="113">
        <v>531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102.5459</v>
      </c>
      <c r="H262" s="116">
        <v>15.74</v>
      </c>
      <c r="I262" s="113">
        <v>1310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101.461</v>
      </c>
      <c r="G263" s="116">
        <v>103.4905</v>
      </c>
      <c r="H263" s="116">
        <v>3.77</v>
      </c>
      <c r="I263" s="113">
        <v>913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101.11199999999999</v>
      </c>
      <c r="G264" s="116">
        <v>101.46720000000001</v>
      </c>
      <c r="H264" s="116">
        <v>3.77</v>
      </c>
      <c r="I264" s="113">
        <v>1229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100.0849</v>
      </c>
      <c r="H265" s="116">
        <v>15.5</v>
      </c>
      <c r="I265" s="113">
        <v>547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104.85509999999999</v>
      </c>
      <c r="H266" s="116">
        <v>16.07</v>
      </c>
      <c r="I266" s="113">
        <v>986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99.289141147794737</v>
      </c>
      <c r="G267" s="116">
        <v>104.65454114779473</v>
      </c>
      <c r="H267" s="116">
        <v>15.59</v>
      </c>
      <c r="I267" s="113">
        <v>182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98.95640932712756</v>
      </c>
      <c r="G268" s="116">
        <v>101.70080932712756</v>
      </c>
      <c r="H268" s="116">
        <v>15.89</v>
      </c>
      <c r="I268" s="113">
        <v>295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97.604996425443844</v>
      </c>
      <c r="G269" s="116">
        <v>99.228696425443843</v>
      </c>
      <c r="H269" s="116">
        <v>15.8</v>
      </c>
      <c r="I269" s="113">
        <v>682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98.948136895009256</v>
      </c>
      <c r="G270" s="116">
        <v>101.91373689500925</v>
      </c>
      <c r="H270" s="116">
        <v>15.76</v>
      </c>
      <c r="I270" s="113">
        <v>473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98.927999999999997</v>
      </c>
      <c r="G271" s="116">
        <v>99.839799999999997</v>
      </c>
      <c r="H271" s="116">
        <v>3.76</v>
      </c>
      <c r="I271" s="113">
        <v>799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99.084000000000003</v>
      </c>
      <c r="G272" s="116">
        <v>99.496799999999993</v>
      </c>
      <c r="H272" s="116">
        <v>3.83</v>
      </c>
      <c r="I272" s="113">
        <v>1759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46.452374507537769</v>
      </c>
      <c r="G274" s="116">
        <v>49.874574507537766</v>
      </c>
      <c r="H274" s="116">
        <v>17.809999999999999</v>
      </c>
      <c r="I274" s="113">
        <v>2572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94.850703456125288</v>
      </c>
      <c r="G275" s="116">
        <v>95.185303456125283</v>
      </c>
      <c r="H275" s="116">
        <v>16.920000000000002</v>
      </c>
      <c r="I275" s="113">
        <v>349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87.541229144492803</v>
      </c>
      <c r="G276" s="116">
        <v>89.541229144492803</v>
      </c>
      <c r="H276" s="116">
        <v>18.41</v>
      </c>
      <c r="I276" s="113">
        <v>648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23487.690849999999</v>
      </c>
      <c r="G277" s="116">
        <v>23487.690849999999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95.885049599976398</v>
      </c>
      <c r="G281" s="116">
        <v>97.451449599976399</v>
      </c>
      <c r="H281" s="116">
        <v>17.3</v>
      </c>
      <c r="I281" s="113">
        <v>214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95.40624341426917</v>
      </c>
      <c r="G282" s="116">
        <v>98.902743414269167</v>
      </c>
      <c r="H282" s="116">
        <v>17.75</v>
      </c>
      <c r="I282" s="113">
        <v>235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2068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72.789588101780396</v>
      </c>
      <c r="G284" s="116">
        <v>73.767388101780384</v>
      </c>
      <c r="H284" s="116">
        <v>18.03</v>
      </c>
      <c r="I284" s="113">
        <v>2488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96.71297060615845</v>
      </c>
      <c r="G285" s="116">
        <v>96.887970606158447</v>
      </c>
      <c r="H285" s="116">
        <v>17.88</v>
      </c>
      <c r="I285" s="113">
        <v>174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23383.3249</v>
      </c>
      <c r="G286" s="116">
        <v>23383.3249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5491.9296937015852</v>
      </c>
      <c r="G289" s="116">
        <v>5491.9296937015852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2414</v>
      </c>
      <c r="F290" s="116">
        <v>558063.46699999995</v>
      </c>
      <c r="G290" s="116">
        <v>558063.46699999995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2414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2414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2414</v>
      </c>
      <c r="F293" s="116">
        <v>622754.29969999997</v>
      </c>
      <c r="G293" s="116">
        <v>622754.29969999997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101.82080000000001</v>
      </c>
      <c r="H295" s="116">
        <v>11.46</v>
      </c>
      <c r="I295" s="113">
        <v>1023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109.7778</v>
      </c>
      <c r="H296" s="116">
        <v>10</v>
      </c>
      <c r="I296" s="113">
        <v>3248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100.93280105483075</v>
      </c>
      <c r="G297" s="116">
        <v>106.00220105483075</v>
      </c>
      <c r="H297" s="116">
        <v>23.08</v>
      </c>
      <c r="I297" s="113">
        <v>197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17239.114099999999</v>
      </c>
      <c r="G298" s="116">
        <v>17239.114099999999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84.947765185977445</v>
      </c>
      <c r="G299" s="116">
        <v>88.981065185977457</v>
      </c>
      <c r="H299" s="116">
        <v>39.74</v>
      </c>
      <c r="I299" s="113">
        <v>239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97.670500000000004</v>
      </c>
      <c r="G300" s="116">
        <v>102.92610000000001</v>
      </c>
      <c r="H300" s="116">
        <v>13.51</v>
      </c>
      <c r="I300" s="113">
        <v>368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86.526685914412425</v>
      </c>
      <c r="G301" s="116">
        <v>91.293385914412426</v>
      </c>
      <c r="H301" s="116">
        <v>39.71</v>
      </c>
      <c r="I301" s="113">
        <v>204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93578.792449999994</v>
      </c>
      <c r="G302" s="116">
        <v>93578.792449999994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94.250162990090743</v>
      </c>
      <c r="G303" s="116">
        <v>99.572062990090743</v>
      </c>
      <c r="H303" s="116">
        <v>18.12</v>
      </c>
      <c r="I303" s="113">
        <v>379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42118.35095</v>
      </c>
      <c r="G304" s="116">
        <v>42118.35095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6253.9288500000002</v>
      </c>
      <c r="G305" s="116">
        <v>6253.9288500000002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4913.9464000000007</v>
      </c>
      <c r="G306" s="116">
        <v>4913.9464000000007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32449.782299999999</v>
      </c>
      <c r="G307" s="116">
        <v>32449.782299999999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166214.81760000001</v>
      </c>
      <c r="G308" s="116">
        <v>166214.81760000001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111832.1295</v>
      </c>
      <c r="G309" s="116">
        <v>111832.1295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98.519000000000005</v>
      </c>
      <c r="G310" s="116">
        <v>99.710700000000003</v>
      </c>
      <c r="H310" s="116">
        <v>18.25</v>
      </c>
      <c r="I310" s="113">
        <v>334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96.646100000000004</v>
      </c>
      <c r="G311" s="116">
        <v>97.471100000000007</v>
      </c>
      <c r="H311" s="116">
        <v>18</v>
      </c>
      <c r="I311" s="113">
        <v>1062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98.618166393502449</v>
      </c>
      <c r="G312" s="116">
        <v>107.64276639350246</v>
      </c>
      <c r="H312" s="116">
        <v>18.87</v>
      </c>
      <c r="I312" s="113">
        <v>901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97.59914928737544</v>
      </c>
      <c r="G313" s="116">
        <v>100.52204928737545</v>
      </c>
      <c r="H313" s="116">
        <v>18.8</v>
      </c>
      <c r="I313" s="113">
        <v>659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97.900999999999996</v>
      </c>
      <c r="G314" s="116">
        <v>100.34480000000001</v>
      </c>
      <c r="H314" s="116">
        <v>18</v>
      </c>
      <c r="I314" s="113">
        <v>1389</v>
      </c>
      <c r="J314" s="115" t="s">
        <v>271</v>
      </c>
    </row>
    <row r="315" spans="1:10" x14ac:dyDescent="0.25">
      <c r="A315" s="113">
        <v>312</v>
      </c>
      <c r="B315" s="114" t="s">
        <v>2342</v>
      </c>
      <c r="C315" s="115" t="s">
        <v>2343</v>
      </c>
      <c r="D315" s="115" t="s">
        <v>461</v>
      </c>
      <c r="E315" s="115" t="s">
        <v>52</v>
      </c>
      <c r="F315" s="116">
        <v>100.61401463643936</v>
      </c>
      <c r="G315" s="116">
        <v>102.84231463643935</v>
      </c>
      <c r="H315" s="116">
        <v>18.88</v>
      </c>
      <c r="I315" s="113">
        <v>1758</v>
      </c>
      <c r="J315" s="115" t="s">
        <v>271</v>
      </c>
    </row>
    <row r="316" spans="1:10" x14ac:dyDescent="0.25">
      <c r="A316" s="113">
        <v>313</v>
      </c>
      <c r="B316" s="114" t="s">
        <v>2309</v>
      </c>
      <c r="C316" s="115" t="s">
        <v>2310</v>
      </c>
      <c r="D316" s="115" t="s">
        <v>461</v>
      </c>
      <c r="E316" s="115" t="s">
        <v>52</v>
      </c>
      <c r="F316" s="116">
        <v>100.58826351449051</v>
      </c>
      <c r="G316" s="116">
        <v>103.3688635144905</v>
      </c>
      <c r="H316" s="116">
        <v>18.8</v>
      </c>
      <c r="I316" s="113">
        <v>668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52986.684999999998</v>
      </c>
      <c r="G317" s="116">
        <v>52986.684999999998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73501.895000000004</v>
      </c>
      <c r="G318" s="116">
        <v>73501.895000000004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72588.05</v>
      </c>
      <c r="G319" s="116">
        <v>72588.05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578939.43500000006</v>
      </c>
      <c r="G320" s="116">
        <v>578939.43500000006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530.27536380000004</v>
      </c>
      <c r="G322" s="116">
        <v>530.27536380000004</v>
      </c>
      <c r="H322" s="116">
        <v>0</v>
      </c>
      <c r="I322" s="113">
        <v>542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370.52360957987793</v>
      </c>
      <c r="G323" s="116">
        <v>370.52360957987793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102.20744221025551</v>
      </c>
      <c r="G324" s="116">
        <v>103.8117422102555</v>
      </c>
      <c r="H324" s="116">
        <v>17.989999999999998</v>
      </c>
      <c r="I324" s="113">
        <v>2129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103.9238</v>
      </c>
      <c r="H325" s="116">
        <v>17</v>
      </c>
      <c r="I325" s="113">
        <v>829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14229.073458243232</v>
      </c>
      <c r="G326" s="116">
        <v>14229.073458243232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43210.179349999999</v>
      </c>
      <c r="G327" s="116">
        <v>43210.179349999999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128675.1882</v>
      </c>
      <c r="G328" s="116">
        <v>128675.1882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102.39700000000001</v>
      </c>
      <c r="G329" s="116">
        <v>102.7182</v>
      </c>
      <c r="H329" s="116">
        <v>3.75</v>
      </c>
      <c r="I329" s="113">
        <v>1055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99.346999999999994</v>
      </c>
      <c r="G330" s="116">
        <v>100.90779999999999</v>
      </c>
      <c r="H330" s="116">
        <v>3.8</v>
      </c>
      <c r="I330" s="113">
        <v>1465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100.447</v>
      </c>
      <c r="G331" s="116">
        <v>100.9581</v>
      </c>
      <c r="H331" s="116">
        <v>3.91</v>
      </c>
      <c r="I331" s="113">
        <v>1934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102.822</v>
      </c>
      <c r="G332" s="116">
        <v>104.52200000000001</v>
      </c>
      <c r="H332" s="116">
        <v>3.93</v>
      </c>
      <c r="I332" s="113">
        <v>2024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1015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7757.86895</v>
      </c>
      <c r="G334" s="116">
        <v>7757.86895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100.14925090020782</v>
      </c>
      <c r="G335" s="116">
        <v>101.19925090020783</v>
      </c>
      <c r="H335" s="116">
        <v>12.9</v>
      </c>
      <c r="I335" s="113">
        <v>92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79.574906297212351</v>
      </c>
      <c r="G336" s="116">
        <v>83.016606297212348</v>
      </c>
      <c r="H336" s="116">
        <v>17.98</v>
      </c>
      <c r="I336" s="113">
        <v>1875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77.780116394308536</v>
      </c>
      <c r="G337" s="116">
        <v>82.795416394308532</v>
      </c>
      <c r="H337" s="116">
        <v>17.97</v>
      </c>
      <c r="I337" s="113">
        <v>2003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87.727384830153554</v>
      </c>
      <c r="G338" s="116">
        <v>91.309584830153554</v>
      </c>
      <c r="H338" s="116">
        <v>17.53</v>
      </c>
      <c r="I338" s="113">
        <v>1156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72.614174480017823</v>
      </c>
      <c r="G339" s="116">
        <v>80.284974480017823</v>
      </c>
      <c r="H339" s="116">
        <v>18.809999999999999</v>
      </c>
      <c r="I339" s="113">
        <v>4830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2974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4187.9827195727221</v>
      </c>
      <c r="G341" s="116">
        <v>4187.9827195727221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74964.203547511104</v>
      </c>
      <c r="G342" s="116">
        <v>74964.203547511104</v>
      </c>
      <c r="H342" s="116">
        <v>0</v>
      </c>
      <c r="I342" s="113">
        <v>142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289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1111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102.039</v>
      </c>
      <c r="G345" s="116">
        <v>102.5765</v>
      </c>
      <c r="H345" s="116">
        <v>3.75</v>
      </c>
      <c r="I345" s="113">
        <v>1037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9355.1522107734163</v>
      </c>
      <c r="G346" s="116">
        <v>9355.1522107734163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26955.851650000001</v>
      </c>
      <c r="G347" s="116">
        <v>26955.851650000001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93.011041850305801</v>
      </c>
      <c r="G348" s="116">
        <v>99.281841850305796</v>
      </c>
      <c r="H348" s="116">
        <v>19.32</v>
      </c>
      <c r="I348" s="113">
        <v>2571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92.914927532192195</v>
      </c>
      <c r="G349" s="116">
        <v>96.366327532192187</v>
      </c>
      <c r="H349" s="116">
        <v>19.329999999999998</v>
      </c>
      <c r="I349" s="113">
        <v>2629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38.557654427731748</v>
      </c>
      <c r="G350" s="116">
        <v>39.190954427731747</v>
      </c>
      <c r="H350" s="116">
        <v>20.27</v>
      </c>
      <c r="I350" s="113">
        <v>2823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42.044497340273047</v>
      </c>
      <c r="G351" s="116">
        <v>42.044497340273047</v>
      </c>
      <c r="H351" s="116">
        <v>18.38</v>
      </c>
      <c r="I351" s="113">
        <v>2880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74.963256573669355</v>
      </c>
      <c r="G352" s="116">
        <v>82.891356573669341</v>
      </c>
      <c r="H352" s="116">
        <v>25.91</v>
      </c>
      <c r="I352" s="113">
        <v>2177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40.739860307197695</v>
      </c>
      <c r="G353" s="116">
        <v>43.784260307197698</v>
      </c>
      <c r="H353" s="116">
        <v>20.28</v>
      </c>
      <c r="I353" s="113">
        <v>2606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92.249337079486779</v>
      </c>
      <c r="G354" s="116">
        <v>96.872637079486779</v>
      </c>
      <c r="H354" s="116">
        <v>19.21</v>
      </c>
      <c r="I354" s="113">
        <v>388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72.610442146934872</v>
      </c>
      <c r="G355" s="116">
        <v>74.870842146934876</v>
      </c>
      <c r="H355" s="116">
        <v>19.32</v>
      </c>
      <c r="I355" s="113">
        <v>1905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13495.32015</v>
      </c>
      <c r="G357" s="116">
        <v>13495.32015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95.788939971912626</v>
      </c>
      <c r="G358" s="116">
        <v>99.535439971912623</v>
      </c>
      <c r="H358" s="116">
        <v>24.55</v>
      </c>
      <c r="I358" s="113">
        <v>475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95791.885800000004</v>
      </c>
      <c r="G359" s="116">
        <v>95791.885800000004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158111.73819999999</v>
      </c>
      <c r="G360" s="116">
        <v>158111.73819999999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94.929900551648814</v>
      </c>
      <c r="G362" s="116">
        <v>96.042500551648814</v>
      </c>
      <c r="H362" s="116">
        <v>16.579999999999998</v>
      </c>
      <c r="I362" s="113">
        <v>321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92.987677696700203</v>
      </c>
      <c r="G363" s="116">
        <v>94.254377696700203</v>
      </c>
      <c r="H363" s="116">
        <v>16.75</v>
      </c>
      <c r="I363" s="113">
        <v>1408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92.987677696700203</v>
      </c>
      <c r="G364" s="116">
        <v>94.254377696700203</v>
      </c>
      <c r="H364" s="116">
        <v>16.75</v>
      </c>
      <c r="I364" s="113">
        <v>1408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95.422461558738874</v>
      </c>
      <c r="G365" s="116">
        <v>98.514861558738886</v>
      </c>
      <c r="H365" s="116">
        <v>16.760000000000002</v>
      </c>
      <c r="I365" s="113">
        <v>1547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99.12373816818868</v>
      </c>
      <c r="G366" s="116">
        <v>104.71543816818868</v>
      </c>
      <c r="H366" s="116">
        <v>16.760000000000002</v>
      </c>
      <c r="I366" s="113">
        <v>1678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99.108032213603337</v>
      </c>
      <c r="G367" s="116">
        <v>103.50803221360334</v>
      </c>
      <c r="H367" s="116">
        <v>16.75</v>
      </c>
      <c r="I367" s="113">
        <v>1704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100.13420000000001</v>
      </c>
      <c r="H368" s="116">
        <v>0.35</v>
      </c>
      <c r="I368" s="113">
        <v>342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101.6056</v>
      </c>
      <c r="H369" s="116">
        <v>4.24</v>
      </c>
      <c r="I369" s="113">
        <v>344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100.1157</v>
      </c>
      <c r="H370" s="116">
        <v>0.35</v>
      </c>
      <c r="I370" s="113">
        <v>61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100.0544</v>
      </c>
      <c r="H371" s="116">
        <v>0.35</v>
      </c>
      <c r="I371" s="113">
        <v>664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100.00230000000001</v>
      </c>
      <c r="H372" s="116">
        <v>0.02</v>
      </c>
      <c r="I372" s="113">
        <v>3094</v>
      </c>
      <c r="J372" s="115" t="s">
        <v>271</v>
      </c>
    </row>
    <row r="373" spans="1:10" x14ac:dyDescent="0.25">
      <c r="A373" s="113">
        <v>370</v>
      </c>
      <c r="B373" s="114" t="s">
        <v>2396</v>
      </c>
      <c r="C373" s="115" t="s">
        <v>2397</v>
      </c>
      <c r="D373" s="115" t="s">
        <v>461</v>
      </c>
      <c r="E373" s="115" t="s">
        <v>1120</v>
      </c>
      <c r="F373" s="116">
        <v>90.543312951209003</v>
      </c>
      <c r="G373" s="116">
        <v>91.85771295120901</v>
      </c>
      <c r="H373" s="116">
        <v>20.47</v>
      </c>
      <c r="I373" s="113">
        <v>3574</v>
      </c>
      <c r="J373" s="115" t="s">
        <v>271</v>
      </c>
    </row>
    <row r="374" spans="1:10" x14ac:dyDescent="0.25">
      <c r="A374" s="113">
        <v>371</v>
      </c>
      <c r="B374" s="114" t="s">
        <v>2327</v>
      </c>
      <c r="C374" s="115" t="s">
        <v>2328</v>
      </c>
      <c r="D374" s="115" t="s">
        <v>461</v>
      </c>
      <c r="E374" s="115" t="s">
        <v>1120</v>
      </c>
      <c r="F374" s="116">
        <v>90.548353194396896</v>
      </c>
      <c r="G374" s="116">
        <v>92.469453194396891</v>
      </c>
      <c r="H374" s="116">
        <v>20.46</v>
      </c>
      <c r="I374" s="113">
        <v>3562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105.8969</v>
      </c>
      <c r="H375" s="116">
        <v>7.09</v>
      </c>
      <c r="I375" s="113">
        <v>2221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88.818145505378041</v>
      </c>
      <c r="G376" s="116">
        <v>89.01644550537803</v>
      </c>
      <c r="H376" s="116">
        <v>16.82</v>
      </c>
      <c r="I376" s="113">
        <v>1074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109.80772178578272</v>
      </c>
      <c r="G377" s="116">
        <v>111.11832178578271</v>
      </c>
      <c r="H377" s="116">
        <v>13.53</v>
      </c>
      <c r="I377" s="113">
        <v>1412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122.70266334546848</v>
      </c>
      <c r="G378" s="116">
        <v>125.05546334546848</v>
      </c>
      <c r="H378" s="116">
        <v>12.83</v>
      </c>
      <c r="I378" s="113">
        <v>1756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100.32619256270411</v>
      </c>
      <c r="G379" s="116">
        <v>101.87899256270411</v>
      </c>
      <c r="H379" s="116">
        <v>6.36</v>
      </c>
      <c r="I379" s="113">
        <v>994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3343.5389882773566</v>
      </c>
      <c r="G383" s="116">
        <v>3343.5389882773566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1441.9181831906319</v>
      </c>
      <c r="G384" s="116">
        <v>1441.9181831906319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84.731657129559153</v>
      </c>
      <c r="G385" s="116">
        <v>87.956657129559161</v>
      </c>
      <c r="H385" s="116">
        <v>17.239999999999998</v>
      </c>
      <c r="I385" s="113">
        <v>2070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77.557885503042883</v>
      </c>
      <c r="G386" s="116">
        <v>88.962085503042871</v>
      </c>
      <c r="H386" s="116">
        <v>17.260000000000002</v>
      </c>
      <c r="I386" s="113">
        <v>2523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73.436152274603387</v>
      </c>
      <c r="G387" s="116">
        <v>76.125052274603391</v>
      </c>
      <c r="H387" s="116">
        <v>16.57</v>
      </c>
      <c r="I387" s="113">
        <v>3512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103.3899</v>
      </c>
      <c r="H388" s="116">
        <v>18.73</v>
      </c>
      <c r="I388" s="113">
        <v>4500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88.72688117592314</v>
      </c>
      <c r="G389" s="116">
        <v>98.893581175923131</v>
      </c>
      <c r="H389" s="116">
        <v>14.62</v>
      </c>
      <c r="I389" s="113">
        <v>2575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89.813798483562806</v>
      </c>
      <c r="G390" s="116">
        <v>94.933198483562805</v>
      </c>
      <c r="H390" s="116">
        <v>14.64</v>
      </c>
      <c r="I390" s="113">
        <v>886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79.580250732214708</v>
      </c>
      <c r="G391" s="116">
        <v>84.092750732214711</v>
      </c>
      <c r="H391" s="116">
        <v>15.17</v>
      </c>
      <c r="I391" s="113">
        <v>1989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99.587262201297463</v>
      </c>
      <c r="G392" s="116">
        <v>107.73306220129746</v>
      </c>
      <c r="H392" s="116">
        <v>18.559999999999999</v>
      </c>
      <c r="I392" s="113">
        <v>15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104.2127</v>
      </c>
      <c r="H393" s="116">
        <v>17.71</v>
      </c>
      <c r="I393" s="113">
        <v>98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107.1671</v>
      </c>
      <c r="H394" s="116">
        <v>16.829999999999998</v>
      </c>
      <c r="I394" s="113">
        <v>34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104.65</v>
      </c>
      <c r="H395" s="116">
        <v>18.2</v>
      </c>
      <c r="I395" s="113">
        <v>821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101.849</v>
      </c>
      <c r="H396" s="116">
        <v>18.21</v>
      </c>
      <c r="I396" s="113">
        <v>877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101.8693</v>
      </c>
      <c r="H397" s="116">
        <v>18.420000000000002</v>
      </c>
      <c r="I397" s="113">
        <v>1608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104.6755</v>
      </c>
      <c r="H398" s="116">
        <v>18.32</v>
      </c>
      <c r="I398" s="113">
        <v>1552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97.852130950099905</v>
      </c>
      <c r="G399" s="116">
        <v>104.58133095009991</v>
      </c>
      <c r="H399" s="116">
        <v>17.07</v>
      </c>
      <c r="I399" s="113">
        <v>105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99.504237264938553</v>
      </c>
      <c r="G400" s="116">
        <v>110.85843726493854</v>
      </c>
      <c r="H400" s="116">
        <v>17.39</v>
      </c>
      <c r="I400" s="113">
        <v>33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107.3473</v>
      </c>
      <c r="H401" s="116">
        <v>18.010000000000002</v>
      </c>
      <c r="I401" s="113">
        <v>217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101.97799999999999</v>
      </c>
      <c r="H402" s="116">
        <v>16.71</v>
      </c>
      <c r="I402" s="113">
        <v>322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90.392475296307452</v>
      </c>
      <c r="G403" s="116">
        <v>97.042475296307444</v>
      </c>
      <c r="H403" s="116">
        <v>14.64</v>
      </c>
      <c r="I403" s="113">
        <v>828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97.3773705023209</v>
      </c>
      <c r="G404" s="116">
        <v>104.2176705023209</v>
      </c>
      <c r="H404" s="116">
        <v>18.399999999999999</v>
      </c>
      <c r="I404" s="113">
        <v>163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82.003859524265735</v>
      </c>
      <c r="G405" s="116">
        <v>89.287159524265732</v>
      </c>
      <c r="H405" s="116">
        <v>14.62</v>
      </c>
      <c r="I405" s="113">
        <v>1884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94.725408238070756</v>
      </c>
      <c r="G406" s="116">
        <v>106.66980823807076</v>
      </c>
      <c r="H406" s="116">
        <v>18.45</v>
      </c>
      <c r="I406" s="113">
        <v>376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94.519586035701167</v>
      </c>
      <c r="G407" s="116">
        <v>105.97788603570118</v>
      </c>
      <c r="H407" s="116">
        <v>18.440000000000001</v>
      </c>
      <c r="I407" s="113">
        <v>390</v>
      </c>
      <c r="J407" s="115" t="s">
        <v>271</v>
      </c>
    </row>
    <row r="408" spans="1:10" x14ac:dyDescent="0.25">
      <c r="A408" s="113">
        <v>405</v>
      </c>
      <c r="B408" s="114" t="s">
        <v>2428</v>
      </c>
      <c r="C408" s="115" t="s">
        <v>2429</v>
      </c>
      <c r="D408" s="115" t="s">
        <v>461</v>
      </c>
      <c r="E408" s="115" t="s">
        <v>25</v>
      </c>
      <c r="F408" s="116">
        <v>95.2076853197931</v>
      </c>
      <c r="G408" s="116">
        <v>95.867385319793101</v>
      </c>
      <c r="H408" s="116">
        <v>18.399999999999999</v>
      </c>
      <c r="I408" s="113">
        <v>341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96.710449909809796</v>
      </c>
      <c r="G409" s="116">
        <v>101.6757499098098</v>
      </c>
      <c r="H409" s="116">
        <v>18.27</v>
      </c>
      <c r="I409" s="113">
        <v>217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96.350987887601789</v>
      </c>
      <c r="G410" s="116">
        <v>100.30928788760178</v>
      </c>
      <c r="H410" s="116">
        <v>18.28</v>
      </c>
      <c r="I410" s="113">
        <v>246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99.382557667559695</v>
      </c>
      <c r="G411" s="116">
        <v>110.59785766755971</v>
      </c>
      <c r="H411" s="116">
        <v>18.05</v>
      </c>
      <c r="I411" s="113">
        <v>37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97.418755161210015</v>
      </c>
      <c r="G412" s="116">
        <v>104.36315516121002</v>
      </c>
      <c r="H412" s="116">
        <v>18.399999999999999</v>
      </c>
      <c r="I412" s="113">
        <v>160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95.838257982293442</v>
      </c>
      <c r="G413" s="116">
        <v>98.407657982293443</v>
      </c>
      <c r="H413" s="116">
        <v>18.350000000000001</v>
      </c>
      <c r="I413" s="113">
        <v>286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95.917363183738829</v>
      </c>
      <c r="G414" s="116">
        <v>98.729863183738829</v>
      </c>
      <c r="H414" s="116">
        <v>18.350000000000001</v>
      </c>
      <c r="I414" s="113">
        <v>279</v>
      </c>
      <c r="J414" s="115" t="s">
        <v>271</v>
      </c>
    </row>
    <row r="415" spans="1:10" x14ac:dyDescent="0.25">
      <c r="A415" s="113">
        <v>412</v>
      </c>
      <c r="B415" s="114" t="s">
        <v>2307</v>
      </c>
      <c r="C415" s="115" t="s">
        <v>2308</v>
      </c>
      <c r="D415" s="115" t="s">
        <v>461</v>
      </c>
      <c r="E415" s="115" t="s">
        <v>25</v>
      </c>
      <c r="F415" s="116">
        <v>95.607108620374518</v>
      </c>
      <c r="G415" s="116">
        <v>97.447408620374517</v>
      </c>
      <c r="H415" s="116">
        <v>18.350000000000001</v>
      </c>
      <c r="I415" s="113">
        <v>307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97.889497166944949</v>
      </c>
      <c r="G416" s="116">
        <v>103.53669716694495</v>
      </c>
      <c r="H416" s="116">
        <v>14.81</v>
      </c>
      <c r="I416" s="113">
        <v>146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92.57809015313677</v>
      </c>
      <c r="G417" s="116">
        <v>99.279490153136763</v>
      </c>
      <c r="H417" s="116">
        <v>18.52</v>
      </c>
      <c r="I417" s="113">
        <v>527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92.25319620211593</v>
      </c>
      <c r="G418" s="116">
        <v>97.669896202115922</v>
      </c>
      <c r="H418" s="116">
        <v>18.43</v>
      </c>
      <c r="I418" s="113">
        <v>564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91.769359900486108</v>
      </c>
      <c r="G419" s="116">
        <v>95.727659900486103</v>
      </c>
      <c r="H419" s="116">
        <v>18.45</v>
      </c>
      <c r="I419" s="113">
        <v>606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100.036</v>
      </c>
      <c r="H420" s="116">
        <v>0.35</v>
      </c>
      <c r="I420" s="113">
        <v>323</v>
      </c>
      <c r="J420" s="115" t="s">
        <v>271</v>
      </c>
    </row>
    <row r="421" spans="1:10" x14ac:dyDescent="0.25">
      <c r="A421" s="113">
        <v>418</v>
      </c>
      <c r="B421" s="114" t="s">
        <v>2453</v>
      </c>
      <c r="C421" s="115" t="s">
        <v>2454</v>
      </c>
      <c r="D421" s="115" t="s">
        <v>461</v>
      </c>
      <c r="E421" s="115" t="s">
        <v>1160</v>
      </c>
      <c r="F421" s="116">
        <v>100</v>
      </c>
      <c r="G421" s="116">
        <v>100.00579999999999</v>
      </c>
      <c r="H421" s="116">
        <v>0.35</v>
      </c>
      <c r="I421" s="113">
        <v>714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100.00230000000001</v>
      </c>
      <c r="H422" s="116">
        <v>0.02</v>
      </c>
      <c r="I422" s="113">
        <v>3094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104.7728</v>
      </c>
      <c r="H423" s="116">
        <v>7.05</v>
      </c>
      <c r="I423" s="113">
        <v>2191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101.03360000000001</v>
      </c>
      <c r="H424" s="116">
        <v>6.08</v>
      </c>
      <c r="I424" s="113">
        <v>1709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105.8969</v>
      </c>
      <c r="H425" s="116">
        <v>7.08</v>
      </c>
      <c r="I425" s="113">
        <v>2191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100.2033</v>
      </c>
      <c r="H426" s="116">
        <v>6.09</v>
      </c>
      <c r="I426" s="113">
        <v>2118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105.1511</v>
      </c>
      <c r="H427" s="116">
        <v>6.08</v>
      </c>
      <c r="I427" s="113">
        <v>2546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105.1511</v>
      </c>
      <c r="H428" s="116">
        <v>6.08</v>
      </c>
      <c r="I428" s="113">
        <v>2546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98.681850408347586</v>
      </c>
      <c r="G429" s="116">
        <v>106.73045040834758</v>
      </c>
      <c r="H429" s="116">
        <v>18.260000000000002</v>
      </c>
      <c r="I429" s="113">
        <v>55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19742.705276593384</v>
      </c>
      <c r="G432" s="116">
        <v>19742.705276593384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100.185</v>
      </c>
      <c r="G433" s="116">
        <v>101.86069999999999</v>
      </c>
      <c r="H433" s="116">
        <v>4.63</v>
      </c>
      <c r="I433" s="113">
        <v>593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90.025999999999996</v>
      </c>
      <c r="G434" s="116">
        <v>92.054500000000004</v>
      </c>
      <c r="H434" s="116">
        <v>6.62</v>
      </c>
      <c r="I434" s="113">
        <v>7793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101.77500000000001</v>
      </c>
      <c r="G435" s="116">
        <v>103.59650000000001</v>
      </c>
      <c r="H435" s="116">
        <v>4.9400000000000004</v>
      </c>
      <c r="I435" s="113">
        <v>1678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96.05</v>
      </c>
      <c r="G436" s="116">
        <v>98.210400000000007</v>
      </c>
      <c r="H436" s="116">
        <v>6.71</v>
      </c>
      <c r="I436" s="113">
        <v>8338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88.671000000000006</v>
      </c>
      <c r="G437" s="116">
        <v>89.954300000000003</v>
      </c>
      <c r="H437" s="116">
        <v>5.32</v>
      </c>
      <c r="I437" s="113">
        <v>2748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100.1417</v>
      </c>
      <c r="H438" s="116">
        <v>4.24</v>
      </c>
      <c r="I438" s="113">
        <v>288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100.08459999999999</v>
      </c>
      <c r="H439" s="116">
        <v>0.35</v>
      </c>
      <c r="I439" s="113">
        <v>93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100.04470000000001</v>
      </c>
      <c r="H440" s="116">
        <v>0.35</v>
      </c>
      <c r="I440" s="113">
        <v>314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100.0992</v>
      </c>
      <c r="H441" s="116">
        <v>0.35</v>
      </c>
      <c r="I441" s="113">
        <v>618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100.0138</v>
      </c>
      <c r="H442" s="116">
        <v>0.02</v>
      </c>
      <c r="I442" s="113">
        <v>3094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100.00369999999999</v>
      </c>
      <c r="H443" s="116">
        <v>0.02</v>
      </c>
      <c r="I443" s="113">
        <v>3094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101.03360000000001</v>
      </c>
      <c r="H444" s="116">
        <v>6.08</v>
      </c>
      <c r="I444" s="113">
        <v>1709</v>
      </c>
      <c r="J444" s="115" t="s">
        <v>271</v>
      </c>
    </row>
    <row r="445" spans="1:10" x14ac:dyDescent="0.25">
      <c r="A445" s="113">
        <v>442</v>
      </c>
      <c r="B445" s="114" t="s">
        <v>2398</v>
      </c>
      <c r="C445" s="115" t="s">
        <v>2399</v>
      </c>
      <c r="D445" s="115" t="s">
        <v>461</v>
      </c>
      <c r="E445" s="115" t="s">
        <v>1192</v>
      </c>
      <c r="F445" s="116">
        <v>90.543312951209003</v>
      </c>
      <c r="G445" s="116">
        <v>91.85771295120901</v>
      </c>
      <c r="H445" s="116">
        <v>20.47</v>
      </c>
      <c r="I445" s="113">
        <v>3574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100.2033</v>
      </c>
      <c r="H446" s="116">
        <v>6.09</v>
      </c>
      <c r="I446" s="113">
        <v>2118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105.1511</v>
      </c>
      <c r="H447" s="116">
        <v>6.08</v>
      </c>
      <c r="I447" s="113">
        <v>2546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105.1511</v>
      </c>
      <c r="H448" s="116">
        <v>6.08</v>
      </c>
      <c r="I448" s="113">
        <v>2546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104.0158</v>
      </c>
      <c r="H449" s="116">
        <v>6.08</v>
      </c>
      <c r="I449" s="113">
        <v>2613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37338.925649999997</v>
      </c>
      <c r="G451" s="116">
        <v>37338.925649999997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101.2278</v>
      </c>
      <c r="H452" s="116">
        <v>4.2300000000000004</v>
      </c>
      <c r="I452" s="113">
        <v>376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100.09139999999999</v>
      </c>
      <c r="H453" s="116">
        <v>0.35</v>
      </c>
      <c r="I453" s="113">
        <v>86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100.0253</v>
      </c>
      <c r="H454" s="116">
        <v>0.35</v>
      </c>
      <c r="I454" s="113">
        <v>334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100.12439999999999</v>
      </c>
      <c r="H455" s="116">
        <v>0.35</v>
      </c>
      <c r="I455" s="113">
        <v>592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100.0012</v>
      </c>
      <c r="H456" s="116">
        <v>0.02</v>
      </c>
      <c r="I456" s="113">
        <v>3094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100.00409999999999</v>
      </c>
      <c r="H457" s="116">
        <v>0.02</v>
      </c>
      <c r="I457" s="113">
        <v>3094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101.03360000000001</v>
      </c>
      <c r="H458" s="116">
        <v>6.08</v>
      </c>
      <c r="I458" s="113">
        <v>1709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105.8969</v>
      </c>
      <c r="H459" s="116">
        <v>7.08</v>
      </c>
      <c r="I459" s="113">
        <v>2191</v>
      </c>
      <c r="J459" s="115" t="s">
        <v>271</v>
      </c>
    </row>
    <row r="460" spans="1:10" x14ac:dyDescent="0.25">
      <c r="A460" s="113">
        <v>457</v>
      </c>
      <c r="B460" s="114" t="s">
        <v>2329</v>
      </c>
      <c r="C460" s="115" t="s">
        <v>2330</v>
      </c>
      <c r="D460" s="115" t="s">
        <v>461</v>
      </c>
      <c r="E460" s="115" t="s">
        <v>1214</v>
      </c>
      <c r="F460" s="116">
        <v>90.548353194396896</v>
      </c>
      <c r="G460" s="116">
        <v>92.469453194396891</v>
      </c>
      <c r="H460" s="116">
        <v>20.46</v>
      </c>
      <c r="I460" s="113">
        <v>3562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100.2033</v>
      </c>
      <c r="H461" s="116">
        <v>6.09</v>
      </c>
      <c r="I461" s="113">
        <v>2118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105.1511</v>
      </c>
      <c r="H462" s="116">
        <v>6.08</v>
      </c>
      <c r="I462" s="113">
        <v>2546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105.1511</v>
      </c>
      <c r="H463" s="116">
        <v>6.08</v>
      </c>
      <c r="I463" s="113">
        <v>2546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104.0158</v>
      </c>
      <c r="H464" s="116">
        <v>6.08</v>
      </c>
      <c r="I464" s="113">
        <v>2613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49732.449899503699</v>
      </c>
      <c r="G466" s="116">
        <v>49732.449899503699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49944.49341320496</v>
      </c>
      <c r="G467" s="116">
        <v>49944.49341320496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96.711612579930346</v>
      </c>
      <c r="G468" s="116">
        <v>98.128312579930338</v>
      </c>
      <c r="H468" s="116">
        <v>18.73</v>
      </c>
      <c r="I468" s="113">
        <v>112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98.990145353473665</v>
      </c>
      <c r="G469" s="116">
        <v>102.05264535347366</v>
      </c>
      <c r="H469" s="116">
        <v>18.829999999999998</v>
      </c>
      <c r="I469" s="113">
        <v>33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82.841925903220414</v>
      </c>
      <c r="G471" s="116">
        <v>85.466925903220414</v>
      </c>
      <c r="H471" s="116">
        <v>19.86</v>
      </c>
      <c r="I471" s="113">
        <v>2277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93.494849623257892</v>
      </c>
      <c r="G472" s="116">
        <v>95.983749623257893</v>
      </c>
      <c r="H472" s="116">
        <v>19.760000000000002</v>
      </c>
      <c r="I472" s="113">
        <v>476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1023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58.633145039286482</v>
      </c>
      <c r="G474" s="116">
        <v>66.049845039286481</v>
      </c>
      <c r="H474" s="116">
        <v>20.86</v>
      </c>
      <c r="I474" s="113">
        <v>2973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23445.210340808058</v>
      </c>
      <c r="G475" s="116">
        <v>23445.210340808058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23603.97725</v>
      </c>
      <c r="G476" s="116">
        <v>23603.97725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79.021363501251457</v>
      </c>
      <c r="G479" s="116">
        <v>84.388063501251466</v>
      </c>
      <c r="H479" s="116">
        <v>20.09</v>
      </c>
      <c r="I479" s="113">
        <v>2202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87.063385158623717</v>
      </c>
      <c r="G481" s="116">
        <v>89.134185158623708</v>
      </c>
      <c r="H481" s="116">
        <v>17.54</v>
      </c>
      <c r="I481" s="113">
        <v>829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2.1429949565319628</v>
      </c>
      <c r="G482" s="116">
        <v>2.1610949565319628</v>
      </c>
      <c r="H482" s="116">
        <v>17.77</v>
      </c>
      <c r="I482" s="113">
        <v>8575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1.8620177792078645</v>
      </c>
      <c r="G483" s="116">
        <v>1.8676177792078645</v>
      </c>
      <c r="H483" s="116">
        <v>17.77</v>
      </c>
      <c r="I483" s="113">
        <v>8980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96.62913667095502</v>
      </c>
      <c r="G484" s="116">
        <v>96.686036670955033</v>
      </c>
      <c r="H484" s="116">
        <v>17.66</v>
      </c>
      <c r="I484" s="113">
        <v>178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1.2790393160017541</v>
      </c>
      <c r="G485" s="116">
        <v>1.2923393160017542</v>
      </c>
      <c r="H485" s="116">
        <v>17.77</v>
      </c>
      <c r="I485" s="113">
        <v>10212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1.7228579743639767</v>
      </c>
      <c r="G486" s="116">
        <v>1.7381579743639768</v>
      </c>
      <c r="H486" s="116">
        <v>17.77</v>
      </c>
      <c r="I486" s="113">
        <v>9215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50.693890803527779</v>
      </c>
      <c r="G487" s="116">
        <v>54.65709080352778</v>
      </c>
      <c r="H487" s="116">
        <v>18.97</v>
      </c>
      <c r="I487" s="113">
        <v>2643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70.627433191435131</v>
      </c>
      <c r="G488" s="116">
        <v>71.872633191435128</v>
      </c>
      <c r="H488" s="116">
        <v>18.13</v>
      </c>
      <c r="I488" s="113">
        <v>1749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1.5641135126748051</v>
      </c>
      <c r="G489" s="116">
        <v>1.5702135126748051</v>
      </c>
      <c r="H489" s="116">
        <v>17.77</v>
      </c>
      <c r="I489" s="113">
        <v>9518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58.524221267007285</v>
      </c>
      <c r="G490" s="116">
        <v>64.354721267007278</v>
      </c>
      <c r="H490" s="116">
        <v>18.96</v>
      </c>
      <c r="I490" s="113">
        <v>2221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1746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34.041683007386688</v>
      </c>
      <c r="G492" s="116">
        <v>34.547983007386691</v>
      </c>
      <c r="H492" s="116">
        <v>18.149999999999999</v>
      </c>
      <c r="I492" s="113">
        <v>3915</v>
      </c>
      <c r="J492" s="115" t="s">
        <v>271</v>
      </c>
    </row>
    <row r="493" spans="1:10" x14ac:dyDescent="0.25">
      <c r="A493" s="113">
        <v>490</v>
      </c>
      <c r="B493" s="114" t="s">
        <v>2382</v>
      </c>
      <c r="C493" s="115" t="s">
        <v>2383</v>
      </c>
      <c r="D493" s="115" t="s">
        <v>461</v>
      </c>
      <c r="E493" s="115" t="s">
        <v>824</v>
      </c>
      <c r="F493" s="116">
        <v>97.066685732692349</v>
      </c>
      <c r="G493" s="116">
        <v>98.666685732692343</v>
      </c>
      <c r="H493" s="116">
        <v>18.93</v>
      </c>
      <c r="I493" s="113">
        <v>1768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100.8861</v>
      </c>
      <c r="G494" s="116">
        <v>110.6028</v>
      </c>
      <c r="H494" s="116">
        <v>21.5</v>
      </c>
      <c r="I494" s="113">
        <v>921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99.063999999999993</v>
      </c>
      <c r="G495" s="116">
        <v>100.8869</v>
      </c>
      <c r="H495" s="116">
        <v>4.8499999999999996</v>
      </c>
      <c r="I495" s="113">
        <v>750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41122.697795131098</v>
      </c>
      <c r="G496" s="116">
        <v>41122.697795131098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95.347795144116276</v>
      </c>
      <c r="G497" s="116">
        <v>97.488095144116272</v>
      </c>
      <c r="H497" s="116">
        <v>17.809999999999999</v>
      </c>
      <c r="I497" s="113">
        <v>293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32264.341131112455</v>
      </c>
      <c r="G498" s="116">
        <v>32264.341131112455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804.35103326091371</v>
      </c>
      <c r="G499" s="116">
        <v>804.35103326091371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93.053748227565649</v>
      </c>
      <c r="G500" s="116">
        <v>100.84754822756565</v>
      </c>
      <c r="H500" s="116">
        <v>25.01</v>
      </c>
      <c r="I500" s="113">
        <v>1131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91.599000000000004</v>
      </c>
      <c r="G501" s="116">
        <v>93.386499999999998</v>
      </c>
      <c r="H501" s="116">
        <v>5.6</v>
      </c>
      <c r="I501" s="113">
        <v>6888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98.282529176494577</v>
      </c>
      <c r="G502" s="116">
        <v>100.16852917649457</v>
      </c>
      <c r="H502" s="116">
        <v>2.94</v>
      </c>
      <c r="I502" s="113">
        <v>1171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97.692731212487146</v>
      </c>
      <c r="G503" s="116">
        <v>98.234731212487148</v>
      </c>
      <c r="H503" s="116">
        <v>2.77</v>
      </c>
      <c r="I503" s="113">
        <v>400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85.657525848785241</v>
      </c>
      <c r="G504" s="116">
        <v>88.528725848785243</v>
      </c>
      <c r="H504" s="116">
        <v>14.9</v>
      </c>
      <c r="I504" s="113">
        <v>750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72.018090397496053</v>
      </c>
      <c r="G505" s="116">
        <v>75.086590397496053</v>
      </c>
      <c r="H505" s="116">
        <v>15.12</v>
      </c>
      <c r="I505" s="113">
        <v>1842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94.242783374349415</v>
      </c>
      <c r="G506" s="116">
        <v>95.554383374349413</v>
      </c>
      <c r="H506" s="116">
        <v>15.15</v>
      </c>
      <c r="I506" s="113">
        <v>300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83.71752156138021</v>
      </c>
      <c r="G507" s="116">
        <v>85.065921561380208</v>
      </c>
      <c r="H507" s="116">
        <v>14.97</v>
      </c>
      <c r="I507" s="113">
        <v>1028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72.697242550904676</v>
      </c>
      <c r="G508" s="116">
        <v>74.085942550904676</v>
      </c>
      <c r="H508" s="116">
        <v>15.14</v>
      </c>
      <c r="I508" s="113">
        <v>2120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72.697242550904676</v>
      </c>
      <c r="G509" s="116">
        <v>74.085942550904676</v>
      </c>
      <c r="H509" s="116">
        <v>15.14</v>
      </c>
      <c r="I509" s="113">
        <v>2120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109.773</v>
      </c>
      <c r="G510" s="116">
        <v>110.4049</v>
      </c>
      <c r="H510" s="116">
        <v>5.67</v>
      </c>
      <c r="I510" s="113">
        <v>7165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97.844999999999999</v>
      </c>
      <c r="G511" s="116">
        <v>99.638900000000007</v>
      </c>
      <c r="H511" s="116">
        <v>5</v>
      </c>
      <c r="I511" s="113">
        <v>3463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100.86499999999999</v>
      </c>
      <c r="G512" s="116">
        <v>101.6289</v>
      </c>
      <c r="H512" s="116">
        <v>4.8499999999999996</v>
      </c>
      <c r="I512" s="113">
        <v>2465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101.074</v>
      </c>
      <c r="G513" s="116">
        <v>101.9143</v>
      </c>
      <c r="H513" s="116">
        <v>5.38</v>
      </c>
      <c r="I513" s="113">
        <v>4265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101.01367296501272</v>
      </c>
      <c r="G516" s="116">
        <v>110.05807296501271</v>
      </c>
      <c r="H516" s="116">
        <v>21.43</v>
      </c>
      <c r="I516" s="113">
        <v>932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58832.95925</v>
      </c>
      <c r="G517" s="116">
        <v>58832.95925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99.906778090140108</v>
      </c>
      <c r="G519" s="116">
        <v>108.75907809014011</v>
      </c>
      <c r="H519" s="116">
        <v>10.39</v>
      </c>
      <c r="I519" s="113">
        <v>41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318353.61219999997</v>
      </c>
      <c r="G521" s="116">
        <v>318353.61219999997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403684.81855000003</v>
      </c>
      <c r="G522" s="116">
        <v>403684.81855000003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95.126821164319495</v>
      </c>
      <c r="G523" s="116">
        <v>99.910121164319492</v>
      </c>
      <c r="H523" s="116">
        <v>22.24</v>
      </c>
      <c r="I523" s="113">
        <v>3428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99.696959227674384</v>
      </c>
      <c r="G524" s="116">
        <v>103.81365922767438</v>
      </c>
      <c r="H524" s="116">
        <v>20.079999999999998</v>
      </c>
      <c r="I524" s="113">
        <v>102</v>
      </c>
      <c r="J524" s="115" t="s">
        <v>271</v>
      </c>
    </row>
    <row r="525" spans="1:10" x14ac:dyDescent="0.25">
      <c r="A525" s="113">
        <v>522</v>
      </c>
      <c r="B525" s="114" t="s">
        <v>2400</v>
      </c>
      <c r="C525" s="115" t="s">
        <v>2401</v>
      </c>
      <c r="D525" s="115" t="s">
        <v>461</v>
      </c>
      <c r="E525" s="115" t="s">
        <v>1347</v>
      </c>
      <c r="F525" s="116">
        <v>99.926114452848793</v>
      </c>
      <c r="G525" s="116">
        <v>101.37051445284879</v>
      </c>
      <c r="H525" s="116">
        <v>20.05</v>
      </c>
      <c r="I525" s="113">
        <v>694</v>
      </c>
      <c r="J525" s="115" t="s">
        <v>271</v>
      </c>
    </row>
    <row r="526" spans="1:10" x14ac:dyDescent="0.25">
      <c r="A526" s="113">
        <v>523</v>
      </c>
      <c r="B526" s="114" t="s">
        <v>2638</v>
      </c>
      <c r="C526" s="115" t="s">
        <v>2639</v>
      </c>
      <c r="D526" s="115" t="s">
        <v>451</v>
      </c>
      <c r="E526" s="115" t="s">
        <v>1350</v>
      </c>
      <c r="F526" s="116">
        <v>53521</v>
      </c>
      <c r="G526" s="116">
        <v>53521</v>
      </c>
      <c r="H526" s="116">
        <v>0</v>
      </c>
      <c r="I526" s="113">
        <v>0</v>
      </c>
      <c r="J526" s="115" t="s">
        <v>240</v>
      </c>
    </row>
    <row r="527" spans="1:10" x14ac:dyDescent="0.25">
      <c r="A527" s="113">
        <v>524</v>
      </c>
      <c r="B527" s="114" t="s">
        <v>1348</v>
      </c>
      <c r="C527" s="115" t="s">
        <v>1349</v>
      </c>
      <c r="D527" s="115" t="s">
        <v>461</v>
      </c>
      <c r="E527" s="115" t="s">
        <v>1350</v>
      </c>
      <c r="F527" s="116">
        <v>100.02478052514248</v>
      </c>
      <c r="G527" s="116">
        <v>103.75258052514248</v>
      </c>
      <c r="H527" s="116">
        <v>21.28</v>
      </c>
      <c r="I527" s="113">
        <v>29</v>
      </c>
      <c r="J527" s="115" t="s">
        <v>271</v>
      </c>
    </row>
    <row r="528" spans="1:10" x14ac:dyDescent="0.25">
      <c r="A528" s="113">
        <v>525</v>
      </c>
      <c r="B528" s="114" t="s">
        <v>1351</v>
      </c>
      <c r="C528" s="115" t="s">
        <v>1352</v>
      </c>
      <c r="D528" s="115" t="s">
        <v>461</v>
      </c>
      <c r="E528" s="115" t="s">
        <v>1350</v>
      </c>
      <c r="F528" s="116">
        <v>99.980225180681856</v>
      </c>
      <c r="G528" s="116">
        <v>101.81352518068185</v>
      </c>
      <c r="H528" s="116">
        <v>12.1</v>
      </c>
      <c r="I528" s="113">
        <v>35</v>
      </c>
      <c r="J528" s="115" t="s">
        <v>271</v>
      </c>
    </row>
    <row r="529" spans="1:10" x14ac:dyDescent="0.25">
      <c r="A529" s="113">
        <v>526</v>
      </c>
      <c r="B529" s="114" t="s">
        <v>2263</v>
      </c>
      <c r="C529" s="115" t="s">
        <v>2264</v>
      </c>
      <c r="D529" s="115" t="s">
        <v>461</v>
      </c>
      <c r="E529" s="115" t="s">
        <v>1350</v>
      </c>
      <c r="F529" s="116">
        <v>100.37963730421664</v>
      </c>
      <c r="G529" s="116">
        <v>102.41293730421664</v>
      </c>
      <c r="H529" s="116">
        <v>11.5</v>
      </c>
      <c r="I529" s="113">
        <v>299</v>
      </c>
      <c r="J529" s="115" t="s">
        <v>271</v>
      </c>
    </row>
    <row r="530" spans="1:10" x14ac:dyDescent="0.25">
      <c r="A530" s="113">
        <v>527</v>
      </c>
      <c r="B530" s="114" t="s">
        <v>1354</v>
      </c>
      <c r="C530" s="115" t="s">
        <v>1355</v>
      </c>
      <c r="D530" s="115" t="s">
        <v>461</v>
      </c>
      <c r="E530" s="115" t="s">
        <v>1353</v>
      </c>
      <c r="F530" s="116">
        <v>99.811441808458255</v>
      </c>
      <c r="G530" s="116">
        <v>102.87814180845825</v>
      </c>
      <c r="H530" s="116">
        <v>25.22</v>
      </c>
      <c r="I530" s="113">
        <v>44</v>
      </c>
      <c r="J530" s="115" t="s">
        <v>271</v>
      </c>
    </row>
    <row r="531" spans="1:10" x14ac:dyDescent="0.25">
      <c r="A531" s="113">
        <v>528</v>
      </c>
      <c r="B531" s="114" t="s">
        <v>1356</v>
      </c>
      <c r="C531" s="115" t="s">
        <v>1357</v>
      </c>
      <c r="D531" s="115" t="s">
        <v>461</v>
      </c>
      <c r="E531" s="115" t="s">
        <v>1358</v>
      </c>
      <c r="F531" s="116">
        <v>99.728839409727556</v>
      </c>
      <c r="G531" s="116">
        <v>104.39553940972756</v>
      </c>
      <c r="H531" s="116">
        <v>21.08</v>
      </c>
      <c r="I531" s="113">
        <v>820</v>
      </c>
      <c r="J531" s="115" t="s">
        <v>271</v>
      </c>
    </row>
    <row r="532" spans="1:10" x14ac:dyDescent="0.25">
      <c r="A532" s="113">
        <v>529</v>
      </c>
      <c r="B532" s="114" t="s">
        <v>2295</v>
      </c>
      <c r="C532" s="115" t="s">
        <v>2296</v>
      </c>
      <c r="D532" s="115" t="s">
        <v>461</v>
      </c>
      <c r="E532" s="115" t="s">
        <v>1358</v>
      </c>
      <c r="F532" s="116">
        <v>101.11618943870192</v>
      </c>
      <c r="G532" s="116">
        <v>103.56478943870192</v>
      </c>
      <c r="H532" s="116">
        <v>20.53</v>
      </c>
      <c r="I532" s="113">
        <v>499</v>
      </c>
      <c r="J532" s="115" t="s">
        <v>271</v>
      </c>
    </row>
    <row r="533" spans="1:10" x14ac:dyDescent="0.25">
      <c r="A533" s="113">
        <v>530</v>
      </c>
      <c r="B533" s="114" t="s">
        <v>2297</v>
      </c>
      <c r="C533" s="115" t="s">
        <v>2298</v>
      </c>
      <c r="D533" s="115" t="s">
        <v>451</v>
      </c>
      <c r="E533" s="115" t="s">
        <v>1358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1359</v>
      </c>
      <c r="C534" s="115" t="s">
        <v>1360</v>
      </c>
      <c r="D534" s="115" t="s">
        <v>461</v>
      </c>
      <c r="E534" s="115" t="s">
        <v>1361</v>
      </c>
      <c r="F534" s="116">
        <v>98.925200000000004</v>
      </c>
      <c r="G534" s="116">
        <v>104.1169</v>
      </c>
      <c r="H534" s="116">
        <v>22</v>
      </c>
      <c r="I534" s="113">
        <v>451</v>
      </c>
      <c r="J534" s="115" t="s">
        <v>271</v>
      </c>
    </row>
    <row r="535" spans="1:10" x14ac:dyDescent="0.25">
      <c r="A535" s="113">
        <v>532</v>
      </c>
      <c r="B535" s="114" t="s">
        <v>2450</v>
      </c>
      <c r="C535" s="115" t="s">
        <v>2451</v>
      </c>
      <c r="D535" s="115" t="s">
        <v>451</v>
      </c>
      <c r="E535" s="115" t="s">
        <v>1361</v>
      </c>
      <c r="F535" s="116">
        <v>1006.24</v>
      </c>
      <c r="G535" s="116">
        <v>1006.24</v>
      </c>
      <c r="H535" s="116">
        <v>0</v>
      </c>
      <c r="I535" s="113">
        <v>0</v>
      </c>
      <c r="J535" s="115" t="s">
        <v>240</v>
      </c>
    </row>
    <row r="536" spans="1:10" x14ac:dyDescent="0.25">
      <c r="A536" s="113">
        <v>533</v>
      </c>
      <c r="B536" s="114" t="s">
        <v>1362</v>
      </c>
      <c r="C536" s="115" t="s">
        <v>1363</v>
      </c>
      <c r="D536" s="115" t="s">
        <v>461</v>
      </c>
      <c r="E536" s="115" t="s">
        <v>2088</v>
      </c>
      <c r="F536" s="116">
        <v>100</v>
      </c>
      <c r="G536" s="116">
        <v>100.7944</v>
      </c>
      <c r="H536" s="116">
        <v>21.99</v>
      </c>
      <c r="I536" s="113">
        <v>617</v>
      </c>
      <c r="J536" s="115" t="s">
        <v>271</v>
      </c>
    </row>
    <row r="537" spans="1:10" x14ac:dyDescent="0.25">
      <c r="A537" s="113">
        <v>534</v>
      </c>
      <c r="B537" s="114" t="s">
        <v>1364</v>
      </c>
      <c r="C537" s="115" t="s">
        <v>1365</v>
      </c>
      <c r="D537" s="115" t="s">
        <v>461</v>
      </c>
      <c r="E537" s="115" t="s">
        <v>1366</v>
      </c>
      <c r="F537" s="116">
        <v>99.991250658687449</v>
      </c>
      <c r="G537" s="116">
        <v>101.96205065868745</v>
      </c>
      <c r="H537" s="116">
        <v>21.44</v>
      </c>
      <c r="I537" s="113">
        <v>147</v>
      </c>
      <c r="J537" s="115" t="s">
        <v>271</v>
      </c>
    </row>
    <row r="538" spans="1:10" x14ac:dyDescent="0.25">
      <c r="A538" s="113">
        <v>535</v>
      </c>
      <c r="B538" s="114" t="s">
        <v>1367</v>
      </c>
      <c r="C538" s="115" t="s">
        <v>1368</v>
      </c>
      <c r="D538" s="115" t="s">
        <v>461</v>
      </c>
      <c r="E538" s="115" t="s">
        <v>1366</v>
      </c>
      <c r="F538" s="116">
        <v>100.43888511054341</v>
      </c>
      <c r="G538" s="116">
        <v>101.56948511054341</v>
      </c>
      <c r="H538" s="116">
        <v>9.84</v>
      </c>
      <c r="I538" s="113">
        <v>143</v>
      </c>
      <c r="J538" s="115" t="s">
        <v>271</v>
      </c>
    </row>
    <row r="539" spans="1:10" x14ac:dyDescent="0.25">
      <c r="A539" s="113">
        <v>536</v>
      </c>
      <c r="B539" s="114" t="s">
        <v>2271</v>
      </c>
      <c r="C539" s="115" t="s">
        <v>2272</v>
      </c>
      <c r="D539" s="115" t="s">
        <v>461</v>
      </c>
      <c r="E539" s="115" t="s">
        <v>1366</v>
      </c>
      <c r="F539" s="116">
        <v>102.43893760971881</v>
      </c>
      <c r="G539" s="116">
        <v>102.43893760971881</v>
      </c>
      <c r="H539" s="116">
        <v>19.41</v>
      </c>
      <c r="I539" s="113">
        <v>660</v>
      </c>
      <c r="J539" s="115" t="s">
        <v>271</v>
      </c>
    </row>
    <row r="540" spans="1:10" x14ac:dyDescent="0.25">
      <c r="A540" s="113">
        <v>537</v>
      </c>
      <c r="B540" s="114" t="s">
        <v>1369</v>
      </c>
      <c r="C540" s="115" t="s">
        <v>1370</v>
      </c>
      <c r="D540" s="115" t="s">
        <v>461</v>
      </c>
      <c r="E540" s="115" t="s">
        <v>1371</v>
      </c>
      <c r="F540" s="116">
        <v>99.635822539724103</v>
      </c>
      <c r="G540" s="116">
        <v>100.06362253972409</v>
      </c>
      <c r="H540" s="116">
        <v>22.34</v>
      </c>
      <c r="I540" s="113">
        <v>443</v>
      </c>
      <c r="J540" s="115" t="s">
        <v>271</v>
      </c>
    </row>
    <row r="541" spans="1:10" x14ac:dyDescent="0.25">
      <c r="A541" s="113">
        <v>538</v>
      </c>
      <c r="B541" s="114" t="s">
        <v>1372</v>
      </c>
      <c r="C541" s="115" t="s">
        <v>1373</v>
      </c>
      <c r="D541" s="115" t="s">
        <v>461</v>
      </c>
      <c r="E541" s="115" t="s">
        <v>1374</v>
      </c>
      <c r="F541" s="116">
        <v>100.38943288911287</v>
      </c>
      <c r="G541" s="116">
        <v>102.18943288911287</v>
      </c>
      <c r="H541" s="116">
        <v>22.92</v>
      </c>
      <c r="I541" s="113">
        <v>153</v>
      </c>
      <c r="J541" s="115" t="s">
        <v>271</v>
      </c>
    </row>
    <row r="542" spans="1:10" x14ac:dyDescent="0.25">
      <c r="A542" s="113">
        <v>539</v>
      </c>
      <c r="B542" s="114" t="s">
        <v>1375</v>
      </c>
      <c r="C542" s="115" t="s">
        <v>1376</v>
      </c>
      <c r="D542" s="115" t="s">
        <v>461</v>
      </c>
      <c r="E542" s="115" t="s">
        <v>1374</v>
      </c>
      <c r="F542" s="116">
        <v>99.193289270219708</v>
      </c>
      <c r="G542" s="116">
        <v>101.0265892702197</v>
      </c>
      <c r="H542" s="116">
        <v>22.96</v>
      </c>
      <c r="I542" s="113">
        <v>330</v>
      </c>
      <c r="J542" s="115" t="s">
        <v>271</v>
      </c>
    </row>
    <row r="543" spans="1:10" x14ac:dyDescent="0.25">
      <c r="A543" s="113">
        <v>540</v>
      </c>
      <c r="B543" s="114" t="s">
        <v>2632</v>
      </c>
      <c r="C543" s="115" t="s">
        <v>2633</v>
      </c>
      <c r="D543" s="115" t="s">
        <v>451</v>
      </c>
      <c r="E543" s="115" t="s">
        <v>1374</v>
      </c>
      <c r="F543" s="116">
        <v>1000</v>
      </c>
      <c r="G543" s="116">
        <v>1000</v>
      </c>
      <c r="H543" s="116">
        <v>0</v>
      </c>
      <c r="I543" s="113">
        <v>0</v>
      </c>
      <c r="J543" s="115" t="s">
        <v>240</v>
      </c>
    </row>
    <row r="544" spans="1:10" x14ac:dyDescent="0.25">
      <c r="A544" s="113">
        <v>541</v>
      </c>
      <c r="B544" s="114" t="s">
        <v>2180</v>
      </c>
      <c r="C544" s="115" t="s">
        <v>2181</v>
      </c>
      <c r="D544" s="115" t="s">
        <v>461</v>
      </c>
      <c r="E544" s="115" t="s">
        <v>2437</v>
      </c>
      <c r="F544" s="116">
        <v>99.26096244145657</v>
      </c>
      <c r="G544" s="116">
        <v>104.78596244145656</v>
      </c>
      <c r="H544" s="116">
        <v>20.12</v>
      </c>
      <c r="I544" s="113">
        <v>258</v>
      </c>
      <c r="J544" s="115" t="s">
        <v>271</v>
      </c>
    </row>
    <row r="545" spans="1:10" x14ac:dyDescent="0.25">
      <c r="A545" s="113">
        <v>542</v>
      </c>
      <c r="B545" s="114" t="s">
        <v>2229</v>
      </c>
      <c r="C545" s="115" t="s">
        <v>2230</v>
      </c>
      <c r="D545" s="115" t="s">
        <v>461</v>
      </c>
      <c r="E545" s="115" t="s">
        <v>2437</v>
      </c>
      <c r="F545" s="116">
        <v>99.275476192331794</v>
      </c>
      <c r="G545" s="116">
        <v>103.9879761923318</v>
      </c>
      <c r="H545" s="116">
        <v>20.12</v>
      </c>
      <c r="I545" s="113">
        <v>273</v>
      </c>
      <c r="J545" s="115" t="s">
        <v>271</v>
      </c>
    </row>
    <row r="546" spans="1:10" x14ac:dyDescent="0.25">
      <c r="A546" s="113">
        <v>543</v>
      </c>
      <c r="B546" s="114" t="s">
        <v>2231</v>
      </c>
      <c r="C546" s="115" t="s">
        <v>2232</v>
      </c>
      <c r="D546" s="115" t="s">
        <v>461</v>
      </c>
      <c r="E546" s="115" t="s">
        <v>2437</v>
      </c>
      <c r="F546" s="116">
        <v>99.276650603003262</v>
      </c>
      <c r="G546" s="116">
        <v>103.93495060300326</v>
      </c>
      <c r="H546" s="116">
        <v>20.12</v>
      </c>
      <c r="I546" s="113">
        <v>274</v>
      </c>
      <c r="J546" s="115" t="s">
        <v>271</v>
      </c>
    </row>
    <row r="547" spans="1:10" x14ac:dyDescent="0.25">
      <c r="A547" s="113">
        <v>544</v>
      </c>
      <c r="B547" s="114" t="s">
        <v>1377</v>
      </c>
      <c r="C547" s="115" t="s">
        <v>1378</v>
      </c>
      <c r="D547" s="115" t="s">
        <v>461</v>
      </c>
      <c r="E547" s="115" t="s">
        <v>2175</v>
      </c>
      <c r="F547" s="116">
        <v>99.99</v>
      </c>
      <c r="G547" s="116">
        <v>101.8233</v>
      </c>
      <c r="H547" s="116">
        <v>19.989999999999998</v>
      </c>
      <c r="I547" s="113">
        <v>867</v>
      </c>
      <c r="J547" s="115" t="s">
        <v>271</v>
      </c>
    </row>
    <row r="548" spans="1:10" x14ac:dyDescent="0.25">
      <c r="A548" s="113">
        <v>545</v>
      </c>
      <c r="B548" s="114" t="s">
        <v>1379</v>
      </c>
      <c r="C548" s="115" t="s">
        <v>1380</v>
      </c>
      <c r="D548" s="115" t="s">
        <v>461</v>
      </c>
      <c r="E548" s="115" t="s">
        <v>2175</v>
      </c>
      <c r="F548" s="116">
        <v>101.07660343575563</v>
      </c>
      <c r="G548" s="116">
        <v>104.74330343575564</v>
      </c>
      <c r="H548" s="116">
        <v>19.510000000000002</v>
      </c>
      <c r="I548" s="113">
        <v>1104</v>
      </c>
      <c r="J548" s="115" t="s">
        <v>271</v>
      </c>
    </row>
    <row r="549" spans="1:10" x14ac:dyDescent="0.25">
      <c r="A549" s="113">
        <v>546</v>
      </c>
      <c r="B549" s="114" t="s">
        <v>1381</v>
      </c>
      <c r="C549" s="115" t="s">
        <v>1382</v>
      </c>
      <c r="D549" s="115" t="s">
        <v>461</v>
      </c>
      <c r="E549" s="115" t="s">
        <v>1383</v>
      </c>
      <c r="F549" s="116">
        <v>100.84944979191881</v>
      </c>
      <c r="G549" s="116">
        <v>101.39944979191881</v>
      </c>
      <c r="H549" s="116">
        <v>20.37</v>
      </c>
      <c r="I549" s="113">
        <v>201</v>
      </c>
      <c r="J549" s="115" t="s">
        <v>271</v>
      </c>
    </row>
    <row r="550" spans="1:10" x14ac:dyDescent="0.25">
      <c r="A550" s="113">
        <v>547</v>
      </c>
      <c r="B550" s="114" t="s">
        <v>2131</v>
      </c>
      <c r="C550" s="115" t="s">
        <v>2132</v>
      </c>
      <c r="D550" s="115" t="s">
        <v>461</v>
      </c>
      <c r="E550" s="115" t="s">
        <v>1383</v>
      </c>
      <c r="F550" s="116">
        <v>100.49128689413776</v>
      </c>
      <c r="G550" s="116">
        <v>109.23018689413776</v>
      </c>
      <c r="H550" s="116">
        <v>21.55</v>
      </c>
      <c r="I550" s="113">
        <v>577</v>
      </c>
      <c r="J550" s="115" t="s">
        <v>271</v>
      </c>
    </row>
    <row r="551" spans="1:10" x14ac:dyDescent="0.25">
      <c r="A551" s="113">
        <v>548</v>
      </c>
      <c r="B551" s="114" t="s">
        <v>2233</v>
      </c>
      <c r="C551" s="115" t="s">
        <v>2234</v>
      </c>
      <c r="D551" s="115" t="s">
        <v>461</v>
      </c>
      <c r="E551" s="115" t="s">
        <v>1383</v>
      </c>
      <c r="F551" s="116">
        <v>101.73929887050792</v>
      </c>
      <c r="G551" s="116">
        <v>103.20869887050792</v>
      </c>
      <c r="H551" s="116">
        <v>20.53</v>
      </c>
      <c r="I551" s="113">
        <v>277</v>
      </c>
      <c r="J551" s="115" t="s">
        <v>271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461</v>
      </c>
      <c r="E552" s="115" t="s">
        <v>1383</v>
      </c>
      <c r="F552" s="116">
        <v>101.66251574511971</v>
      </c>
      <c r="G552" s="116">
        <v>102.55691574511971</v>
      </c>
      <c r="H552" s="116">
        <v>20.46</v>
      </c>
      <c r="I552" s="113">
        <v>256</v>
      </c>
      <c r="J552" s="115" t="s">
        <v>271</v>
      </c>
    </row>
    <row r="553" spans="1:10" x14ac:dyDescent="0.25">
      <c r="A553" s="113">
        <v>550</v>
      </c>
      <c r="B553" s="114" t="s">
        <v>2634</v>
      </c>
      <c r="C553" s="115" t="s">
        <v>2635</v>
      </c>
      <c r="D553" s="115" t="s">
        <v>451</v>
      </c>
      <c r="E553" s="115" t="s">
        <v>1383</v>
      </c>
      <c r="F553" s="116">
        <v>1000</v>
      </c>
      <c r="G553" s="116">
        <v>1000</v>
      </c>
      <c r="H553" s="116">
        <v>0</v>
      </c>
      <c r="I553" s="113">
        <v>0</v>
      </c>
      <c r="J553" s="115" t="s">
        <v>240</v>
      </c>
    </row>
    <row r="554" spans="1:10" x14ac:dyDescent="0.25">
      <c r="A554" s="113">
        <v>551</v>
      </c>
      <c r="B554" s="114" t="s">
        <v>1384</v>
      </c>
      <c r="C554" s="115" t="s">
        <v>1385</v>
      </c>
      <c r="D554" s="115" t="s">
        <v>461</v>
      </c>
      <c r="E554" s="115" t="s">
        <v>1383</v>
      </c>
      <c r="F554" s="116">
        <v>99.974020996327326</v>
      </c>
      <c r="G554" s="116">
        <v>100.80732099632732</v>
      </c>
      <c r="H554" s="116">
        <v>20.18</v>
      </c>
      <c r="I554" s="113">
        <v>45</v>
      </c>
      <c r="J554" s="115" t="s">
        <v>271</v>
      </c>
    </row>
    <row r="555" spans="1:10" x14ac:dyDescent="0.25">
      <c r="A555" s="113">
        <v>552</v>
      </c>
      <c r="B555" s="114" t="s">
        <v>1386</v>
      </c>
      <c r="C555" s="115" t="s">
        <v>1387</v>
      </c>
      <c r="D555" s="115" t="s">
        <v>461</v>
      </c>
      <c r="E555" s="115" t="s">
        <v>1383</v>
      </c>
      <c r="F555" s="116">
        <v>99.917859612093181</v>
      </c>
      <c r="G555" s="116">
        <v>101.36225961209318</v>
      </c>
      <c r="H555" s="116">
        <v>20.46</v>
      </c>
      <c r="I555" s="113">
        <v>64</v>
      </c>
      <c r="J555" s="115" t="s">
        <v>271</v>
      </c>
    </row>
    <row r="556" spans="1:10" x14ac:dyDescent="0.25">
      <c r="A556" s="113">
        <v>553</v>
      </c>
      <c r="B556" s="114" t="s">
        <v>1388</v>
      </c>
      <c r="C556" s="115" t="s">
        <v>1389</v>
      </c>
      <c r="D556" s="115" t="s">
        <v>461</v>
      </c>
      <c r="E556" s="115" t="s">
        <v>1383</v>
      </c>
      <c r="F556" s="116">
        <v>99.569356612591562</v>
      </c>
      <c r="G556" s="116">
        <v>100.34715661259156</v>
      </c>
      <c r="H556" s="116">
        <v>20.97</v>
      </c>
      <c r="I556" s="113">
        <v>166</v>
      </c>
      <c r="J556" s="115" t="s">
        <v>271</v>
      </c>
    </row>
    <row r="557" spans="1:10" x14ac:dyDescent="0.25">
      <c r="A557" s="113">
        <v>554</v>
      </c>
      <c r="B557" s="114" t="s">
        <v>1390</v>
      </c>
      <c r="C557" s="115" t="s">
        <v>1391</v>
      </c>
      <c r="D557" s="115" t="s">
        <v>461</v>
      </c>
      <c r="E557" s="115" t="s">
        <v>1383</v>
      </c>
      <c r="F557" s="116">
        <v>99.821325731781926</v>
      </c>
      <c r="G557" s="116">
        <v>104.76572573178193</v>
      </c>
      <c r="H557" s="116">
        <v>20.74</v>
      </c>
      <c r="I557" s="113">
        <v>91</v>
      </c>
      <c r="J557" s="115" t="s">
        <v>271</v>
      </c>
    </row>
    <row r="558" spans="1:10" x14ac:dyDescent="0.25">
      <c r="A558" s="113">
        <v>555</v>
      </c>
      <c r="B558" s="114" t="s">
        <v>1392</v>
      </c>
      <c r="C558" s="115" t="s">
        <v>1393</v>
      </c>
      <c r="D558" s="115" t="s">
        <v>461</v>
      </c>
      <c r="E558" s="115" t="s">
        <v>1383</v>
      </c>
      <c r="F558" s="116">
        <v>99.794731087771169</v>
      </c>
      <c r="G558" s="116">
        <v>104.23913108777117</v>
      </c>
      <c r="H558" s="116">
        <v>20.73</v>
      </c>
      <c r="I558" s="113">
        <v>100</v>
      </c>
      <c r="J558" s="115" t="s">
        <v>271</v>
      </c>
    </row>
    <row r="559" spans="1:10" x14ac:dyDescent="0.25">
      <c r="A559" s="113">
        <v>556</v>
      </c>
      <c r="B559" s="114" t="s">
        <v>2011</v>
      </c>
      <c r="C559" s="115" t="s">
        <v>2012</v>
      </c>
      <c r="D559" s="115" t="s">
        <v>461</v>
      </c>
      <c r="E559" s="115" t="s">
        <v>1383</v>
      </c>
      <c r="F559" s="116">
        <v>98.755042334747088</v>
      </c>
      <c r="G559" s="116">
        <v>100.58834233474708</v>
      </c>
      <c r="H559" s="116">
        <v>21.02</v>
      </c>
      <c r="I559" s="113">
        <v>507</v>
      </c>
      <c r="J559" s="115" t="s">
        <v>271</v>
      </c>
    </row>
    <row r="560" spans="1:10" x14ac:dyDescent="0.25">
      <c r="A560" s="113">
        <v>557</v>
      </c>
      <c r="B560" s="114" t="s">
        <v>2047</v>
      </c>
      <c r="C560" s="115" t="s">
        <v>2048</v>
      </c>
      <c r="D560" s="115" t="s">
        <v>461</v>
      </c>
      <c r="E560" s="115" t="s">
        <v>1383</v>
      </c>
      <c r="F560" s="116">
        <v>97.496799999999993</v>
      </c>
      <c r="G560" s="116">
        <v>97.496799999999993</v>
      </c>
      <c r="H560" s="116">
        <v>22</v>
      </c>
      <c r="I560" s="113">
        <v>540</v>
      </c>
      <c r="J560" s="115" t="s">
        <v>271</v>
      </c>
    </row>
    <row r="561" spans="1:10" x14ac:dyDescent="0.25">
      <c r="A561" s="113">
        <v>558</v>
      </c>
      <c r="B561" s="114" t="s">
        <v>2092</v>
      </c>
      <c r="C561" s="115" t="s">
        <v>2093</v>
      </c>
      <c r="D561" s="115" t="s">
        <v>461</v>
      </c>
      <c r="E561" s="115" t="s">
        <v>1383</v>
      </c>
      <c r="F561" s="116">
        <v>100.6557208865086</v>
      </c>
      <c r="G561" s="116">
        <v>104.3224208865086</v>
      </c>
      <c r="H561" s="116">
        <v>20.72</v>
      </c>
      <c r="I561" s="113">
        <v>210</v>
      </c>
      <c r="J561" s="115" t="s">
        <v>271</v>
      </c>
    </row>
    <row r="562" spans="1:10" x14ac:dyDescent="0.25">
      <c r="A562" s="113">
        <v>559</v>
      </c>
      <c r="B562" s="114" t="s">
        <v>1394</v>
      </c>
      <c r="C562" s="115" t="s">
        <v>1395</v>
      </c>
      <c r="D562" s="115" t="s">
        <v>461</v>
      </c>
      <c r="E562" s="115" t="s">
        <v>1396</v>
      </c>
      <c r="F562" s="116">
        <v>100.27285425769186</v>
      </c>
      <c r="G562" s="116">
        <v>104.53955425769186</v>
      </c>
      <c r="H562" s="116">
        <v>22.98</v>
      </c>
      <c r="I562" s="113">
        <v>116</v>
      </c>
      <c r="J562" s="115" t="s">
        <v>271</v>
      </c>
    </row>
    <row r="563" spans="1:10" x14ac:dyDescent="0.25">
      <c r="A563" s="113">
        <v>560</v>
      </c>
      <c r="B563" s="114" t="s">
        <v>2003</v>
      </c>
      <c r="C563" s="115" t="s">
        <v>2004</v>
      </c>
      <c r="D563" s="115" t="s">
        <v>461</v>
      </c>
      <c r="E563" s="115" t="s">
        <v>1396</v>
      </c>
      <c r="F563" s="116">
        <v>96.177581961151418</v>
      </c>
      <c r="G563" s="116">
        <v>98.733181961151416</v>
      </c>
      <c r="H563" s="116">
        <v>23.3</v>
      </c>
      <c r="I563" s="113">
        <v>494</v>
      </c>
      <c r="J563" s="115" t="s">
        <v>271</v>
      </c>
    </row>
    <row r="564" spans="1:10" x14ac:dyDescent="0.25">
      <c r="A564" s="113">
        <v>561</v>
      </c>
      <c r="B564" s="114" t="s">
        <v>1397</v>
      </c>
      <c r="C564" s="115" t="s">
        <v>1398</v>
      </c>
      <c r="D564" s="115" t="s">
        <v>461</v>
      </c>
      <c r="E564" s="115" t="s">
        <v>371</v>
      </c>
      <c r="F564" s="116">
        <v>97.817499999999995</v>
      </c>
      <c r="G564" s="116">
        <v>102.7758</v>
      </c>
      <c r="H564" s="116">
        <v>19.5</v>
      </c>
      <c r="I564" s="113">
        <v>438</v>
      </c>
      <c r="J564" s="115" t="s">
        <v>271</v>
      </c>
    </row>
    <row r="565" spans="1:10" x14ac:dyDescent="0.25">
      <c r="A565" s="113">
        <v>562</v>
      </c>
      <c r="B565" s="114" t="s">
        <v>426</v>
      </c>
      <c r="C565" s="115" t="s">
        <v>427</v>
      </c>
      <c r="D565" s="115" t="s">
        <v>461</v>
      </c>
      <c r="E565" s="115" t="s">
        <v>403</v>
      </c>
      <c r="F565" s="116">
        <v>96.293256504289062</v>
      </c>
      <c r="G565" s="116">
        <v>96.759956504289065</v>
      </c>
      <c r="H565" s="116">
        <v>15.41</v>
      </c>
      <c r="I565" s="113">
        <v>436</v>
      </c>
      <c r="J565" s="115" t="s">
        <v>271</v>
      </c>
    </row>
    <row r="566" spans="1:10" x14ac:dyDescent="0.25">
      <c r="A566" s="113">
        <v>563</v>
      </c>
      <c r="B566" s="114" t="s">
        <v>1986</v>
      </c>
      <c r="C566" s="115" t="s">
        <v>1987</v>
      </c>
      <c r="D566" s="115" t="s">
        <v>461</v>
      </c>
      <c r="E566" s="115" t="s">
        <v>403</v>
      </c>
      <c r="F566" s="116">
        <v>100.32495714609797</v>
      </c>
      <c r="G566" s="116">
        <v>101.11935714609798</v>
      </c>
      <c r="H566" s="116">
        <v>21.09</v>
      </c>
      <c r="I566" s="113">
        <v>137</v>
      </c>
      <c r="J566" s="115" t="s">
        <v>271</v>
      </c>
    </row>
    <row r="567" spans="1:10" x14ac:dyDescent="0.25">
      <c r="A567" s="113">
        <v>564</v>
      </c>
      <c r="B567" s="114" t="s">
        <v>1988</v>
      </c>
      <c r="C567" s="115" t="s">
        <v>1989</v>
      </c>
      <c r="D567" s="115" t="s">
        <v>461</v>
      </c>
      <c r="E567" s="115" t="s">
        <v>403</v>
      </c>
      <c r="F567" s="116">
        <v>100.37011968709498</v>
      </c>
      <c r="G567" s="116">
        <v>102.02011968709499</v>
      </c>
      <c r="H567" s="116">
        <v>21.08</v>
      </c>
      <c r="I567" s="113">
        <v>153</v>
      </c>
      <c r="J567" s="115" t="s">
        <v>271</v>
      </c>
    </row>
    <row r="568" spans="1:10" x14ac:dyDescent="0.25">
      <c r="A568" s="113">
        <v>565</v>
      </c>
      <c r="B568" s="114" t="s">
        <v>2034</v>
      </c>
      <c r="C568" s="115" t="s">
        <v>2035</v>
      </c>
      <c r="D568" s="115" t="s">
        <v>461</v>
      </c>
      <c r="E568" s="115" t="s">
        <v>403</v>
      </c>
      <c r="F568" s="116">
        <v>100.36573805041355</v>
      </c>
      <c r="G568" s="116">
        <v>100.79353805041356</v>
      </c>
      <c r="H568" s="116">
        <v>21.19</v>
      </c>
      <c r="I568" s="113">
        <v>173</v>
      </c>
      <c r="J568" s="115" t="s">
        <v>271</v>
      </c>
    </row>
    <row r="569" spans="1:10" x14ac:dyDescent="0.25">
      <c r="A569" s="113">
        <v>566</v>
      </c>
      <c r="B569" s="114" t="s">
        <v>2061</v>
      </c>
      <c r="C569" s="115" t="s">
        <v>2062</v>
      </c>
      <c r="D569" s="115" t="s">
        <v>461</v>
      </c>
      <c r="E569" s="115" t="s">
        <v>403</v>
      </c>
      <c r="F569" s="116">
        <v>100.50770161578389</v>
      </c>
      <c r="G569" s="116">
        <v>101.79100161578388</v>
      </c>
      <c r="H569" s="116">
        <v>20.96</v>
      </c>
      <c r="I569" s="113">
        <v>189</v>
      </c>
      <c r="J569" s="115" t="s">
        <v>271</v>
      </c>
    </row>
    <row r="570" spans="1:10" x14ac:dyDescent="0.25">
      <c r="A570" s="113">
        <v>567</v>
      </c>
      <c r="B570" s="114" t="s">
        <v>2162</v>
      </c>
      <c r="C570" s="115" t="s">
        <v>2163</v>
      </c>
      <c r="D570" s="115" t="s">
        <v>451</v>
      </c>
      <c r="E570" s="115" t="s">
        <v>403</v>
      </c>
      <c r="F570" s="116">
        <v>1000</v>
      </c>
      <c r="G570" s="116">
        <v>1000</v>
      </c>
      <c r="H570" s="116">
        <v>0</v>
      </c>
      <c r="I570" s="113">
        <v>0</v>
      </c>
      <c r="J570" s="115" t="s">
        <v>240</v>
      </c>
    </row>
    <row r="571" spans="1:10" x14ac:dyDescent="0.25">
      <c r="A571" s="113">
        <v>568</v>
      </c>
      <c r="B571" s="114" t="s">
        <v>2036</v>
      </c>
      <c r="C571" s="115" t="s">
        <v>2037</v>
      </c>
      <c r="D571" s="115" t="s">
        <v>461</v>
      </c>
      <c r="E571" s="115" t="s">
        <v>403</v>
      </c>
      <c r="F571" s="116">
        <v>98.404242654167376</v>
      </c>
      <c r="G571" s="116">
        <v>98.937542654167387</v>
      </c>
      <c r="H571" s="116">
        <v>15.65</v>
      </c>
      <c r="I571" s="113">
        <v>164</v>
      </c>
      <c r="J571" s="115" t="s">
        <v>271</v>
      </c>
    </row>
    <row r="572" spans="1:10" x14ac:dyDescent="0.25">
      <c r="A572" s="113">
        <v>569</v>
      </c>
      <c r="B572" s="114" t="s">
        <v>2043</v>
      </c>
      <c r="C572" s="115" t="s">
        <v>2044</v>
      </c>
      <c r="D572" s="115" t="s">
        <v>461</v>
      </c>
      <c r="E572" s="115" t="s">
        <v>403</v>
      </c>
      <c r="F572" s="116">
        <v>98.321322158164307</v>
      </c>
      <c r="G572" s="116">
        <v>98.488022158164313</v>
      </c>
      <c r="H572" s="116">
        <v>15.61</v>
      </c>
      <c r="I572" s="113">
        <v>175</v>
      </c>
      <c r="J572" s="115" t="s">
        <v>271</v>
      </c>
    </row>
    <row r="573" spans="1:10" x14ac:dyDescent="0.25">
      <c r="A573" s="113">
        <v>570</v>
      </c>
      <c r="B573" s="114" t="s">
        <v>2049</v>
      </c>
      <c r="C573" s="115" t="s">
        <v>2050</v>
      </c>
      <c r="D573" s="115" t="s">
        <v>461</v>
      </c>
      <c r="E573" s="115" t="s">
        <v>403</v>
      </c>
      <c r="F573" s="116">
        <v>102.15808216158209</v>
      </c>
      <c r="G573" s="116">
        <v>102.15808216158209</v>
      </c>
      <c r="H573" s="116">
        <v>17.46</v>
      </c>
      <c r="I573" s="113">
        <v>180</v>
      </c>
      <c r="J573" s="115" t="s">
        <v>271</v>
      </c>
    </row>
    <row r="574" spans="1:10" x14ac:dyDescent="0.25">
      <c r="A574" s="113">
        <v>571</v>
      </c>
      <c r="B574" s="114" t="s">
        <v>2055</v>
      </c>
      <c r="C574" s="115" t="s">
        <v>2056</v>
      </c>
      <c r="D574" s="115" t="s">
        <v>461</v>
      </c>
      <c r="E574" s="115" t="s">
        <v>403</v>
      </c>
      <c r="F574" s="116">
        <v>98.27642609818632</v>
      </c>
      <c r="G574" s="116">
        <v>99.243126098186323</v>
      </c>
      <c r="H574" s="116">
        <v>15.59</v>
      </c>
      <c r="I574" s="113">
        <v>181</v>
      </c>
      <c r="J574" s="115" t="s">
        <v>271</v>
      </c>
    </row>
    <row r="575" spans="1:10" x14ac:dyDescent="0.25">
      <c r="A575" s="113">
        <v>572</v>
      </c>
      <c r="B575" s="114" t="s">
        <v>2057</v>
      </c>
      <c r="C575" s="115" t="s">
        <v>2058</v>
      </c>
      <c r="D575" s="115" t="s">
        <v>461</v>
      </c>
      <c r="E575" s="115" t="s">
        <v>403</v>
      </c>
      <c r="F575" s="116">
        <v>98.27642609818632</v>
      </c>
      <c r="G575" s="116">
        <v>99.243126098186323</v>
      </c>
      <c r="H575" s="116">
        <v>15.59</v>
      </c>
      <c r="I575" s="113">
        <v>181</v>
      </c>
      <c r="J575" s="115" t="s">
        <v>271</v>
      </c>
    </row>
    <row r="576" spans="1:10" x14ac:dyDescent="0.25">
      <c r="A576" s="113">
        <v>573</v>
      </c>
      <c r="B576" s="114" t="s">
        <v>2126</v>
      </c>
      <c r="C576" s="115" t="s">
        <v>2127</v>
      </c>
      <c r="D576" s="115" t="s">
        <v>461</v>
      </c>
      <c r="E576" s="115" t="s">
        <v>403</v>
      </c>
      <c r="F576" s="116">
        <v>98.053312068906465</v>
      </c>
      <c r="G576" s="116">
        <v>98.853312068906462</v>
      </c>
      <c r="H576" s="116">
        <v>15.42</v>
      </c>
      <c r="I576" s="113">
        <v>216</v>
      </c>
      <c r="J576" s="115" t="s">
        <v>271</v>
      </c>
    </row>
    <row r="577" spans="1:10" x14ac:dyDescent="0.25">
      <c r="A577" s="113">
        <v>574</v>
      </c>
      <c r="B577" s="114" t="s">
        <v>2133</v>
      </c>
      <c r="C577" s="115" t="s">
        <v>2134</v>
      </c>
      <c r="D577" s="115" t="s">
        <v>461</v>
      </c>
      <c r="E577" s="115" t="s">
        <v>403</v>
      </c>
      <c r="F577" s="116">
        <v>97.693343195053302</v>
      </c>
      <c r="G577" s="116">
        <v>97.793343195053296</v>
      </c>
      <c r="H577" s="116">
        <v>15.31</v>
      </c>
      <c r="I577" s="113">
        <v>267</v>
      </c>
      <c r="J577" s="115" t="s">
        <v>271</v>
      </c>
    </row>
    <row r="578" spans="1:10" x14ac:dyDescent="0.25">
      <c r="A578" s="113">
        <v>575</v>
      </c>
      <c r="B578" s="114" t="s">
        <v>2186</v>
      </c>
      <c r="C578" s="115" t="s">
        <v>2187</v>
      </c>
      <c r="D578" s="115" t="s">
        <v>461</v>
      </c>
      <c r="E578" s="115" t="s">
        <v>403</v>
      </c>
      <c r="F578" s="116">
        <v>98.8</v>
      </c>
      <c r="G578" s="116">
        <v>99.411100000000005</v>
      </c>
      <c r="H578" s="116">
        <v>22.85</v>
      </c>
      <c r="I578" s="113">
        <v>620</v>
      </c>
      <c r="J578" s="115" t="s">
        <v>271</v>
      </c>
    </row>
    <row r="579" spans="1:10" x14ac:dyDescent="0.25">
      <c r="A579" s="113">
        <v>576</v>
      </c>
      <c r="B579" s="114" t="s">
        <v>2247</v>
      </c>
      <c r="C579" s="115" t="s">
        <v>2248</v>
      </c>
      <c r="D579" s="115" t="s">
        <v>461</v>
      </c>
      <c r="E579" s="115" t="s">
        <v>403</v>
      </c>
      <c r="F579" s="116">
        <v>100</v>
      </c>
      <c r="G579" s="116">
        <v>101.4667</v>
      </c>
      <c r="H579" s="116">
        <v>22</v>
      </c>
      <c r="I579" s="113">
        <v>666</v>
      </c>
      <c r="J579" s="115" t="s">
        <v>271</v>
      </c>
    </row>
    <row r="580" spans="1:10" x14ac:dyDescent="0.25">
      <c r="A580" s="113">
        <v>577</v>
      </c>
      <c r="B580" s="114" t="s">
        <v>2249</v>
      </c>
      <c r="C580" s="115" t="s">
        <v>2250</v>
      </c>
      <c r="D580" s="115" t="s">
        <v>461</v>
      </c>
      <c r="E580" s="115" t="s">
        <v>403</v>
      </c>
      <c r="F580" s="116">
        <v>99.998999999999995</v>
      </c>
      <c r="G580" s="116">
        <v>100.9157</v>
      </c>
      <c r="H580" s="116">
        <v>22</v>
      </c>
      <c r="I580" s="113">
        <v>705</v>
      </c>
      <c r="J580" s="115" t="s">
        <v>271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461</v>
      </c>
      <c r="E581" s="115" t="s">
        <v>403</v>
      </c>
      <c r="F581" s="116">
        <v>99</v>
      </c>
      <c r="G581" s="116">
        <v>99.333299999999994</v>
      </c>
      <c r="H581" s="116">
        <v>12.65</v>
      </c>
      <c r="I581" s="113">
        <v>620</v>
      </c>
      <c r="J581" s="115" t="s">
        <v>271</v>
      </c>
    </row>
    <row r="582" spans="1:10" x14ac:dyDescent="0.25">
      <c r="A582" s="113">
        <v>579</v>
      </c>
      <c r="B582" s="114" t="s">
        <v>2251</v>
      </c>
      <c r="C582" s="115" t="s">
        <v>2252</v>
      </c>
      <c r="D582" s="115" t="s">
        <v>461</v>
      </c>
      <c r="E582" s="115" t="s">
        <v>403</v>
      </c>
      <c r="F582" s="116">
        <v>95.089847872781547</v>
      </c>
      <c r="G582" s="116">
        <v>95.856547872781547</v>
      </c>
      <c r="H582" s="116">
        <v>15.05</v>
      </c>
      <c r="I582" s="113">
        <v>667</v>
      </c>
      <c r="J582" s="115" t="s">
        <v>271</v>
      </c>
    </row>
    <row r="583" spans="1:10" x14ac:dyDescent="0.25">
      <c r="A583" s="113">
        <v>580</v>
      </c>
      <c r="B583" s="114" t="s">
        <v>2253</v>
      </c>
      <c r="C583" s="115" t="s">
        <v>2254</v>
      </c>
      <c r="D583" s="115" t="s">
        <v>461</v>
      </c>
      <c r="E583" s="115" t="s">
        <v>403</v>
      </c>
      <c r="F583" s="116">
        <v>95.1625384542603</v>
      </c>
      <c r="G583" s="116">
        <v>95.362538454260303</v>
      </c>
      <c r="H583" s="116">
        <v>15.06</v>
      </c>
      <c r="I583" s="113">
        <v>654</v>
      </c>
      <c r="J583" s="115" t="s">
        <v>271</v>
      </c>
    </row>
    <row r="584" spans="1:10" x14ac:dyDescent="0.25">
      <c r="A584" s="113">
        <v>581</v>
      </c>
      <c r="B584" s="114" t="s">
        <v>2438</v>
      </c>
      <c r="C584" s="115" t="s">
        <v>2439</v>
      </c>
      <c r="D584" s="115" t="s">
        <v>461</v>
      </c>
      <c r="E584" s="115" t="s">
        <v>403</v>
      </c>
      <c r="F584" s="116">
        <v>93.104042263365699</v>
      </c>
      <c r="G584" s="116">
        <v>93.287342263365701</v>
      </c>
      <c r="H584" s="116">
        <v>15.04</v>
      </c>
      <c r="I584" s="113">
        <v>714</v>
      </c>
      <c r="J584" s="115" t="s">
        <v>271</v>
      </c>
    </row>
    <row r="585" spans="1:10" x14ac:dyDescent="0.25">
      <c r="A585" s="113">
        <v>582</v>
      </c>
      <c r="B585" s="114" t="s">
        <v>1399</v>
      </c>
      <c r="C585" s="115" t="s">
        <v>1400</v>
      </c>
      <c r="D585" s="115" t="s">
        <v>461</v>
      </c>
      <c r="E585" s="115" t="s">
        <v>403</v>
      </c>
      <c r="F585" s="116">
        <v>99.877727509381856</v>
      </c>
      <c r="G585" s="116">
        <v>100.64442750938186</v>
      </c>
      <c r="H585" s="116">
        <v>18.28</v>
      </c>
      <c r="I585" s="113">
        <v>7</v>
      </c>
      <c r="J585" s="115" t="s">
        <v>271</v>
      </c>
    </row>
    <row r="586" spans="1:10" x14ac:dyDescent="0.25">
      <c r="A586" s="113">
        <v>583</v>
      </c>
      <c r="B586" s="114" t="s">
        <v>1401</v>
      </c>
      <c r="C586" s="115" t="s">
        <v>1402</v>
      </c>
      <c r="D586" s="115" t="s">
        <v>461</v>
      </c>
      <c r="E586" s="115" t="s">
        <v>403</v>
      </c>
      <c r="F586" s="116">
        <v>100.3632967764642</v>
      </c>
      <c r="G586" s="116">
        <v>101.5854967764642</v>
      </c>
      <c r="H586" s="116">
        <v>21.62</v>
      </c>
      <c r="I586" s="113">
        <v>430</v>
      </c>
      <c r="J586" s="115" t="s">
        <v>271</v>
      </c>
    </row>
    <row r="587" spans="1:10" x14ac:dyDescent="0.25">
      <c r="A587" s="113">
        <v>584</v>
      </c>
      <c r="B587" s="114" t="s">
        <v>1403</v>
      </c>
      <c r="C587" s="115" t="s">
        <v>1404</v>
      </c>
      <c r="D587" s="115" t="s">
        <v>461</v>
      </c>
      <c r="E587" s="115" t="s">
        <v>403</v>
      </c>
      <c r="F587" s="116">
        <v>99.990638345182205</v>
      </c>
      <c r="G587" s="116">
        <v>101.15733834518221</v>
      </c>
      <c r="H587" s="116">
        <v>21.03</v>
      </c>
      <c r="I587" s="113">
        <v>70</v>
      </c>
      <c r="J587" s="115" t="s">
        <v>271</v>
      </c>
    </row>
    <row r="588" spans="1:10" x14ac:dyDescent="0.25">
      <c r="A588" s="113">
        <v>585</v>
      </c>
      <c r="B588" s="114" t="s">
        <v>1405</v>
      </c>
      <c r="C588" s="115" t="s">
        <v>1406</v>
      </c>
      <c r="D588" s="115" t="s">
        <v>461</v>
      </c>
      <c r="E588" s="115" t="s">
        <v>403</v>
      </c>
      <c r="F588" s="116">
        <v>99.063423342559588</v>
      </c>
      <c r="G588" s="116">
        <v>99.674523342559581</v>
      </c>
      <c r="H588" s="116">
        <v>15.92</v>
      </c>
      <c r="I588" s="113">
        <v>70</v>
      </c>
      <c r="J588" s="115" t="s">
        <v>271</v>
      </c>
    </row>
    <row r="589" spans="1:10" x14ac:dyDescent="0.25">
      <c r="A589" s="113">
        <v>586</v>
      </c>
      <c r="B589" s="114" t="s">
        <v>1407</v>
      </c>
      <c r="C589" s="115" t="s">
        <v>1408</v>
      </c>
      <c r="D589" s="115" t="s">
        <v>461</v>
      </c>
      <c r="E589" s="115" t="s">
        <v>1409</v>
      </c>
      <c r="F589" s="116">
        <v>100</v>
      </c>
      <c r="G589" s="116">
        <v>102.6444</v>
      </c>
      <c r="H589" s="116">
        <v>13.99</v>
      </c>
      <c r="I589" s="113">
        <v>292</v>
      </c>
      <c r="J589" s="115" t="s">
        <v>271</v>
      </c>
    </row>
    <row r="590" spans="1:10" x14ac:dyDescent="0.25">
      <c r="A590" s="113">
        <v>587</v>
      </c>
      <c r="B590" s="114" t="s">
        <v>113</v>
      </c>
      <c r="C590" s="115" t="s">
        <v>114</v>
      </c>
      <c r="D590" s="115" t="s">
        <v>461</v>
      </c>
      <c r="E590" s="115" t="s">
        <v>112</v>
      </c>
      <c r="F590" s="116">
        <v>100.08339049812388</v>
      </c>
      <c r="G590" s="116">
        <v>100.85969049812387</v>
      </c>
      <c r="H590" s="116">
        <v>22.87</v>
      </c>
      <c r="I590" s="113">
        <v>78</v>
      </c>
      <c r="J590" s="115" t="s">
        <v>271</v>
      </c>
    </row>
    <row r="591" spans="1:10" x14ac:dyDescent="0.25">
      <c r="A591" s="113">
        <v>588</v>
      </c>
      <c r="B591" s="114" t="s">
        <v>115</v>
      </c>
      <c r="C591" s="115" t="s">
        <v>116</v>
      </c>
      <c r="D591" s="115" t="s">
        <v>461</v>
      </c>
      <c r="E591" s="115" t="s">
        <v>112</v>
      </c>
      <c r="F591" s="116">
        <v>100.37699275401219</v>
      </c>
      <c r="G591" s="116">
        <v>100.37699275401219</v>
      </c>
      <c r="H591" s="116">
        <v>19.39</v>
      </c>
      <c r="I591" s="113">
        <v>240</v>
      </c>
      <c r="J591" s="115" t="s">
        <v>271</v>
      </c>
    </row>
    <row r="592" spans="1:10" x14ac:dyDescent="0.25">
      <c r="A592" s="113">
        <v>589</v>
      </c>
      <c r="B592" s="114" t="s">
        <v>1410</v>
      </c>
      <c r="C592" s="115" t="s">
        <v>1411</v>
      </c>
      <c r="D592" s="115" t="s">
        <v>461</v>
      </c>
      <c r="E592" s="115" t="s">
        <v>112</v>
      </c>
      <c r="F592" s="116">
        <v>100.65745721454434</v>
      </c>
      <c r="G592" s="116">
        <v>100.87965721454434</v>
      </c>
      <c r="H592" s="116">
        <v>9.5399999999999991</v>
      </c>
      <c r="I592" s="113">
        <v>562</v>
      </c>
      <c r="J592" s="115" t="s">
        <v>271</v>
      </c>
    </row>
    <row r="593" spans="1:10" x14ac:dyDescent="0.25">
      <c r="A593" s="113">
        <v>590</v>
      </c>
      <c r="B593" s="114" t="s">
        <v>356</v>
      </c>
      <c r="C593" s="115" t="s">
        <v>357</v>
      </c>
      <c r="D593" s="115" t="s">
        <v>461</v>
      </c>
      <c r="E593" s="115" t="s">
        <v>112</v>
      </c>
      <c r="F593" s="116">
        <v>99.8</v>
      </c>
      <c r="G593" s="116">
        <v>100.49299999999999</v>
      </c>
      <c r="H593" s="116">
        <v>22.76</v>
      </c>
      <c r="I593" s="113">
        <v>709</v>
      </c>
      <c r="J593" s="115" t="s">
        <v>271</v>
      </c>
    </row>
    <row r="594" spans="1:10" x14ac:dyDescent="0.25">
      <c r="A594" s="113">
        <v>591</v>
      </c>
      <c r="B594" s="114" t="s">
        <v>1412</v>
      </c>
      <c r="C594" s="115" t="s">
        <v>1413</v>
      </c>
      <c r="D594" s="115" t="s">
        <v>461</v>
      </c>
      <c r="E594" s="115" t="s">
        <v>112</v>
      </c>
      <c r="F594" s="116">
        <v>98</v>
      </c>
      <c r="G594" s="116">
        <v>99.477800000000002</v>
      </c>
      <c r="H594" s="116">
        <v>20.05</v>
      </c>
      <c r="I594" s="113">
        <v>872</v>
      </c>
      <c r="J594" s="115" t="s">
        <v>271</v>
      </c>
    </row>
    <row r="595" spans="1:10" x14ac:dyDescent="0.25">
      <c r="A595" s="113">
        <v>592</v>
      </c>
      <c r="B595" s="114" t="s">
        <v>389</v>
      </c>
      <c r="C595" s="115" t="s">
        <v>390</v>
      </c>
      <c r="D595" s="115" t="s">
        <v>461</v>
      </c>
      <c r="E595" s="115" t="s">
        <v>112</v>
      </c>
      <c r="F595" s="116">
        <v>98.259837722714167</v>
      </c>
      <c r="G595" s="116">
        <v>98.523737722714159</v>
      </c>
      <c r="H595" s="116">
        <v>20.71</v>
      </c>
      <c r="I595" s="113">
        <v>415</v>
      </c>
      <c r="J595" s="115" t="s">
        <v>271</v>
      </c>
    </row>
    <row r="596" spans="1:10" x14ac:dyDescent="0.25">
      <c r="A596" s="113">
        <v>593</v>
      </c>
      <c r="B596" s="114" t="s">
        <v>2045</v>
      </c>
      <c r="C596" s="115" t="s">
        <v>2046</v>
      </c>
      <c r="D596" s="115" t="s">
        <v>461</v>
      </c>
      <c r="E596" s="115" t="s">
        <v>112</v>
      </c>
      <c r="F596" s="116">
        <v>100.37914989367408</v>
      </c>
      <c r="G596" s="116">
        <v>100.78744989367408</v>
      </c>
      <c r="H596" s="116">
        <v>20.8</v>
      </c>
      <c r="I596" s="113">
        <v>893</v>
      </c>
      <c r="J596" s="115" t="s">
        <v>271</v>
      </c>
    </row>
    <row r="597" spans="1:10" x14ac:dyDescent="0.25">
      <c r="A597" s="113">
        <v>594</v>
      </c>
      <c r="B597" s="114" t="s">
        <v>2073</v>
      </c>
      <c r="C597" s="115" t="s">
        <v>2074</v>
      </c>
      <c r="D597" s="115" t="s">
        <v>461</v>
      </c>
      <c r="E597" s="115" t="s">
        <v>112</v>
      </c>
      <c r="F597" s="116">
        <v>99.022000000000006</v>
      </c>
      <c r="G597" s="116">
        <v>99.838700000000003</v>
      </c>
      <c r="H597" s="116">
        <v>21.5</v>
      </c>
      <c r="I597" s="113">
        <v>916</v>
      </c>
      <c r="J597" s="115" t="s">
        <v>271</v>
      </c>
    </row>
    <row r="598" spans="1:10" x14ac:dyDescent="0.25">
      <c r="A598" s="113">
        <v>595</v>
      </c>
      <c r="B598" s="114" t="s">
        <v>2118</v>
      </c>
      <c r="C598" s="115" t="s">
        <v>2119</v>
      </c>
      <c r="D598" s="115" t="s">
        <v>461</v>
      </c>
      <c r="E598" s="115" t="s">
        <v>112</v>
      </c>
      <c r="F598" s="116">
        <v>101.95</v>
      </c>
      <c r="G598" s="116">
        <v>103.575</v>
      </c>
      <c r="H598" s="116">
        <v>21.52</v>
      </c>
      <c r="I598" s="113">
        <v>934</v>
      </c>
      <c r="J598" s="115" t="s">
        <v>271</v>
      </c>
    </row>
    <row r="599" spans="1:10" x14ac:dyDescent="0.25">
      <c r="A599" s="113">
        <v>596</v>
      </c>
      <c r="B599" s="114" t="s">
        <v>2120</v>
      </c>
      <c r="C599" s="115" t="s">
        <v>2121</v>
      </c>
      <c r="D599" s="115" t="s">
        <v>461</v>
      </c>
      <c r="E599" s="115" t="s">
        <v>112</v>
      </c>
      <c r="F599" s="116">
        <v>101.80951269562956</v>
      </c>
      <c r="G599" s="116">
        <v>102.17031269562956</v>
      </c>
      <c r="H599" s="116">
        <v>20.79</v>
      </c>
      <c r="I599" s="113">
        <v>1014</v>
      </c>
      <c r="J599" s="115" t="s">
        <v>271</v>
      </c>
    </row>
    <row r="600" spans="1:10" x14ac:dyDescent="0.25">
      <c r="A600" s="113">
        <v>597</v>
      </c>
      <c r="B600" s="114" t="s">
        <v>2190</v>
      </c>
      <c r="C600" s="115" t="s">
        <v>2191</v>
      </c>
      <c r="D600" s="115" t="s">
        <v>461</v>
      </c>
      <c r="E600" s="115" t="s">
        <v>2192</v>
      </c>
      <c r="F600" s="116">
        <v>100.54537421948842</v>
      </c>
      <c r="G600" s="116">
        <v>100.85097421948842</v>
      </c>
      <c r="H600" s="116">
        <v>9.65</v>
      </c>
      <c r="I600" s="113">
        <v>619</v>
      </c>
      <c r="J600" s="115" t="s">
        <v>271</v>
      </c>
    </row>
    <row r="601" spans="1:10" x14ac:dyDescent="0.25">
      <c r="A601" s="113">
        <v>598</v>
      </c>
      <c r="B601" s="114" t="s">
        <v>1414</v>
      </c>
      <c r="C601" s="115" t="s">
        <v>1415</v>
      </c>
      <c r="D601" s="115" t="s">
        <v>461</v>
      </c>
      <c r="E601" s="115" t="s">
        <v>386</v>
      </c>
      <c r="F601" s="116">
        <v>89.818493619186356</v>
      </c>
      <c r="G601" s="116">
        <v>91.096293619186355</v>
      </c>
      <c r="H601" s="116">
        <v>48.93</v>
      </c>
      <c r="I601" s="113">
        <v>160</v>
      </c>
      <c r="J601" s="115" t="s">
        <v>271</v>
      </c>
    </row>
    <row r="602" spans="1:10" x14ac:dyDescent="0.25">
      <c r="A602" s="113">
        <v>599</v>
      </c>
      <c r="B602" s="114" t="s">
        <v>384</v>
      </c>
      <c r="C602" s="115" t="s">
        <v>385</v>
      </c>
      <c r="D602" s="115" t="s">
        <v>461</v>
      </c>
      <c r="E602" s="115" t="s">
        <v>386</v>
      </c>
      <c r="F602" s="116">
        <v>96.130388363928787</v>
      </c>
      <c r="G602" s="116">
        <v>96.538688363928799</v>
      </c>
      <c r="H602" s="116">
        <v>48.72</v>
      </c>
      <c r="I602" s="113">
        <v>53</v>
      </c>
      <c r="J602" s="115" t="s">
        <v>271</v>
      </c>
    </row>
    <row r="603" spans="1:10" x14ac:dyDescent="0.25">
      <c r="A603" s="113">
        <v>600</v>
      </c>
      <c r="B603" s="114" t="s">
        <v>401</v>
      </c>
      <c r="C603" s="115" t="s">
        <v>402</v>
      </c>
      <c r="D603" s="115" t="s">
        <v>461</v>
      </c>
      <c r="E603" s="115" t="s">
        <v>386</v>
      </c>
      <c r="F603" s="116">
        <v>67.959223553541278</v>
      </c>
      <c r="G603" s="116">
        <v>69.242523553541275</v>
      </c>
      <c r="H603" s="116">
        <v>48.48</v>
      </c>
      <c r="I603" s="113">
        <v>669</v>
      </c>
      <c r="J603" s="115" t="s">
        <v>271</v>
      </c>
    </row>
    <row r="604" spans="1:10" x14ac:dyDescent="0.25">
      <c r="A604" s="113">
        <v>601</v>
      </c>
      <c r="B604" s="114" t="s">
        <v>393</v>
      </c>
      <c r="C604" s="115" t="s">
        <v>394</v>
      </c>
      <c r="D604" s="115" t="s">
        <v>461</v>
      </c>
      <c r="E604" s="115" t="s">
        <v>386</v>
      </c>
      <c r="F604" s="116">
        <v>75.70135116395673</v>
      </c>
      <c r="G604" s="116">
        <v>77.21805116395673</v>
      </c>
      <c r="H604" s="116">
        <v>48.48</v>
      </c>
      <c r="I604" s="113">
        <v>424</v>
      </c>
      <c r="J604" s="115" t="s">
        <v>271</v>
      </c>
    </row>
    <row r="605" spans="1:10" x14ac:dyDescent="0.25">
      <c r="A605" s="113">
        <v>602</v>
      </c>
      <c r="B605" s="114" t="s">
        <v>2104</v>
      </c>
      <c r="C605" s="115" t="s">
        <v>2105</v>
      </c>
      <c r="D605" s="115" t="s">
        <v>461</v>
      </c>
      <c r="E605" s="115" t="s">
        <v>386</v>
      </c>
      <c r="F605" s="116">
        <v>59.862525037638306</v>
      </c>
      <c r="G605" s="116">
        <v>61.495825037638305</v>
      </c>
      <c r="H605" s="116">
        <v>48.49</v>
      </c>
      <c r="I605" s="113">
        <v>932</v>
      </c>
      <c r="J605" s="115" t="s">
        <v>271</v>
      </c>
    </row>
    <row r="606" spans="1:10" x14ac:dyDescent="0.25">
      <c r="A606" s="113">
        <v>603</v>
      </c>
      <c r="B606" s="114" t="s">
        <v>2212</v>
      </c>
      <c r="C606" s="115" t="s">
        <v>2213</v>
      </c>
      <c r="D606" s="115" t="s">
        <v>461</v>
      </c>
      <c r="E606" s="115" t="s">
        <v>386</v>
      </c>
      <c r="F606" s="116">
        <v>82.123198531791871</v>
      </c>
      <c r="G606" s="116">
        <v>82.387098531791864</v>
      </c>
      <c r="H606" s="116">
        <v>48.34</v>
      </c>
      <c r="I606" s="113">
        <v>265</v>
      </c>
      <c r="J606" s="115" t="s">
        <v>271</v>
      </c>
    </row>
    <row r="607" spans="1:10" x14ac:dyDescent="0.25">
      <c r="A607" s="113">
        <v>604</v>
      </c>
      <c r="B607" s="114" t="s">
        <v>2346</v>
      </c>
      <c r="C607" s="115" t="s">
        <v>2347</v>
      </c>
      <c r="D607" s="115" t="s">
        <v>461</v>
      </c>
      <c r="E607" s="115" t="s">
        <v>386</v>
      </c>
      <c r="F607" s="116">
        <v>100.41359270041106</v>
      </c>
      <c r="G607" s="116">
        <v>100.65799270041106</v>
      </c>
      <c r="H607" s="116">
        <v>21.73</v>
      </c>
      <c r="I607" s="113">
        <v>686</v>
      </c>
      <c r="J607" s="115" t="s">
        <v>271</v>
      </c>
    </row>
    <row r="608" spans="1:10" x14ac:dyDescent="0.25">
      <c r="A608" s="113">
        <v>605</v>
      </c>
      <c r="B608" s="114" t="s">
        <v>2276</v>
      </c>
      <c r="C608" s="115" t="s">
        <v>2277</v>
      </c>
      <c r="D608" s="115" t="s">
        <v>461</v>
      </c>
      <c r="E608" s="115" t="s">
        <v>386</v>
      </c>
      <c r="F608" s="116">
        <v>97.822900000000004</v>
      </c>
      <c r="G608" s="116">
        <v>97.822900000000004</v>
      </c>
      <c r="H608" s="116">
        <v>22.04</v>
      </c>
      <c r="I608" s="113">
        <v>1020</v>
      </c>
      <c r="J608" s="115" t="s">
        <v>271</v>
      </c>
    </row>
    <row r="609" spans="1:10" x14ac:dyDescent="0.25">
      <c r="A609" s="113">
        <v>606</v>
      </c>
      <c r="B609" s="114" t="s">
        <v>2430</v>
      </c>
      <c r="C609" s="115" t="s">
        <v>2431</v>
      </c>
      <c r="D609" s="115" t="s">
        <v>461</v>
      </c>
      <c r="E609" s="115" t="s">
        <v>386</v>
      </c>
      <c r="F609" s="116">
        <v>99.995900000000006</v>
      </c>
      <c r="G609" s="116">
        <v>101.0959</v>
      </c>
      <c r="H609" s="116">
        <v>22</v>
      </c>
      <c r="I609" s="113">
        <v>702</v>
      </c>
      <c r="J609" s="115" t="s">
        <v>271</v>
      </c>
    </row>
    <row r="610" spans="1:10" x14ac:dyDescent="0.25">
      <c r="A610" s="113">
        <v>607</v>
      </c>
      <c r="B610" s="114" t="s">
        <v>1416</v>
      </c>
      <c r="C610" s="115" t="s">
        <v>1417</v>
      </c>
      <c r="D610" s="115" t="s">
        <v>461</v>
      </c>
      <c r="E610" s="115" t="s">
        <v>386</v>
      </c>
      <c r="F610" s="116">
        <v>88.297352505526646</v>
      </c>
      <c r="G610" s="116">
        <v>90.241752505526648</v>
      </c>
      <c r="H610" s="116">
        <v>48.22</v>
      </c>
      <c r="I610" s="113">
        <v>212</v>
      </c>
      <c r="J610" s="115" t="s">
        <v>271</v>
      </c>
    </row>
    <row r="611" spans="1:10" x14ac:dyDescent="0.25">
      <c r="A611" s="113">
        <v>608</v>
      </c>
      <c r="B611" s="114" t="s">
        <v>1418</v>
      </c>
      <c r="C611" s="115" t="s">
        <v>1419</v>
      </c>
      <c r="D611" s="115" t="s">
        <v>461</v>
      </c>
      <c r="E611" s="115" t="s">
        <v>386</v>
      </c>
      <c r="F611" s="116">
        <v>77.642093949268784</v>
      </c>
      <c r="G611" s="116">
        <v>78.475393949268778</v>
      </c>
      <c r="H611" s="116">
        <v>48.51</v>
      </c>
      <c r="I611" s="113">
        <v>468</v>
      </c>
      <c r="J611" s="115" t="s">
        <v>271</v>
      </c>
    </row>
    <row r="612" spans="1:10" x14ac:dyDescent="0.25">
      <c r="A612" s="113">
        <v>609</v>
      </c>
      <c r="B612" s="114" t="s">
        <v>1420</v>
      </c>
      <c r="C612" s="115" t="s">
        <v>1421</v>
      </c>
      <c r="D612" s="115" t="s">
        <v>451</v>
      </c>
      <c r="E612" s="115" t="s">
        <v>1422</v>
      </c>
      <c r="F612" s="116">
        <v>1000</v>
      </c>
      <c r="G612" s="116">
        <v>1000</v>
      </c>
      <c r="H612" s="116">
        <v>0</v>
      </c>
      <c r="I612" s="113">
        <v>0</v>
      </c>
      <c r="J612" s="115" t="s">
        <v>240</v>
      </c>
    </row>
    <row r="613" spans="1:10" x14ac:dyDescent="0.25">
      <c r="A613" s="113">
        <v>610</v>
      </c>
      <c r="B613" s="114" t="s">
        <v>1424</v>
      </c>
      <c r="C613" s="115" t="s">
        <v>1425</v>
      </c>
      <c r="D613" s="115" t="s">
        <v>461</v>
      </c>
      <c r="E613" s="115" t="s">
        <v>1423</v>
      </c>
      <c r="F613" s="116">
        <v>100.59055527263355</v>
      </c>
      <c r="G613" s="116">
        <v>100.64885527263355</v>
      </c>
      <c r="H613" s="116">
        <v>20.22</v>
      </c>
      <c r="I613" s="113">
        <v>299</v>
      </c>
      <c r="J613" s="115" t="s">
        <v>271</v>
      </c>
    </row>
    <row r="614" spans="1:10" x14ac:dyDescent="0.25">
      <c r="A614" s="113">
        <v>611</v>
      </c>
      <c r="B614" s="114" t="s">
        <v>2153</v>
      </c>
      <c r="C614" s="115" t="s">
        <v>2154</v>
      </c>
      <c r="D614" s="115" t="s">
        <v>461</v>
      </c>
      <c r="E614" s="115" t="s">
        <v>1423</v>
      </c>
      <c r="F614" s="116">
        <v>100.54139136559365</v>
      </c>
      <c r="G614" s="116">
        <v>100.57059136559366</v>
      </c>
      <c r="H614" s="116">
        <v>10.14</v>
      </c>
      <c r="I614" s="113">
        <v>599</v>
      </c>
      <c r="J614" s="115" t="s">
        <v>271</v>
      </c>
    </row>
    <row r="615" spans="1:10" x14ac:dyDescent="0.25">
      <c r="A615" s="113">
        <v>612</v>
      </c>
      <c r="B615" s="114" t="s">
        <v>2176</v>
      </c>
      <c r="C615" s="115" t="s">
        <v>2177</v>
      </c>
      <c r="D615" s="115" t="s">
        <v>461</v>
      </c>
      <c r="E615" s="115" t="s">
        <v>1428</v>
      </c>
      <c r="F615" s="116">
        <v>99.468719496763512</v>
      </c>
      <c r="G615" s="116">
        <v>103.19091949676351</v>
      </c>
      <c r="H615" s="116">
        <v>20.69</v>
      </c>
      <c r="I615" s="113">
        <v>293</v>
      </c>
      <c r="J615" s="115" t="s">
        <v>271</v>
      </c>
    </row>
    <row r="616" spans="1:10" x14ac:dyDescent="0.25">
      <c r="A616" s="113">
        <v>613</v>
      </c>
      <c r="B616" s="114" t="s">
        <v>2434</v>
      </c>
      <c r="C616" s="115" t="s">
        <v>2435</v>
      </c>
      <c r="D616" s="115" t="s">
        <v>461</v>
      </c>
      <c r="E616" s="115" t="s">
        <v>1428</v>
      </c>
      <c r="F616" s="116">
        <v>100.1653199008027</v>
      </c>
      <c r="G616" s="116">
        <v>100.8653199008027</v>
      </c>
      <c r="H616" s="116">
        <v>20.85</v>
      </c>
      <c r="I616" s="113">
        <v>528</v>
      </c>
      <c r="J616" s="115" t="s">
        <v>271</v>
      </c>
    </row>
    <row r="617" spans="1:10" x14ac:dyDescent="0.25">
      <c r="A617" s="113">
        <v>614</v>
      </c>
      <c r="B617" s="114" t="s">
        <v>1426</v>
      </c>
      <c r="C617" s="115" t="s">
        <v>1427</v>
      </c>
      <c r="D617" s="115" t="s">
        <v>461</v>
      </c>
      <c r="E617" s="115" t="s">
        <v>1428</v>
      </c>
      <c r="F617" s="116">
        <v>99.900675007448797</v>
      </c>
      <c r="G617" s="116">
        <v>104.0506750074488</v>
      </c>
      <c r="H617" s="116">
        <v>22.79</v>
      </c>
      <c r="I617" s="113">
        <v>7</v>
      </c>
      <c r="J617" s="115" t="s">
        <v>271</v>
      </c>
    </row>
    <row r="618" spans="1:10" x14ac:dyDescent="0.25">
      <c r="A618" s="113">
        <v>615</v>
      </c>
      <c r="B618" s="114" t="s">
        <v>1429</v>
      </c>
      <c r="C618" s="115" t="s">
        <v>1430</v>
      </c>
      <c r="D618" s="115" t="s">
        <v>461</v>
      </c>
      <c r="E618" s="115" t="s">
        <v>1428</v>
      </c>
      <c r="F618" s="116">
        <v>99.998999999999995</v>
      </c>
      <c r="G618" s="116">
        <v>103.149</v>
      </c>
      <c r="H618" s="116">
        <v>20.97</v>
      </c>
      <c r="I618" s="113">
        <v>396</v>
      </c>
      <c r="J618" s="115" t="s">
        <v>271</v>
      </c>
    </row>
    <row r="619" spans="1:10" x14ac:dyDescent="0.25">
      <c r="A619" s="113">
        <v>616</v>
      </c>
      <c r="B619" s="114" t="s">
        <v>1431</v>
      </c>
      <c r="C619" s="115" t="s">
        <v>1432</v>
      </c>
      <c r="D619" s="115" t="s">
        <v>461</v>
      </c>
      <c r="E619" s="115" t="s">
        <v>1428</v>
      </c>
      <c r="F619" s="116">
        <v>100.18582611948014</v>
      </c>
      <c r="G619" s="116">
        <v>102.57752611948014</v>
      </c>
      <c r="H619" s="116">
        <v>20.62</v>
      </c>
      <c r="I619" s="113">
        <v>229</v>
      </c>
      <c r="J619" s="115" t="s">
        <v>271</v>
      </c>
    </row>
    <row r="620" spans="1:10" x14ac:dyDescent="0.25">
      <c r="A620" s="113">
        <v>617</v>
      </c>
      <c r="B620" s="114" t="s">
        <v>1433</v>
      </c>
      <c r="C620" s="115" t="s">
        <v>1434</v>
      </c>
      <c r="D620" s="115" t="s">
        <v>461</v>
      </c>
      <c r="E620" s="115" t="s">
        <v>1428</v>
      </c>
      <c r="F620" s="116">
        <v>100.23879975087381</v>
      </c>
      <c r="G620" s="116">
        <v>102.63049975087381</v>
      </c>
      <c r="H620" s="116">
        <v>20.8</v>
      </c>
      <c r="I620" s="113">
        <v>589</v>
      </c>
      <c r="J620" s="115" t="s">
        <v>271</v>
      </c>
    </row>
    <row r="621" spans="1:10" x14ac:dyDescent="0.25">
      <c r="A621" s="113">
        <v>618</v>
      </c>
      <c r="B621" s="114" t="s">
        <v>1435</v>
      </c>
      <c r="C621" s="115" t="s">
        <v>1436</v>
      </c>
      <c r="D621" s="115" t="s">
        <v>451</v>
      </c>
      <c r="E621" s="115" t="s">
        <v>1428</v>
      </c>
      <c r="F621" s="116">
        <v>1000</v>
      </c>
      <c r="G621" s="116">
        <v>1000</v>
      </c>
      <c r="H621" s="116">
        <v>0</v>
      </c>
      <c r="I621" s="113">
        <v>0</v>
      </c>
      <c r="J621" s="115" t="s">
        <v>240</v>
      </c>
    </row>
    <row r="622" spans="1:10" x14ac:dyDescent="0.25">
      <c r="A622" s="113">
        <v>619</v>
      </c>
      <c r="B622" s="114" t="s">
        <v>2005</v>
      </c>
      <c r="C622" s="115" t="s">
        <v>2006</v>
      </c>
      <c r="D622" s="115" t="s">
        <v>461</v>
      </c>
      <c r="E622" s="115" t="s">
        <v>1428</v>
      </c>
      <c r="F622" s="116">
        <v>92.413889165948277</v>
      </c>
      <c r="G622" s="116">
        <v>92.413889165948277</v>
      </c>
      <c r="H622" s="116">
        <v>21.11</v>
      </c>
      <c r="I622" s="113">
        <v>140</v>
      </c>
      <c r="J622" s="115" t="s">
        <v>271</v>
      </c>
    </row>
    <row r="623" spans="1:10" x14ac:dyDescent="0.25">
      <c r="A623" s="113">
        <v>620</v>
      </c>
      <c r="B623" s="114" t="s">
        <v>1437</v>
      </c>
      <c r="C623" s="115" t="s">
        <v>1438</v>
      </c>
      <c r="D623" s="115" t="s">
        <v>461</v>
      </c>
      <c r="E623" s="115" t="s">
        <v>1439</v>
      </c>
      <c r="F623" s="116">
        <v>94.701899999999995</v>
      </c>
      <c r="G623" s="116">
        <v>95.7102</v>
      </c>
      <c r="H623" s="116">
        <v>17.52</v>
      </c>
      <c r="I623" s="113">
        <v>327</v>
      </c>
      <c r="J623" s="115" t="s">
        <v>271</v>
      </c>
    </row>
    <row r="624" spans="1:10" x14ac:dyDescent="0.25">
      <c r="A624" s="113">
        <v>621</v>
      </c>
      <c r="B624" s="114" t="s">
        <v>1440</v>
      </c>
      <c r="C624" s="115" t="s">
        <v>1441</v>
      </c>
      <c r="D624" s="115" t="s">
        <v>461</v>
      </c>
      <c r="E624" s="115" t="s">
        <v>1439</v>
      </c>
      <c r="F624" s="116">
        <v>91.020380961632057</v>
      </c>
      <c r="G624" s="116">
        <v>92.225980961632061</v>
      </c>
      <c r="H624" s="116">
        <v>18.079999999999998</v>
      </c>
      <c r="I624" s="113">
        <v>1049</v>
      </c>
      <c r="J624" s="115" t="s">
        <v>271</v>
      </c>
    </row>
    <row r="625" spans="1:10" x14ac:dyDescent="0.25">
      <c r="A625" s="113">
        <v>622</v>
      </c>
      <c r="B625" s="114" t="s">
        <v>1442</v>
      </c>
      <c r="C625" s="115" t="s">
        <v>1443</v>
      </c>
      <c r="D625" s="115" t="s">
        <v>451</v>
      </c>
      <c r="E625" s="115" t="s">
        <v>1439</v>
      </c>
      <c r="F625" s="116">
        <v>1003</v>
      </c>
      <c r="G625" s="116">
        <v>1003</v>
      </c>
      <c r="H625" s="116">
        <v>0</v>
      </c>
      <c r="I625" s="113">
        <v>1469</v>
      </c>
      <c r="J625" s="115" t="s">
        <v>240</v>
      </c>
    </row>
    <row r="626" spans="1:10" x14ac:dyDescent="0.25">
      <c r="A626" s="113">
        <v>623</v>
      </c>
      <c r="B626" s="114" t="s">
        <v>2164</v>
      </c>
      <c r="C626" s="115" t="s">
        <v>2165</v>
      </c>
      <c r="D626" s="115" t="s">
        <v>451</v>
      </c>
      <c r="E626" s="115" t="s">
        <v>1439</v>
      </c>
      <c r="F626" s="116">
        <v>100.62</v>
      </c>
      <c r="G626" s="116">
        <v>100.62</v>
      </c>
      <c r="H626" s="116">
        <v>0</v>
      </c>
      <c r="I626" s="113">
        <v>1348</v>
      </c>
      <c r="J626" s="115" t="s">
        <v>240</v>
      </c>
    </row>
    <row r="627" spans="1:10" x14ac:dyDescent="0.25">
      <c r="A627" s="113">
        <v>624</v>
      </c>
      <c r="B627" s="114" t="s">
        <v>1444</v>
      </c>
      <c r="C627" s="115" t="s">
        <v>1445</v>
      </c>
      <c r="D627" s="115" t="s">
        <v>461</v>
      </c>
      <c r="E627" s="115" t="s">
        <v>1446</v>
      </c>
      <c r="F627" s="116">
        <v>100.17670235971676</v>
      </c>
      <c r="G627" s="116">
        <v>104.57670235971675</v>
      </c>
      <c r="H627" s="116">
        <v>21.3</v>
      </c>
      <c r="I627" s="113">
        <v>108</v>
      </c>
      <c r="J627" s="115" t="s">
        <v>271</v>
      </c>
    </row>
    <row r="628" spans="1:10" x14ac:dyDescent="0.25">
      <c r="A628" s="113">
        <v>625</v>
      </c>
      <c r="B628" s="114" t="s">
        <v>1447</v>
      </c>
      <c r="C628" s="115" t="s">
        <v>1448</v>
      </c>
      <c r="D628" s="115" t="s">
        <v>461</v>
      </c>
      <c r="E628" s="115" t="s">
        <v>1446</v>
      </c>
      <c r="F628" s="116">
        <v>99.197774289661098</v>
      </c>
      <c r="G628" s="116">
        <v>101.30467428966109</v>
      </c>
      <c r="H628" s="116">
        <v>21.47</v>
      </c>
      <c r="I628" s="113">
        <v>323</v>
      </c>
      <c r="J628" s="115" t="s">
        <v>271</v>
      </c>
    </row>
    <row r="629" spans="1:10" x14ac:dyDescent="0.25">
      <c r="A629" s="113">
        <v>626</v>
      </c>
      <c r="B629" s="114" t="s">
        <v>2321</v>
      </c>
      <c r="C629" s="115" t="s">
        <v>2322</v>
      </c>
      <c r="D629" s="115" t="s">
        <v>461</v>
      </c>
      <c r="E629" s="115" t="s">
        <v>1446</v>
      </c>
      <c r="F629" s="116">
        <v>99.077389730816762</v>
      </c>
      <c r="G629" s="116">
        <v>101.46908973081676</v>
      </c>
      <c r="H629" s="116">
        <v>21.59</v>
      </c>
      <c r="I629" s="113">
        <v>679</v>
      </c>
      <c r="J629" s="115" t="s">
        <v>271</v>
      </c>
    </row>
    <row r="630" spans="1:10" x14ac:dyDescent="0.25">
      <c r="A630" s="113">
        <v>627</v>
      </c>
      <c r="B630" s="114" t="s">
        <v>1450</v>
      </c>
      <c r="C630" s="115" t="s">
        <v>1451</v>
      </c>
      <c r="D630" s="115" t="s">
        <v>461</v>
      </c>
      <c r="E630" s="115" t="s">
        <v>1449</v>
      </c>
      <c r="F630" s="116">
        <v>99.712260247199922</v>
      </c>
      <c r="G630" s="116">
        <v>101.21226024719992</v>
      </c>
      <c r="H630" s="116">
        <v>12.84</v>
      </c>
      <c r="I630" s="113">
        <v>36</v>
      </c>
      <c r="J630" s="115" t="s">
        <v>271</v>
      </c>
    </row>
    <row r="631" spans="1:10" x14ac:dyDescent="0.25">
      <c r="A631" s="113">
        <v>628</v>
      </c>
      <c r="B631" s="114" t="s">
        <v>1452</v>
      </c>
      <c r="C631" s="115" t="s">
        <v>1453</v>
      </c>
      <c r="D631" s="115" t="s">
        <v>461</v>
      </c>
      <c r="E631" s="115" t="s">
        <v>1449</v>
      </c>
      <c r="F631" s="116">
        <v>99.718681164184417</v>
      </c>
      <c r="G631" s="116">
        <v>101.24648116418442</v>
      </c>
      <c r="H631" s="116">
        <v>12.86</v>
      </c>
      <c r="I631" s="113">
        <v>35</v>
      </c>
      <c r="J631" s="115" t="s">
        <v>271</v>
      </c>
    </row>
    <row r="632" spans="1:10" x14ac:dyDescent="0.25">
      <c r="A632" s="113">
        <v>629</v>
      </c>
      <c r="B632" s="114" t="s">
        <v>1454</v>
      </c>
      <c r="C632" s="115" t="s">
        <v>1455</v>
      </c>
      <c r="D632" s="115" t="s">
        <v>461</v>
      </c>
      <c r="E632" s="115" t="s">
        <v>1449</v>
      </c>
      <c r="F632" s="116">
        <v>97.894951206047992</v>
      </c>
      <c r="G632" s="116">
        <v>100.17275120604801</v>
      </c>
      <c r="H632" s="116">
        <v>22.64</v>
      </c>
      <c r="I632" s="113">
        <v>319</v>
      </c>
      <c r="J632" s="115" t="s">
        <v>271</v>
      </c>
    </row>
    <row r="633" spans="1:10" x14ac:dyDescent="0.25">
      <c r="A633" s="113">
        <v>630</v>
      </c>
      <c r="B633" s="114" t="s">
        <v>2027</v>
      </c>
      <c r="C633" s="115" t="s">
        <v>2028</v>
      </c>
      <c r="D633" s="115" t="s">
        <v>461</v>
      </c>
      <c r="E633" s="115" t="s">
        <v>1449</v>
      </c>
      <c r="F633" s="116">
        <v>101.45343440810507</v>
      </c>
      <c r="G633" s="116">
        <v>103.87283440810506</v>
      </c>
      <c r="H633" s="116">
        <v>11.96</v>
      </c>
      <c r="I633" s="113">
        <v>563</v>
      </c>
      <c r="J633" s="115" t="s">
        <v>271</v>
      </c>
    </row>
    <row r="634" spans="1:10" x14ac:dyDescent="0.25">
      <c r="A634" s="113">
        <v>631</v>
      </c>
      <c r="B634" s="114" t="s">
        <v>2257</v>
      </c>
      <c r="C634" s="115" t="s">
        <v>2258</v>
      </c>
      <c r="D634" s="115" t="s">
        <v>461</v>
      </c>
      <c r="E634" s="115" t="s">
        <v>1449</v>
      </c>
      <c r="F634" s="116">
        <v>94.242202582159791</v>
      </c>
      <c r="G634" s="116">
        <v>98.02000258215979</v>
      </c>
      <c r="H634" s="116">
        <v>22.82</v>
      </c>
      <c r="I634" s="113">
        <v>1012</v>
      </c>
      <c r="J634" s="115" t="s">
        <v>271</v>
      </c>
    </row>
    <row r="635" spans="1:10" x14ac:dyDescent="0.25">
      <c r="A635" s="113">
        <v>632</v>
      </c>
      <c r="B635" s="114" t="s">
        <v>1456</v>
      </c>
      <c r="C635" s="115" t="s">
        <v>1457</v>
      </c>
      <c r="D635" s="115" t="s">
        <v>461</v>
      </c>
      <c r="E635" s="115" t="s">
        <v>1458</v>
      </c>
      <c r="F635" s="116">
        <v>100</v>
      </c>
      <c r="G635" s="116">
        <v>100.0012</v>
      </c>
      <c r="H635" s="116">
        <v>0.02</v>
      </c>
      <c r="I635" s="113">
        <v>3094</v>
      </c>
      <c r="J635" s="115" t="s">
        <v>271</v>
      </c>
    </row>
    <row r="636" spans="1:10" x14ac:dyDescent="0.25">
      <c r="A636" s="113">
        <v>633</v>
      </c>
      <c r="B636" s="114" t="s">
        <v>1459</v>
      </c>
      <c r="C636" s="115" t="s">
        <v>1460</v>
      </c>
      <c r="D636" s="115" t="s">
        <v>461</v>
      </c>
      <c r="E636" s="115" t="s">
        <v>1458</v>
      </c>
      <c r="F636" s="116">
        <v>100</v>
      </c>
      <c r="G636" s="116">
        <v>105.2461</v>
      </c>
      <c r="H636" s="116">
        <v>7.06</v>
      </c>
      <c r="I636" s="113">
        <v>2191</v>
      </c>
      <c r="J636" s="115" t="s">
        <v>271</v>
      </c>
    </row>
    <row r="637" spans="1:10" x14ac:dyDescent="0.25">
      <c r="A637" s="113">
        <v>634</v>
      </c>
      <c r="B637" s="114" t="s">
        <v>1461</v>
      </c>
      <c r="C637" s="115" t="s">
        <v>1462</v>
      </c>
      <c r="D637" s="115" t="s">
        <v>461</v>
      </c>
      <c r="E637" s="115" t="s">
        <v>1458</v>
      </c>
      <c r="F637" s="116">
        <v>100</v>
      </c>
      <c r="G637" s="116">
        <v>101.03360000000001</v>
      </c>
      <c r="H637" s="116">
        <v>6.08</v>
      </c>
      <c r="I637" s="113">
        <v>1709</v>
      </c>
      <c r="J637" s="115" t="s">
        <v>271</v>
      </c>
    </row>
    <row r="638" spans="1:10" x14ac:dyDescent="0.25">
      <c r="A638" s="113">
        <v>635</v>
      </c>
      <c r="B638" s="114" t="s">
        <v>1463</v>
      </c>
      <c r="C638" s="115" t="s">
        <v>1464</v>
      </c>
      <c r="D638" s="115" t="s">
        <v>461</v>
      </c>
      <c r="E638" s="115" t="s">
        <v>1458</v>
      </c>
      <c r="F638" s="116">
        <v>100</v>
      </c>
      <c r="G638" s="116">
        <v>105.8969</v>
      </c>
      <c r="H638" s="116">
        <v>7.08</v>
      </c>
      <c r="I638" s="113">
        <v>2191</v>
      </c>
      <c r="J638" s="115" t="s">
        <v>271</v>
      </c>
    </row>
    <row r="639" spans="1:10" x14ac:dyDescent="0.25">
      <c r="A639" s="113">
        <v>636</v>
      </c>
      <c r="B639" s="114" t="s">
        <v>2402</v>
      </c>
      <c r="C639" s="115" t="s">
        <v>2403</v>
      </c>
      <c r="D639" s="115" t="s">
        <v>461</v>
      </c>
      <c r="E639" s="115" t="s">
        <v>1458</v>
      </c>
      <c r="F639" s="116">
        <v>90.543312951209003</v>
      </c>
      <c r="G639" s="116">
        <v>91.85771295120901</v>
      </c>
      <c r="H639" s="116">
        <v>20.47</v>
      </c>
      <c r="I639" s="113">
        <v>3574</v>
      </c>
      <c r="J639" s="115" t="s">
        <v>271</v>
      </c>
    </row>
    <row r="640" spans="1:10" x14ac:dyDescent="0.25">
      <c r="A640" s="113">
        <v>637</v>
      </c>
      <c r="B640" s="114" t="s">
        <v>1465</v>
      </c>
      <c r="C640" s="115" t="s">
        <v>1466</v>
      </c>
      <c r="D640" s="115" t="s">
        <v>461</v>
      </c>
      <c r="E640" s="115" t="s">
        <v>1458</v>
      </c>
      <c r="F640" s="116">
        <v>100</v>
      </c>
      <c r="G640" s="116">
        <v>104.5072</v>
      </c>
      <c r="H640" s="116">
        <v>6.07</v>
      </c>
      <c r="I640" s="113">
        <v>2546</v>
      </c>
      <c r="J640" s="115" t="s">
        <v>271</v>
      </c>
    </row>
    <row r="641" spans="1:10" x14ac:dyDescent="0.25">
      <c r="A641" s="113">
        <v>638</v>
      </c>
      <c r="B641" s="114" t="s">
        <v>1467</v>
      </c>
      <c r="C641" s="115" t="s">
        <v>1468</v>
      </c>
      <c r="D641" s="115" t="s">
        <v>461</v>
      </c>
      <c r="E641" s="115" t="s">
        <v>1458</v>
      </c>
      <c r="F641" s="116">
        <v>100</v>
      </c>
      <c r="G641" s="116">
        <v>100.2033</v>
      </c>
      <c r="H641" s="116">
        <v>6.09</v>
      </c>
      <c r="I641" s="113">
        <v>2118</v>
      </c>
      <c r="J641" s="115" t="s">
        <v>271</v>
      </c>
    </row>
    <row r="642" spans="1:10" x14ac:dyDescent="0.25">
      <c r="A642" s="113">
        <v>639</v>
      </c>
      <c r="B642" s="114" t="s">
        <v>1469</v>
      </c>
      <c r="C642" s="115" t="s">
        <v>1470</v>
      </c>
      <c r="D642" s="115" t="s">
        <v>461</v>
      </c>
      <c r="E642" s="115" t="s">
        <v>1458</v>
      </c>
      <c r="F642" s="116">
        <v>100</v>
      </c>
      <c r="G642" s="116">
        <v>104.5072</v>
      </c>
      <c r="H642" s="116">
        <v>6.09</v>
      </c>
      <c r="I642" s="113">
        <v>2613</v>
      </c>
      <c r="J642" s="115" t="s">
        <v>271</v>
      </c>
    </row>
    <row r="643" spans="1:10" x14ac:dyDescent="0.25">
      <c r="A643" s="113">
        <v>640</v>
      </c>
      <c r="B643" s="114" t="s">
        <v>1471</v>
      </c>
      <c r="C643" s="115" t="s">
        <v>1472</v>
      </c>
      <c r="D643" s="115" t="s">
        <v>461</v>
      </c>
      <c r="E643" s="115" t="s">
        <v>1458</v>
      </c>
      <c r="F643" s="116">
        <v>100</v>
      </c>
      <c r="G643" s="116">
        <v>105.1511</v>
      </c>
      <c r="H643" s="116">
        <v>6.08</v>
      </c>
      <c r="I643" s="113">
        <v>2546</v>
      </c>
      <c r="J643" s="115" t="s">
        <v>271</v>
      </c>
    </row>
    <row r="644" spans="1:10" x14ac:dyDescent="0.25">
      <c r="A644" s="113">
        <v>641</v>
      </c>
      <c r="B644" s="114" t="s">
        <v>1473</v>
      </c>
      <c r="C644" s="115" t="s">
        <v>1474</v>
      </c>
      <c r="D644" s="115" t="s">
        <v>461</v>
      </c>
      <c r="E644" s="115" t="s">
        <v>1458</v>
      </c>
      <c r="F644" s="116">
        <v>100</v>
      </c>
      <c r="G644" s="116">
        <v>105.1511</v>
      </c>
      <c r="H644" s="116">
        <v>6.08</v>
      </c>
      <c r="I644" s="113">
        <v>2546</v>
      </c>
      <c r="J644" s="115" t="s">
        <v>271</v>
      </c>
    </row>
    <row r="645" spans="1:10" x14ac:dyDescent="0.25">
      <c r="A645" s="113">
        <v>642</v>
      </c>
      <c r="B645" s="114" t="s">
        <v>1475</v>
      </c>
      <c r="C645" s="115" t="s">
        <v>1476</v>
      </c>
      <c r="D645" s="115" t="s">
        <v>461</v>
      </c>
      <c r="E645" s="115" t="s">
        <v>1458</v>
      </c>
      <c r="F645" s="116">
        <v>100</v>
      </c>
      <c r="G645" s="116">
        <v>104.0158</v>
      </c>
      <c r="H645" s="116">
        <v>6.08</v>
      </c>
      <c r="I645" s="113">
        <v>2613</v>
      </c>
      <c r="J645" s="115" t="s">
        <v>271</v>
      </c>
    </row>
    <row r="646" spans="1:10" x14ac:dyDescent="0.25">
      <c r="A646" s="113">
        <v>643</v>
      </c>
      <c r="B646" s="114" t="s">
        <v>2387</v>
      </c>
      <c r="C646" s="115" t="s">
        <v>2388</v>
      </c>
      <c r="D646" s="115" t="s">
        <v>461</v>
      </c>
      <c r="E646" s="115" t="s">
        <v>2389</v>
      </c>
      <c r="F646" s="116">
        <v>100.64409073155146</v>
      </c>
      <c r="G646" s="116">
        <v>101.43849073155147</v>
      </c>
      <c r="H646" s="116">
        <v>10.73</v>
      </c>
      <c r="I646" s="113">
        <v>1054</v>
      </c>
      <c r="J646" s="115" t="s">
        <v>271</v>
      </c>
    </row>
    <row r="647" spans="1:10" x14ac:dyDescent="0.25">
      <c r="A647" s="113">
        <v>644</v>
      </c>
      <c r="B647" s="114" t="s">
        <v>2273</v>
      </c>
      <c r="C647" s="115" t="s">
        <v>2274</v>
      </c>
      <c r="D647" s="115" t="s">
        <v>461</v>
      </c>
      <c r="E647" s="115" t="s">
        <v>2275</v>
      </c>
      <c r="F647" s="116">
        <v>101.97022989001782</v>
      </c>
      <c r="G647" s="116">
        <v>106.30352989001783</v>
      </c>
      <c r="H647" s="116">
        <v>24.99</v>
      </c>
      <c r="I647" s="113">
        <v>1020</v>
      </c>
      <c r="J647" s="115" t="s">
        <v>271</v>
      </c>
    </row>
    <row r="648" spans="1:10" x14ac:dyDescent="0.25">
      <c r="A648" s="113">
        <v>645</v>
      </c>
      <c r="B648" s="114" t="s">
        <v>1477</v>
      </c>
      <c r="C648" s="115" t="s">
        <v>1478</v>
      </c>
      <c r="D648" s="115" t="s">
        <v>451</v>
      </c>
      <c r="E648" s="115" t="s">
        <v>1479</v>
      </c>
      <c r="F648" s="116">
        <v>52664.62</v>
      </c>
      <c r="G648" s="116">
        <v>52664.62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387</v>
      </c>
      <c r="C649" s="115" t="s">
        <v>388</v>
      </c>
      <c r="D649" s="115" t="s">
        <v>461</v>
      </c>
      <c r="E649" s="115" t="s">
        <v>111</v>
      </c>
      <c r="F649" s="116">
        <v>97.633899999999997</v>
      </c>
      <c r="G649" s="116">
        <v>97.633899999999997</v>
      </c>
      <c r="H649" s="116">
        <v>14.99</v>
      </c>
      <c r="I649" s="113">
        <v>59</v>
      </c>
      <c r="J649" s="115" t="s">
        <v>271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461</v>
      </c>
      <c r="E650" s="115" t="s">
        <v>111</v>
      </c>
      <c r="F650" s="116">
        <v>93.424300000000002</v>
      </c>
      <c r="G650" s="116">
        <v>93.424300000000002</v>
      </c>
      <c r="H650" s="116">
        <v>15.67</v>
      </c>
      <c r="I650" s="113">
        <v>164</v>
      </c>
      <c r="J650" s="115" t="s">
        <v>271</v>
      </c>
    </row>
    <row r="651" spans="1:10" x14ac:dyDescent="0.25">
      <c r="A651" s="113">
        <v>648</v>
      </c>
      <c r="B651" s="114" t="s">
        <v>2184</v>
      </c>
      <c r="C651" s="115" t="s">
        <v>2185</v>
      </c>
      <c r="D651" s="115" t="s">
        <v>461</v>
      </c>
      <c r="E651" s="115" t="s">
        <v>111</v>
      </c>
      <c r="F651" s="116">
        <v>89.619699999999995</v>
      </c>
      <c r="G651" s="116">
        <v>89.619699999999995</v>
      </c>
      <c r="H651" s="116">
        <v>16.14</v>
      </c>
      <c r="I651" s="113">
        <v>262</v>
      </c>
      <c r="J651" s="115" t="s">
        <v>271</v>
      </c>
    </row>
    <row r="652" spans="1:10" x14ac:dyDescent="0.25">
      <c r="A652" s="113">
        <v>649</v>
      </c>
      <c r="B652" s="114" t="s">
        <v>1480</v>
      </c>
      <c r="C652" s="115" t="s">
        <v>1481</v>
      </c>
      <c r="D652" s="115" t="s">
        <v>451</v>
      </c>
      <c r="E652" s="115" t="s">
        <v>1482</v>
      </c>
      <c r="F652" s="116">
        <v>0.01</v>
      </c>
      <c r="G652" s="116">
        <v>0.01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1483</v>
      </c>
      <c r="C653" s="115" t="s">
        <v>1484</v>
      </c>
      <c r="D653" s="115" t="s">
        <v>451</v>
      </c>
      <c r="E653" s="115" t="s">
        <v>1482</v>
      </c>
      <c r="F653" s="116">
        <v>5695</v>
      </c>
      <c r="G653" s="116">
        <v>5695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1485</v>
      </c>
      <c r="C654" s="115" t="s">
        <v>1486</v>
      </c>
      <c r="D654" s="115" t="s">
        <v>451</v>
      </c>
      <c r="E654" s="115" t="s">
        <v>1487</v>
      </c>
      <c r="F654" s="116">
        <v>13000</v>
      </c>
      <c r="G654" s="116">
        <v>13000</v>
      </c>
      <c r="H654" s="116">
        <v>0</v>
      </c>
      <c r="I654" s="113">
        <v>0</v>
      </c>
      <c r="J654" s="115" t="s">
        <v>240</v>
      </c>
    </row>
    <row r="655" spans="1:10" x14ac:dyDescent="0.25">
      <c r="A655" s="113">
        <v>652</v>
      </c>
      <c r="B655" s="114" t="s">
        <v>1488</v>
      </c>
      <c r="C655" s="115" t="s">
        <v>1489</v>
      </c>
      <c r="D655" s="115" t="s">
        <v>461</v>
      </c>
      <c r="E655" s="115" t="s">
        <v>1490</v>
      </c>
      <c r="F655" s="116">
        <v>89.411423975103588</v>
      </c>
      <c r="G655" s="116">
        <v>91.878123975103577</v>
      </c>
      <c r="H655" s="116">
        <v>10.79</v>
      </c>
      <c r="I655" s="113">
        <v>932</v>
      </c>
      <c r="J655" s="115" t="s">
        <v>271</v>
      </c>
    </row>
    <row r="656" spans="1:10" x14ac:dyDescent="0.25">
      <c r="A656" s="113">
        <v>653</v>
      </c>
      <c r="B656" s="114" t="s">
        <v>117</v>
      </c>
      <c r="C656" s="115" t="s">
        <v>4</v>
      </c>
      <c r="D656" s="115" t="s">
        <v>461</v>
      </c>
      <c r="E656" s="115" t="s">
        <v>111</v>
      </c>
      <c r="F656" s="116">
        <v>98.039199999999994</v>
      </c>
      <c r="G656" s="116">
        <v>99.076599999999999</v>
      </c>
      <c r="H656" s="116">
        <v>15.8</v>
      </c>
      <c r="I656" s="113">
        <v>145</v>
      </c>
      <c r="J656" s="115" t="s">
        <v>271</v>
      </c>
    </row>
    <row r="657" spans="1:10" x14ac:dyDescent="0.25">
      <c r="A657" s="113">
        <v>654</v>
      </c>
      <c r="B657" s="114" t="s">
        <v>118</v>
      </c>
      <c r="C657" s="115" t="s">
        <v>119</v>
      </c>
      <c r="D657" s="115" t="s">
        <v>461</v>
      </c>
      <c r="E657" s="115" t="s">
        <v>111</v>
      </c>
      <c r="F657" s="116">
        <v>98.341899999999995</v>
      </c>
      <c r="G657" s="116">
        <v>100.71</v>
      </c>
      <c r="H657" s="116">
        <v>15.89</v>
      </c>
      <c r="I657" s="113">
        <v>298</v>
      </c>
      <c r="J657" s="115" t="s">
        <v>271</v>
      </c>
    </row>
    <row r="658" spans="1:10" x14ac:dyDescent="0.25">
      <c r="A658" s="113">
        <v>655</v>
      </c>
      <c r="B658" s="114" t="s">
        <v>120</v>
      </c>
      <c r="C658" s="115" t="s">
        <v>121</v>
      </c>
      <c r="D658" s="115" t="s">
        <v>461</v>
      </c>
      <c r="E658" s="115" t="s">
        <v>111</v>
      </c>
      <c r="F658" s="116">
        <v>98.030100000000004</v>
      </c>
      <c r="G658" s="116">
        <v>104.2079</v>
      </c>
      <c r="H658" s="116">
        <v>15.97</v>
      </c>
      <c r="I658" s="113">
        <v>380</v>
      </c>
      <c r="J658" s="115" t="s">
        <v>271</v>
      </c>
    </row>
    <row r="659" spans="1:10" x14ac:dyDescent="0.25">
      <c r="A659" s="113">
        <v>656</v>
      </c>
      <c r="B659" s="114" t="s">
        <v>2420</v>
      </c>
      <c r="C659" s="115" t="s">
        <v>2419</v>
      </c>
      <c r="D659" s="115" t="s">
        <v>461</v>
      </c>
      <c r="E659" s="115" t="s">
        <v>111</v>
      </c>
      <c r="F659" s="116">
        <v>102.5681</v>
      </c>
      <c r="G659" s="116">
        <v>103.4659</v>
      </c>
      <c r="H659" s="116">
        <v>16.100000000000001</v>
      </c>
      <c r="I659" s="113">
        <v>1421</v>
      </c>
      <c r="J659" s="115" t="s">
        <v>271</v>
      </c>
    </row>
    <row r="660" spans="1:10" x14ac:dyDescent="0.25">
      <c r="A660" s="113">
        <v>657</v>
      </c>
      <c r="B660" s="114" t="s">
        <v>122</v>
      </c>
      <c r="C660" s="115" t="s">
        <v>123</v>
      </c>
      <c r="D660" s="115" t="s">
        <v>461</v>
      </c>
      <c r="E660" s="115" t="s">
        <v>111</v>
      </c>
      <c r="F660" s="116">
        <v>95.399699999999996</v>
      </c>
      <c r="G660" s="116">
        <v>96.041399999999996</v>
      </c>
      <c r="H660" s="116">
        <v>15.94</v>
      </c>
      <c r="I660" s="113">
        <v>338</v>
      </c>
      <c r="J660" s="115" t="s">
        <v>271</v>
      </c>
    </row>
    <row r="661" spans="1:10" x14ac:dyDescent="0.25">
      <c r="A661" s="113">
        <v>658</v>
      </c>
      <c r="B661" s="114" t="s">
        <v>124</v>
      </c>
      <c r="C661" s="115" t="s">
        <v>125</v>
      </c>
      <c r="D661" s="115" t="s">
        <v>461</v>
      </c>
      <c r="E661" s="115" t="s">
        <v>111</v>
      </c>
      <c r="F661" s="116">
        <v>98.650300000000001</v>
      </c>
      <c r="G661" s="116">
        <v>102.8289</v>
      </c>
      <c r="H661" s="116">
        <v>16.05</v>
      </c>
      <c r="I661" s="113">
        <v>802</v>
      </c>
      <c r="J661" s="115" t="s">
        <v>271</v>
      </c>
    </row>
    <row r="662" spans="1:10" x14ac:dyDescent="0.25">
      <c r="A662" s="113">
        <v>659</v>
      </c>
      <c r="B662" s="114" t="s">
        <v>1491</v>
      </c>
      <c r="C662" s="115" t="s">
        <v>1492</v>
      </c>
      <c r="D662" s="115" t="s">
        <v>451</v>
      </c>
      <c r="E662" s="115" t="s">
        <v>1493</v>
      </c>
      <c r="F662" s="116">
        <v>0.01</v>
      </c>
      <c r="G662" s="116">
        <v>0.01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1494</v>
      </c>
      <c r="C663" s="115" t="s">
        <v>1495</v>
      </c>
      <c r="D663" s="115" t="s">
        <v>451</v>
      </c>
      <c r="E663" s="115" t="s">
        <v>1496</v>
      </c>
      <c r="F663" s="116">
        <v>13960.95285</v>
      </c>
      <c r="G663" s="116">
        <v>13960.95285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1497</v>
      </c>
      <c r="C664" s="115" t="s">
        <v>1498</v>
      </c>
      <c r="D664" s="115" t="s">
        <v>451</v>
      </c>
      <c r="E664" s="115" t="s">
        <v>1499</v>
      </c>
      <c r="F664" s="116">
        <v>271439.77964999998</v>
      </c>
      <c r="G664" s="116">
        <v>271439.77964999998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1500</v>
      </c>
      <c r="C665" s="115" t="s">
        <v>1501</v>
      </c>
      <c r="D665" s="115" t="s">
        <v>451</v>
      </c>
      <c r="E665" s="115" t="s">
        <v>1502</v>
      </c>
      <c r="F665" s="116">
        <v>106204.39635</v>
      </c>
      <c r="G665" s="116">
        <v>106204.39635</v>
      </c>
      <c r="H665" s="116">
        <v>0</v>
      </c>
      <c r="I665" s="113">
        <v>0</v>
      </c>
      <c r="J665" s="115" t="s">
        <v>240</v>
      </c>
    </row>
    <row r="666" spans="1:10" x14ac:dyDescent="0.25">
      <c r="A666" s="113">
        <v>663</v>
      </c>
      <c r="B666" s="114" t="s">
        <v>2392</v>
      </c>
      <c r="C666" s="115" t="s">
        <v>2386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16.654</v>
      </c>
      <c r="I666" s="113">
        <v>1434</v>
      </c>
      <c r="J666" s="115" t="s">
        <v>271</v>
      </c>
    </row>
    <row r="667" spans="1:10" x14ac:dyDescent="0.25">
      <c r="A667" s="113">
        <v>664</v>
      </c>
      <c r="B667" s="114" t="s">
        <v>126</v>
      </c>
      <c r="C667" s="115" t="s">
        <v>127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17.068000000000001</v>
      </c>
      <c r="I667" s="113">
        <v>373</v>
      </c>
      <c r="J667" s="115" t="s">
        <v>271</v>
      </c>
    </row>
    <row r="668" spans="1:10" x14ac:dyDescent="0.25">
      <c r="A668" s="113">
        <v>665</v>
      </c>
      <c r="B668" s="114" t="s">
        <v>128</v>
      </c>
      <c r="C668" s="115" t="s">
        <v>129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17.218</v>
      </c>
      <c r="I668" s="113">
        <v>768</v>
      </c>
      <c r="J668" s="115" t="s">
        <v>271</v>
      </c>
    </row>
    <row r="669" spans="1:10" x14ac:dyDescent="0.25">
      <c r="A669" s="113">
        <v>666</v>
      </c>
      <c r="B669" s="114" t="s">
        <v>130</v>
      </c>
      <c r="C669" s="115" t="s">
        <v>131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17.417999999999999</v>
      </c>
      <c r="I669" s="113">
        <v>1162</v>
      </c>
      <c r="J669" s="115" t="s">
        <v>271</v>
      </c>
    </row>
    <row r="670" spans="1:10" x14ac:dyDescent="0.25">
      <c r="A670" s="113">
        <v>667</v>
      </c>
      <c r="B670" s="114" t="s">
        <v>132</v>
      </c>
      <c r="C670" s="115" t="s">
        <v>133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17.48</v>
      </c>
      <c r="I670" s="113">
        <v>1627</v>
      </c>
      <c r="J670" s="115" t="s">
        <v>271</v>
      </c>
    </row>
    <row r="671" spans="1:10" x14ac:dyDescent="0.25">
      <c r="A671" s="113">
        <v>668</v>
      </c>
      <c r="B671" s="114" t="s">
        <v>134</v>
      </c>
      <c r="C671" s="115" t="s">
        <v>135</v>
      </c>
      <c r="D671" s="115" t="s">
        <v>461</v>
      </c>
      <c r="E671" s="115" t="s">
        <v>111</v>
      </c>
      <c r="F671" s="116">
        <v>100</v>
      </c>
      <c r="G671" s="116">
        <v>100</v>
      </c>
      <c r="H671" s="116">
        <v>17.617999999999999</v>
      </c>
      <c r="I671" s="113">
        <v>1937</v>
      </c>
      <c r="J671" s="115" t="s">
        <v>271</v>
      </c>
    </row>
    <row r="672" spans="1:10" x14ac:dyDescent="0.25">
      <c r="A672" s="113">
        <v>669</v>
      </c>
      <c r="B672" s="114" t="s">
        <v>285</v>
      </c>
      <c r="C672" s="115" t="s">
        <v>286</v>
      </c>
      <c r="D672" s="115" t="s">
        <v>461</v>
      </c>
      <c r="E672" s="115" t="s">
        <v>111</v>
      </c>
      <c r="F672" s="116">
        <v>99.874600000000001</v>
      </c>
      <c r="G672" s="116">
        <v>99.874600000000001</v>
      </c>
      <c r="H672" s="116">
        <v>11.798</v>
      </c>
      <c r="I672" s="113">
        <v>91</v>
      </c>
      <c r="J672" s="115" t="s">
        <v>271</v>
      </c>
    </row>
    <row r="673" spans="1:10" x14ac:dyDescent="0.25">
      <c r="A673" s="113">
        <v>670</v>
      </c>
      <c r="B673" s="114" t="s">
        <v>287</v>
      </c>
      <c r="C673" s="115" t="s">
        <v>288</v>
      </c>
      <c r="D673" s="115" t="s">
        <v>461</v>
      </c>
      <c r="E673" s="115" t="s">
        <v>111</v>
      </c>
      <c r="F673" s="116">
        <v>99.942899999999995</v>
      </c>
      <c r="G673" s="116">
        <v>99.942899999999995</v>
      </c>
      <c r="H673" s="116">
        <v>11.798</v>
      </c>
      <c r="I673" s="113">
        <v>394</v>
      </c>
      <c r="J673" s="115" t="s">
        <v>271</v>
      </c>
    </row>
    <row r="674" spans="1:10" x14ac:dyDescent="0.25">
      <c r="A674" s="113">
        <v>671</v>
      </c>
      <c r="B674" s="114" t="s">
        <v>289</v>
      </c>
      <c r="C674" s="115" t="s">
        <v>290</v>
      </c>
      <c r="D674" s="115" t="s">
        <v>461</v>
      </c>
      <c r="E674" s="115" t="s">
        <v>111</v>
      </c>
      <c r="F674" s="116">
        <v>99.8416</v>
      </c>
      <c r="G674" s="116">
        <v>99.8416</v>
      </c>
      <c r="H674" s="116">
        <v>11.798</v>
      </c>
      <c r="I674" s="113">
        <v>213</v>
      </c>
      <c r="J674" s="115" t="s">
        <v>271</v>
      </c>
    </row>
    <row r="675" spans="1:10" x14ac:dyDescent="0.25">
      <c r="A675" s="113">
        <v>672</v>
      </c>
      <c r="B675" s="114" t="s">
        <v>291</v>
      </c>
      <c r="C675" s="115" t="s">
        <v>292</v>
      </c>
      <c r="D675" s="115" t="s">
        <v>461</v>
      </c>
      <c r="E675" s="115" t="s">
        <v>111</v>
      </c>
      <c r="F675" s="116">
        <v>99.996300000000005</v>
      </c>
      <c r="G675" s="116">
        <v>99.996300000000005</v>
      </c>
      <c r="H675" s="116">
        <v>11.798</v>
      </c>
      <c r="I675" s="113">
        <v>362</v>
      </c>
      <c r="J675" s="115" t="s">
        <v>271</v>
      </c>
    </row>
    <row r="676" spans="1:10" x14ac:dyDescent="0.25">
      <c r="A676" s="113">
        <v>673</v>
      </c>
      <c r="B676" s="114" t="s">
        <v>293</v>
      </c>
      <c r="C676" s="115" t="s">
        <v>294</v>
      </c>
      <c r="D676" s="115" t="s">
        <v>461</v>
      </c>
      <c r="E676" s="115" t="s">
        <v>111</v>
      </c>
      <c r="F676" s="116">
        <v>99.905100000000004</v>
      </c>
      <c r="G676" s="116">
        <v>99.905100000000004</v>
      </c>
      <c r="H676" s="116">
        <v>11.798</v>
      </c>
      <c r="I676" s="113">
        <v>62</v>
      </c>
      <c r="J676" s="115" t="s">
        <v>271</v>
      </c>
    </row>
    <row r="677" spans="1:10" x14ac:dyDescent="0.25">
      <c r="A677" s="113">
        <v>674</v>
      </c>
      <c r="B677" s="114" t="s">
        <v>295</v>
      </c>
      <c r="C677" s="115" t="s">
        <v>296</v>
      </c>
      <c r="D677" s="115" t="s">
        <v>461</v>
      </c>
      <c r="E677" s="115" t="s">
        <v>111</v>
      </c>
      <c r="F677" s="116">
        <v>99.859499999999997</v>
      </c>
      <c r="G677" s="116">
        <v>99.859499999999997</v>
      </c>
      <c r="H677" s="116">
        <v>11.888</v>
      </c>
      <c r="I677" s="113">
        <v>1187</v>
      </c>
      <c r="J677" s="115" t="s">
        <v>271</v>
      </c>
    </row>
    <row r="678" spans="1:10" x14ac:dyDescent="0.25">
      <c r="A678" s="113">
        <v>675</v>
      </c>
      <c r="B678" s="114" t="s">
        <v>297</v>
      </c>
      <c r="C678" s="115" t="s">
        <v>298</v>
      </c>
      <c r="D678" s="115" t="s">
        <v>461</v>
      </c>
      <c r="E678" s="115" t="s">
        <v>111</v>
      </c>
      <c r="F678" s="116">
        <v>99.903899999999993</v>
      </c>
      <c r="G678" s="116">
        <v>99.903899999999993</v>
      </c>
      <c r="H678" s="116">
        <v>11.798</v>
      </c>
      <c r="I678" s="113">
        <v>63</v>
      </c>
      <c r="J678" s="115" t="s">
        <v>271</v>
      </c>
    </row>
    <row r="679" spans="1:10" x14ac:dyDescent="0.25">
      <c r="A679" s="113">
        <v>676</v>
      </c>
      <c r="B679" s="114" t="s">
        <v>299</v>
      </c>
      <c r="C679" s="115" t="s">
        <v>300</v>
      </c>
      <c r="D679" s="115" t="s">
        <v>461</v>
      </c>
      <c r="E679" s="115" t="s">
        <v>111</v>
      </c>
      <c r="F679" s="116">
        <v>99.8797</v>
      </c>
      <c r="G679" s="116">
        <v>99.8797</v>
      </c>
      <c r="H679" s="116">
        <v>11.798</v>
      </c>
      <c r="I679" s="113">
        <v>272</v>
      </c>
      <c r="J679" s="115" t="s">
        <v>271</v>
      </c>
    </row>
    <row r="680" spans="1:10" x14ac:dyDescent="0.25">
      <c r="A680" s="113">
        <v>677</v>
      </c>
      <c r="B680" s="114" t="s">
        <v>301</v>
      </c>
      <c r="C680" s="115" t="s">
        <v>302</v>
      </c>
      <c r="D680" s="115" t="s">
        <v>461</v>
      </c>
      <c r="E680" s="115" t="s">
        <v>111</v>
      </c>
      <c r="F680" s="116">
        <v>99.833100000000002</v>
      </c>
      <c r="G680" s="116">
        <v>99.833100000000002</v>
      </c>
      <c r="H680" s="116">
        <v>11.888</v>
      </c>
      <c r="I680" s="113">
        <v>1618</v>
      </c>
      <c r="J680" s="115" t="s">
        <v>271</v>
      </c>
    </row>
    <row r="681" spans="1:10" x14ac:dyDescent="0.25">
      <c r="A681" s="113">
        <v>678</v>
      </c>
      <c r="B681" s="114" t="s">
        <v>303</v>
      </c>
      <c r="C681" s="115" t="s">
        <v>304</v>
      </c>
      <c r="D681" s="115" t="s">
        <v>461</v>
      </c>
      <c r="E681" s="115" t="s">
        <v>111</v>
      </c>
      <c r="F681" s="116">
        <v>99.8797</v>
      </c>
      <c r="G681" s="116">
        <v>99.8797</v>
      </c>
      <c r="H681" s="116">
        <v>11.798</v>
      </c>
      <c r="I681" s="113">
        <v>272</v>
      </c>
      <c r="J681" s="115" t="s">
        <v>271</v>
      </c>
    </row>
    <row r="682" spans="1:10" x14ac:dyDescent="0.25">
      <c r="A682" s="113">
        <v>679</v>
      </c>
      <c r="B682" s="114" t="s">
        <v>305</v>
      </c>
      <c r="C682" s="115" t="s">
        <v>306</v>
      </c>
      <c r="D682" s="115" t="s">
        <v>461</v>
      </c>
      <c r="E682" s="115" t="s">
        <v>111</v>
      </c>
      <c r="F682" s="116">
        <v>99.956599999999995</v>
      </c>
      <c r="G682" s="116">
        <v>99.956599999999995</v>
      </c>
      <c r="H682" s="116">
        <v>11.798</v>
      </c>
      <c r="I682" s="113">
        <v>334</v>
      </c>
      <c r="J682" s="115" t="s">
        <v>271</v>
      </c>
    </row>
    <row r="683" spans="1:10" x14ac:dyDescent="0.25">
      <c r="A683" s="113">
        <v>680</v>
      </c>
      <c r="B683" s="114" t="s">
        <v>307</v>
      </c>
      <c r="C683" s="115" t="s">
        <v>308</v>
      </c>
      <c r="D683" s="115" t="s">
        <v>461</v>
      </c>
      <c r="E683" s="115" t="s">
        <v>111</v>
      </c>
      <c r="F683" s="116">
        <v>99.8566</v>
      </c>
      <c r="G683" s="116">
        <v>99.8566</v>
      </c>
      <c r="H683" s="116">
        <v>11.798</v>
      </c>
      <c r="I683" s="113">
        <v>603</v>
      </c>
      <c r="J683" s="115" t="s">
        <v>271</v>
      </c>
    </row>
    <row r="684" spans="1:10" x14ac:dyDescent="0.25">
      <c r="A684" s="113">
        <v>681</v>
      </c>
      <c r="B684" s="114" t="s">
        <v>309</v>
      </c>
      <c r="C684" s="115" t="s">
        <v>310</v>
      </c>
      <c r="D684" s="115" t="s">
        <v>461</v>
      </c>
      <c r="E684" s="115" t="s">
        <v>111</v>
      </c>
      <c r="F684" s="116">
        <v>99.955100000000002</v>
      </c>
      <c r="G684" s="116">
        <v>99.955100000000002</v>
      </c>
      <c r="H684" s="116">
        <v>11.798</v>
      </c>
      <c r="I684" s="113">
        <v>693</v>
      </c>
      <c r="J684" s="115" t="s">
        <v>271</v>
      </c>
    </row>
    <row r="685" spans="1:10" x14ac:dyDescent="0.25">
      <c r="A685" s="113">
        <v>682</v>
      </c>
      <c r="B685" s="114" t="s">
        <v>311</v>
      </c>
      <c r="C685" s="115" t="s">
        <v>312</v>
      </c>
      <c r="D685" s="115" t="s">
        <v>461</v>
      </c>
      <c r="E685" s="115" t="s">
        <v>111</v>
      </c>
      <c r="F685" s="116">
        <v>99.835599999999999</v>
      </c>
      <c r="G685" s="116">
        <v>99.835599999999999</v>
      </c>
      <c r="H685" s="116">
        <v>11.798</v>
      </c>
      <c r="I685" s="113">
        <v>1262</v>
      </c>
      <c r="J685" s="115" t="s">
        <v>271</v>
      </c>
    </row>
    <row r="686" spans="1:10" x14ac:dyDescent="0.25">
      <c r="A686" s="113">
        <v>683</v>
      </c>
      <c r="B686" s="114" t="s">
        <v>313</v>
      </c>
      <c r="C686" s="115" t="s">
        <v>314</v>
      </c>
      <c r="D686" s="115" t="s">
        <v>461</v>
      </c>
      <c r="E686" s="115" t="s">
        <v>111</v>
      </c>
      <c r="F686" s="116">
        <v>99.912199999999999</v>
      </c>
      <c r="G686" s="116">
        <v>99.912199999999999</v>
      </c>
      <c r="H686" s="116">
        <v>11.798</v>
      </c>
      <c r="I686" s="113">
        <v>1382</v>
      </c>
      <c r="J686" s="115" t="s">
        <v>271</v>
      </c>
    </row>
    <row r="687" spans="1:10" x14ac:dyDescent="0.25">
      <c r="A687" s="113">
        <v>684</v>
      </c>
      <c r="B687" s="114" t="s">
        <v>315</v>
      </c>
      <c r="C687" s="115" t="s">
        <v>316</v>
      </c>
      <c r="D687" s="115" t="s">
        <v>461</v>
      </c>
      <c r="E687" s="115" t="s">
        <v>111</v>
      </c>
      <c r="F687" s="116">
        <v>99.913499999999999</v>
      </c>
      <c r="G687" s="116">
        <v>99.913499999999999</v>
      </c>
      <c r="H687" s="116">
        <v>11.798</v>
      </c>
      <c r="I687" s="113">
        <v>663</v>
      </c>
      <c r="J687" s="115" t="s">
        <v>271</v>
      </c>
    </row>
    <row r="688" spans="1:10" x14ac:dyDescent="0.25">
      <c r="A688" s="113">
        <v>685</v>
      </c>
      <c r="B688" s="114" t="s">
        <v>317</v>
      </c>
      <c r="C688" s="115" t="s">
        <v>318</v>
      </c>
      <c r="D688" s="115" t="s">
        <v>461</v>
      </c>
      <c r="E688" s="115" t="s">
        <v>111</v>
      </c>
      <c r="F688" s="116">
        <v>99.875500000000002</v>
      </c>
      <c r="G688" s="116">
        <v>99.875500000000002</v>
      </c>
      <c r="H688" s="116">
        <v>11.798</v>
      </c>
      <c r="I688" s="113">
        <v>810</v>
      </c>
      <c r="J688" s="115" t="s">
        <v>271</v>
      </c>
    </row>
    <row r="689" spans="1:10" x14ac:dyDescent="0.25">
      <c r="A689" s="113">
        <v>686</v>
      </c>
      <c r="B689" s="114" t="s">
        <v>319</v>
      </c>
      <c r="C689" s="115" t="s">
        <v>320</v>
      </c>
      <c r="D689" s="115" t="s">
        <v>461</v>
      </c>
      <c r="E689" s="115" t="s">
        <v>111</v>
      </c>
      <c r="F689" s="116">
        <v>99.835599999999999</v>
      </c>
      <c r="G689" s="116">
        <v>99.835599999999999</v>
      </c>
      <c r="H689" s="116">
        <v>11.798</v>
      </c>
      <c r="I689" s="113">
        <v>899</v>
      </c>
      <c r="J689" s="115" t="s">
        <v>271</v>
      </c>
    </row>
    <row r="690" spans="1:10" x14ac:dyDescent="0.25">
      <c r="A690" s="113">
        <v>687</v>
      </c>
      <c r="B690" s="114" t="s">
        <v>321</v>
      </c>
      <c r="C690" s="115" t="s">
        <v>322</v>
      </c>
      <c r="D690" s="115" t="s">
        <v>461</v>
      </c>
      <c r="E690" s="115" t="s">
        <v>111</v>
      </c>
      <c r="F690" s="116">
        <v>99.998099999999994</v>
      </c>
      <c r="G690" s="116">
        <v>99.998099999999994</v>
      </c>
      <c r="H690" s="116">
        <v>11.798</v>
      </c>
      <c r="I690" s="113">
        <v>1441</v>
      </c>
      <c r="J690" s="115" t="s">
        <v>271</v>
      </c>
    </row>
    <row r="691" spans="1:10" x14ac:dyDescent="0.25">
      <c r="A691" s="113">
        <v>688</v>
      </c>
      <c r="B691" s="114" t="s">
        <v>323</v>
      </c>
      <c r="C691" s="115" t="s">
        <v>324</v>
      </c>
      <c r="D691" s="115" t="s">
        <v>461</v>
      </c>
      <c r="E691" s="115" t="s">
        <v>111</v>
      </c>
      <c r="F691" s="116">
        <v>99.881600000000006</v>
      </c>
      <c r="G691" s="116">
        <v>99.881600000000006</v>
      </c>
      <c r="H691" s="116">
        <v>11.798</v>
      </c>
      <c r="I691" s="113">
        <v>1714</v>
      </c>
      <c r="J691" s="115" t="s">
        <v>271</v>
      </c>
    </row>
    <row r="692" spans="1:10" x14ac:dyDescent="0.25">
      <c r="A692" s="113">
        <v>689</v>
      </c>
      <c r="B692" s="114" t="s">
        <v>325</v>
      </c>
      <c r="C692" s="115" t="s">
        <v>326</v>
      </c>
      <c r="D692" s="115" t="s">
        <v>461</v>
      </c>
      <c r="E692" s="115" t="s">
        <v>111</v>
      </c>
      <c r="F692" s="116">
        <v>99.998099999999994</v>
      </c>
      <c r="G692" s="116">
        <v>99.998099999999994</v>
      </c>
      <c r="H692" s="116">
        <v>11.798</v>
      </c>
      <c r="I692" s="113">
        <v>1081</v>
      </c>
      <c r="J692" s="115" t="s">
        <v>271</v>
      </c>
    </row>
    <row r="693" spans="1:10" x14ac:dyDescent="0.25">
      <c r="A693" s="113">
        <v>690</v>
      </c>
      <c r="B693" s="114" t="s">
        <v>327</v>
      </c>
      <c r="C693" s="115" t="s">
        <v>328</v>
      </c>
      <c r="D693" s="115" t="s">
        <v>461</v>
      </c>
      <c r="E693" s="115" t="s">
        <v>111</v>
      </c>
      <c r="F693" s="116">
        <v>99.8506</v>
      </c>
      <c r="G693" s="116">
        <v>99.8506</v>
      </c>
      <c r="H693" s="116">
        <v>11.798</v>
      </c>
      <c r="I693" s="113">
        <v>1204</v>
      </c>
      <c r="J693" s="115" t="s">
        <v>271</v>
      </c>
    </row>
    <row r="694" spans="1:10" x14ac:dyDescent="0.25">
      <c r="A694" s="113">
        <v>691</v>
      </c>
      <c r="B694" s="114" t="s">
        <v>329</v>
      </c>
      <c r="C694" s="115" t="s">
        <v>330</v>
      </c>
      <c r="D694" s="115" t="s">
        <v>461</v>
      </c>
      <c r="E694" s="115" t="s">
        <v>111</v>
      </c>
      <c r="F694" s="116">
        <v>99.913499999999999</v>
      </c>
      <c r="G694" s="116">
        <v>99.913499999999999</v>
      </c>
      <c r="H694" s="116">
        <v>11.798</v>
      </c>
      <c r="I694" s="113">
        <v>1383</v>
      </c>
      <c r="J694" s="115" t="s">
        <v>271</v>
      </c>
    </row>
    <row r="695" spans="1:10" x14ac:dyDescent="0.25">
      <c r="A695" s="113">
        <v>692</v>
      </c>
      <c r="B695" s="114" t="s">
        <v>331</v>
      </c>
      <c r="C695" s="115" t="s">
        <v>332</v>
      </c>
      <c r="D695" s="115" t="s">
        <v>461</v>
      </c>
      <c r="E695" s="115" t="s">
        <v>111</v>
      </c>
      <c r="F695" s="116">
        <v>99.839100000000002</v>
      </c>
      <c r="G695" s="116">
        <v>99.839100000000002</v>
      </c>
      <c r="H695" s="116">
        <v>11.798</v>
      </c>
      <c r="I695" s="113">
        <v>1592</v>
      </c>
      <c r="J695" s="115" t="s">
        <v>271</v>
      </c>
    </row>
    <row r="696" spans="1:10" x14ac:dyDescent="0.25">
      <c r="A696" s="113">
        <v>693</v>
      </c>
      <c r="B696" s="114" t="s">
        <v>333</v>
      </c>
      <c r="C696" s="115" t="s">
        <v>334</v>
      </c>
      <c r="D696" s="115" t="s">
        <v>461</v>
      </c>
      <c r="E696" s="115" t="s">
        <v>111</v>
      </c>
      <c r="F696" s="116">
        <v>99.944400000000002</v>
      </c>
      <c r="G696" s="116">
        <v>99.944400000000002</v>
      </c>
      <c r="H696" s="116">
        <v>11.798</v>
      </c>
      <c r="I696" s="113">
        <v>1833</v>
      </c>
      <c r="J696" s="115" t="s">
        <v>271</v>
      </c>
    </row>
    <row r="697" spans="1:10" x14ac:dyDescent="0.25">
      <c r="A697" s="113">
        <v>694</v>
      </c>
      <c r="B697" s="114" t="s">
        <v>335</v>
      </c>
      <c r="C697" s="115" t="s">
        <v>336</v>
      </c>
      <c r="D697" s="115" t="s">
        <v>461</v>
      </c>
      <c r="E697" s="115" t="s">
        <v>111</v>
      </c>
      <c r="F697" s="116">
        <v>99.947400000000002</v>
      </c>
      <c r="G697" s="116">
        <v>99.947400000000002</v>
      </c>
      <c r="H697" s="116">
        <v>11.798</v>
      </c>
      <c r="I697" s="113">
        <v>2191</v>
      </c>
      <c r="J697" s="115" t="s">
        <v>271</v>
      </c>
    </row>
    <row r="698" spans="1:10" x14ac:dyDescent="0.25">
      <c r="A698" s="113">
        <v>695</v>
      </c>
      <c r="B698" s="114" t="s">
        <v>337</v>
      </c>
      <c r="C698" s="115" t="s">
        <v>338</v>
      </c>
      <c r="D698" s="115" t="s">
        <v>461</v>
      </c>
      <c r="E698" s="115" t="s">
        <v>111</v>
      </c>
      <c r="F698" s="116">
        <v>99.851200000000006</v>
      </c>
      <c r="G698" s="116">
        <v>99.851200000000006</v>
      </c>
      <c r="H698" s="116">
        <v>11.798</v>
      </c>
      <c r="I698" s="113">
        <v>2283</v>
      </c>
      <c r="J698" s="115" t="s">
        <v>271</v>
      </c>
    </row>
    <row r="699" spans="1:10" x14ac:dyDescent="0.25">
      <c r="A699" s="113">
        <v>696</v>
      </c>
      <c r="B699" s="114" t="s">
        <v>136</v>
      </c>
      <c r="C699" s="115" t="s">
        <v>137</v>
      </c>
      <c r="D699" s="115" t="s">
        <v>461</v>
      </c>
      <c r="E699" s="115" t="s">
        <v>111</v>
      </c>
      <c r="F699" s="116">
        <v>91.075000000000003</v>
      </c>
      <c r="G699" s="116">
        <v>93.877200000000002</v>
      </c>
      <c r="H699" s="116">
        <v>16.64</v>
      </c>
      <c r="I699" s="113">
        <v>623</v>
      </c>
      <c r="J699" s="115" t="s">
        <v>271</v>
      </c>
    </row>
    <row r="700" spans="1:10" x14ac:dyDescent="0.25">
      <c r="A700" s="113">
        <v>697</v>
      </c>
      <c r="B700" s="114" t="s">
        <v>138</v>
      </c>
      <c r="C700" s="115" t="s">
        <v>139</v>
      </c>
      <c r="D700" s="115" t="s">
        <v>461</v>
      </c>
      <c r="E700" s="115" t="s">
        <v>111</v>
      </c>
      <c r="F700" s="116">
        <v>96.146600000000007</v>
      </c>
      <c r="G700" s="116">
        <v>103.4991</v>
      </c>
      <c r="H700" s="116">
        <v>16.72</v>
      </c>
      <c r="I700" s="113">
        <v>1267</v>
      </c>
      <c r="J700" s="115" t="s">
        <v>271</v>
      </c>
    </row>
    <row r="701" spans="1:10" x14ac:dyDescent="0.25">
      <c r="A701" s="113">
        <v>698</v>
      </c>
      <c r="B701" s="114" t="s">
        <v>140</v>
      </c>
      <c r="C701" s="115" t="s">
        <v>141</v>
      </c>
      <c r="D701" s="115" t="s">
        <v>461</v>
      </c>
      <c r="E701" s="115" t="s">
        <v>111</v>
      </c>
      <c r="F701" s="116">
        <v>85.517899999999997</v>
      </c>
      <c r="G701" s="116">
        <v>91.151200000000003</v>
      </c>
      <c r="H701" s="116">
        <v>16.73</v>
      </c>
      <c r="I701" s="113">
        <v>1631</v>
      </c>
      <c r="J701" s="115" t="s">
        <v>271</v>
      </c>
    </row>
    <row r="702" spans="1:10" x14ac:dyDescent="0.25">
      <c r="A702" s="113">
        <v>699</v>
      </c>
      <c r="B702" s="114" t="s">
        <v>142</v>
      </c>
      <c r="C702" s="115" t="s">
        <v>6</v>
      </c>
      <c r="D702" s="115" t="s">
        <v>461</v>
      </c>
      <c r="E702" s="115" t="s">
        <v>111</v>
      </c>
      <c r="F702" s="116">
        <v>87.203900000000004</v>
      </c>
      <c r="G702" s="116">
        <v>91.075000000000003</v>
      </c>
      <c r="H702" s="116">
        <v>16.71</v>
      </c>
      <c r="I702" s="113">
        <v>946</v>
      </c>
      <c r="J702" s="115" t="s">
        <v>271</v>
      </c>
    </row>
    <row r="703" spans="1:10" x14ac:dyDescent="0.25">
      <c r="A703" s="113">
        <v>700</v>
      </c>
      <c r="B703" s="114" t="s">
        <v>143</v>
      </c>
      <c r="C703" s="115" t="s">
        <v>144</v>
      </c>
      <c r="D703" s="115" t="s">
        <v>461</v>
      </c>
      <c r="E703" s="115" t="s">
        <v>111</v>
      </c>
      <c r="F703" s="116">
        <v>83.480599999999995</v>
      </c>
      <c r="G703" s="116">
        <v>89.613900000000001</v>
      </c>
      <c r="H703" s="116">
        <v>16.77</v>
      </c>
      <c r="I703" s="113">
        <v>1976</v>
      </c>
      <c r="J703" s="115" t="s">
        <v>271</v>
      </c>
    </row>
    <row r="704" spans="1:10" x14ac:dyDescent="0.25">
      <c r="A704" s="113">
        <v>701</v>
      </c>
      <c r="B704" s="114" t="s">
        <v>2065</v>
      </c>
      <c r="C704" s="115" t="s">
        <v>2066</v>
      </c>
      <c r="D704" s="115" t="s">
        <v>461</v>
      </c>
      <c r="E704" s="115" t="s">
        <v>111</v>
      </c>
      <c r="F704" s="116">
        <v>91.56</v>
      </c>
      <c r="G704" s="116">
        <v>98.454400000000007</v>
      </c>
      <c r="H704" s="116">
        <v>16.75</v>
      </c>
      <c r="I704" s="113">
        <v>2350</v>
      </c>
      <c r="J704" s="115" t="s">
        <v>271</v>
      </c>
    </row>
    <row r="705" spans="1:10" x14ac:dyDescent="0.25">
      <c r="A705" s="113">
        <v>702</v>
      </c>
      <c r="B705" s="114" t="s">
        <v>145</v>
      </c>
      <c r="C705" s="115" t="s">
        <v>146</v>
      </c>
      <c r="D705" s="115" t="s">
        <v>461</v>
      </c>
      <c r="E705" s="115" t="s">
        <v>111</v>
      </c>
      <c r="F705" s="116">
        <v>85.385300000000001</v>
      </c>
      <c r="G705" s="116">
        <v>94.081199999999995</v>
      </c>
      <c r="H705" s="116">
        <v>16.73</v>
      </c>
      <c r="I705" s="113">
        <v>1141</v>
      </c>
      <c r="J705" s="115" t="s">
        <v>271</v>
      </c>
    </row>
    <row r="706" spans="1:10" x14ac:dyDescent="0.25">
      <c r="A706" s="113">
        <v>703</v>
      </c>
      <c r="B706" s="114" t="s">
        <v>147</v>
      </c>
      <c r="C706" s="115" t="s">
        <v>8</v>
      </c>
      <c r="D706" s="115" t="s">
        <v>461</v>
      </c>
      <c r="E706" s="115" t="s">
        <v>111</v>
      </c>
      <c r="F706" s="116">
        <v>83.138800000000003</v>
      </c>
      <c r="G706" s="116">
        <v>83.959400000000002</v>
      </c>
      <c r="H706" s="116">
        <v>16.73</v>
      </c>
      <c r="I706" s="113">
        <v>1412</v>
      </c>
      <c r="J706" s="115" t="s">
        <v>271</v>
      </c>
    </row>
    <row r="707" spans="1:10" x14ac:dyDescent="0.25">
      <c r="A707" s="113">
        <v>704</v>
      </c>
      <c r="B707" s="114" t="s">
        <v>148</v>
      </c>
      <c r="C707" s="115" t="s">
        <v>149</v>
      </c>
      <c r="D707" s="115" t="s">
        <v>461</v>
      </c>
      <c r="E707" s="115" t="s">
        <v>111</v>
      </c>
      <c r="F707" s="116">
        <v>82.681200000000004</v>
      </c>
      <c r="G707" s="116">
        <v>88.853399999999993</v>
      </c>
      <c r="H707" s="116">
        <v>16.77</v>
      </c>
      <c r="I707" s="113">
        <v>1598</v>
      </c>
      <c r="J707" s="115" t="s">
        <v>271</v>
      </c>
    </row>
    <row r="708" spans="1:10" x14ac:dyDescent="0.25">
      <c r="A708" s="113">
        <v>705</v>
      </c>
      <c r="B708" s="114" t="s">
        <v>150</v>
      </c>
      <c r="C708" s="115" t="s">
        <v>151</v>
      </c>
      <c r="D708" s="115" t="s">
        <v>461</v>
      </c>
      <c r="E708" s="115" t="s">
        <v>111</v>
      </c>
      <c r="F708" s="116">
        <v>90.168400000000005</v>
      </c>
      <c r="G708" s="116">
        <v>94.212800000000001</v>
      </c>
      <c r="H708" s="116">
        <v>16.739999999999998</v>
      </c>
      <c r="I708" s="113">
        <v>2056</v>
      </c>
      <c r="J708" s="115" t="s">
        <v>271</v>
      </c>
    </row>
    <row r="709" spans="1:10" x14ac:dyDescent="0.25">
      <c r="A709" s="113">
        <v>706</v>
      </c>
      <c r="B709" s="114" t="s">
        <v>2242</v>
      </c>
      <c r="C709" s="115" t="s">
        <v>2243</v>
      </c>
      <c r="D709" s="115" t="s">
        <v>461</v>
      </c>
      <c r="E709" s="115" t="s">
        <v>111</v>
      </c>
      <c r="F709" s="116">
        <v>90.1511</v>
      </c>
      <c r="G709" s="116">
        <v>93.402299999999997</v>
      </c>
      <c r="H709" s="116">
        <v>16.760000000000002</v>
      </c>
      <c r="I709" s="113">
        <v>2799</v>
      </c>
      <c r="J709" s="115" t="s">
        <v>271</v>
      </c>
    </row>
    <row r="710" spans="1:10" x14ac:dyDescent="0.25">
      <c r="A710" s="113">
        <v>707</v>
      </c>
      <c r="B710" s="114" t="s">
        <v>152</v>
      </c>
      <c r="C710" s="115" t="s">
        <v>153</v>
      </c>
      <c r="D710" s="115" t="s">
        <v>461</v>
      </c>
      <c r="E710" s="115" t="s">
        <v>111</v>
      </c>
      <c r="F710" s="116">
        <v>94.420299999999997</v>
      </c>
      <c r="G710" s="116">
        <v>95.76</v>
      </c>
      <c r="H710" s="116">
        <v>16.52</v>
      </c>
      <c r="I710" s="113">
        <v>307</v>
      </c>
      <c r="J710" s="115" t="s">
        <v>271</v>
      </c>
    </row>
    <row r="711" spans="1:10" x14ac:dyDescent="0.25">
      <c r="A711" s="113">
        <v>708</v>
      </c>
      <c r="B711" s="114" t="s">
        <v>154</v>
      </c>
      <c r="C711" s="115" t="s">
        <v>7</v>
      </c>
      <c r="D711" s="115" t="s">
        <v>461</v>
      </c>
      <c r="E711" s="115" t="s">
        <v>111</v>
      </c>
      <c r="F711" s="116">
        <v>85.178600000000003</v>
      </c>
      <c r="G711" s="116">
        <v>89.639700000000005</v>
      </c>
      <c r="H711" s="116">
        <v>16.73</v>
      </c>
      <c r="I711" s="113">
        <v>1294</v>
      </c>
      <c r="J711" s="115" t="s">
        <v>271</v>
      </c>
    </row>
    <row r="712" spans="1:10" x14ac:dyDescent="0.25">
      <c r="A712" s="113">
        <v>709</v>
      </c>
      <c r="B712" s="114" t="s">
        <v>155</v>
      </c>
      <c r="C712" s="115" t="s">
        <v>156</v>
      </c>
      <c r="D712" s="115" t="s">
        <v>461</v>
      </c>
      <c r="E712" s="115" t="s">
        <v>111</v>
      </c>
      <c r="F712" s="116">
        <v>89.159499999999994</v>
      </c>
      <c r="G712" s="116">
        <v>92.931700000000006</v>
      </c>
      <c r="H712" s="116">
        <v>16.75</v>
      </c>
      <c r="I712" s="113">
        <v>2423</v>
      </c>
      <c r="J712" s="115" t="s">
        <v>271</v>
      </c>
    </row>
    <row r="713" spans="1:10" x14ac:dyDescent="0.25">
      <c r="A713" s="113">
        <v>710</v>
      </c>
      <c r="B713" s="114" t="s">
        <v>2067</v>
      </c>
      <c r="C713" s="115" t="s">
        <v>2068</v>
      </c>
      <c r="D713" s="115" t="s">
        <v>461</v>
      </c>
      <c r="E713" s="115" t="s">
        <v>111</v>
      </c>
      <c r="F713" s="116">
        <v>89.857399999999998</v>
      </c>
      <c r="G713" s="116">
        <v>96.704599999999999</v>
      </c>
      <c r="H713" s="116">
        <v>16.75</v>
      </c>
      <c r="I713" s="113">
        <v>3070</v>
      </c>
      <c r="J713" s="115" t="s">
        <v>271</v>
      </c>
    </row>
    <row r="714" spans="1:10" x14ac:dyDescent="0.25">
      <c r="A714" s="113">
        <v>711</v>
      </c>
      <c r="B714" s="114" t="s">
        <v>157</v>
      </c>
      <c r="C714" s="115" t="s">
        <v>158</v>
      </c>
      <c r="D714" s="115" t="s">
        <v>461</v>
      </c>
      <c r="E714" s="115" t="s">
        <v>111</v>
      </c>
      <c r="F714" s="116">
        <v>90.228700000000003</v>
      </c>
      <c r="G714" s="116">
        <v>94.478700000000003</v>
      </c>
      <c r="H714" s="116">
        <v>16.62</v>
      </c>
      <c r="I714" s="113">
        <v>550</v>
      </c>
      <c r="J714" s="115" t="s">
        <v>271</v>
      </c>
    </row>
    <row r="715" spans="1:10" x14ac:dyDescent="0.25">
      <c r="A715" s="113">
        <v>712</v>
      </c>
      <c r="B715" s="114" t="s">
        <v>159</v>
      </c>
      <c r="C715" s="115" t="s">
        <v>160</v>
      </c>
      <c r="D715" s="115" t="s">
        <v>461</v>
      </c>
      <c r="E715" s="115" t="s">
        <v>111</v>
      </c>
      <c r="F715" s="116">
        <v>88.491799999999998</v>
      </c>
      <c r="G715" s="116">
        <v>89.816800000000001</v>
      </c>
      <c r="H715" s="116">
        <v>16.66</v>
      </c>
      <c r="I715" s="113">
        <v>667</v>
      </c>
      <c r="J715" s="115" t="s">
        <v>271</v>
      </c>
    </row>
    <row r="716" spans="1:10" x14ac:dyDescent="0.25">
      <c r="A716" s="113">
        <v>713</v>
      </c>
      <c r="B716" s="114" t="s">
        <v>161</v>
      </c>
      <c r="C716" s="115" t="s">
        <v>9</v>
      </c>
      <c r="D716" s="115" t="s">
        <v>461</v>
      </c>
      <c r="E716" s="115" t="s">
        <v>111</v>
      </c>
      <c r="F716" s="116">
        <v>77.606499999999997</v>
      </c>
      <c r="G716" s="116">
        <v>82.155699999999996</v>
      </c>
      <c r="H716" s="116">
        <v>16.739999999999998</v>
      </c>
      <c r="I716" s="113">
        <v>2001</v>
      </c>
      <c r="J716" s="115" t="s">
        <v>271</v>
      </c>
    </row>
    <row r="717" spans="1:10" x14ac:dyDescent="0.25">
      <c r="A717" s="113">
        <v>714</v>
      </c>
      <c r="B717" s="114" t="s">
        <v>2040</v>
      </c>
      <c r="C717" s="115" t="s">
        <v>2041</v>
      </c>
      <c r="D717" s="115" t="s">
        <v>461</v>
      </c>
      <c r="E717" s="115" t="s">
        <v>111</v>
      </c>
      <c r="F717" s="116">
        <v>86.992000000000004</v>
      </c>
      <c r="G717" s="116">
        <v>94.497600000000006</v>
      </c>
      <c r="H717" s="116">
        <v>16.78</v>
      </c>
      <c r="I717" s="113">
        <v>3407</v>
      </c>
      <c r="J717" s="115" t="s">
        <v>271</v>
      </c>
    </row>
    <row r="718" spans="1:10" x14ac:dyDescent="0.25">
      <c r="A718" s="113">
        <v>715</v>
      </c>
      <c r="B718" s="114" t="s">
        <v>162</v>
      </c>
      <c r="C718" s="115" t="s">
        <v>11</v>
      </c>
      <c r="D718" s="115" t="s">
        <v>461</v>
      </c>
      <c r="E718" s="115" t="s">
        <v>111</v>
      </c>
      <c r="F718" s="116">
        <v>75.979699999999994</v>
      </c>
      <c r="G718" s="116">
        <v>76.867199999999997</v>
      </c>
      <c r="H718" s="116">
        <v>16.760000000000002</v>
      </c>
      <c r="I718" s="113">
        <v>2490</v>
      </c>
      <c r="J718" s="115" t="s">
        <v>271</v>
      </c>
    </row>
    <row r="719" spans="1:10" x14ac:dyDescent="0.25">
      <c r="A719" s="113">
        <v>716</v>
      </c>
      <c r="B719" s="114" t="s">
        <v>163</v>
      </c>
      <c r="C719" s="115" t="s">
        <v>164</v>
      </c>
      <c r="D719" s="115" t="s">
        <v>461</v>
      </c>
      <c r="E719" s="115" t="s">
        <v>111</v>
      </c>
      <c r="F719" s="116">
        <v>74.259699999999995</v>
      </c>
      <c r="G719" s="116">
        <v>74.348799999999997</v>
      </c>
      <c r="H719" s="116">
        <v>16.760000000000002</v>
      </c>
      <c r="I719" s="113">
        <v>2877</v>
      </c>
      <c r="J719" s="115" t="s">
        <v>271</v>
      </c>
    </row>
    <row r="720" spans="1:10" x14ac:dyDescent="0.25">
      <c r="A720" s="113">
        <v>717</v>
      </c>
      <c r="B720" s="114" t="s">
        <v>165</v>
      </c>
      <c r="C720" s="115" t="s">
        <v>166</v>
      </c>
      <c r="D720" s="115" t="s">
        <v>461</v>
      </c>
      <c r="E720" s="115" t="s">
        <v>111</v>
      </c>
      <c r="F720" s="116">
        <v>86.438599999999994</v>
      </c>
      <c r="G720" s="116">
        <v>87.808099999999996</v>
      </c>
      <c r="H720" s="116">
        <v>16.670000000000002</v>
      </c>
      <c r="I720" s="113">
        <v>654</v>
      </c>
      <c r="J720" s="115" t="s">
        <v>271</v>
      </c>
    </row>
    <row r="721" spans="1:10" x14ac:dyDescent="0.25">
      <c r="A721" s="113">
        <v>718</v>
      </c>
      <c r="B721" s="114" t="s">
        <v>167</v>
      </c>
      <c r="C721" s="115" t="s">
        <v>168</v>
      </c>
      <c r="D721" s="115" t="s">
        <v>461</v>
      </c>
      <c r="E721" s="115" t="s">
        <v>111</v>
      </c>
      <c r="F721" s="116">
        <v>70.766800000000003</v>
      </c>
      <c r="G721" s="116">
        <v>73.251900000000006</v>
      </c>
      <c r="H721" s="116">
        <v>16.75</v>
      </c>
      <c r="I721" s="113">
        <v>2054</v>
      </c>
      <c r="J721" s="115" t="s">
        <v>271</v>
      </c>
    </row>
    <row r="722" spans="1:10" x14ac:dyDescent="0.25">
      <c r="A722" s="113">
        <v>719</v>
      </c>
      <c r="B722" s="114" t="s">
        <v>169</v>
      </c>
      <c r="C722" s="115" t="s">
        <v>170</v>
      </c>
      <c r="D722" s="115" t="s">
        <v>461</v>
      </c>
      <c r="E722" s="115" t="s">
        <v>111</v>
      </c>
      <c r="F722" s="116">
        <v>70.781700000000001</v>
      </c>
      <c r="G722" s="116">
        <v>76.094700000000003</v>
      </c>
      <c r="H722" s="116">
        <v>16.78</v>
      </c>
      <c r="I722" s="113">
        <v>3051</v>
      </c>
      <c r="J722" s="115" t="s">
        <v>271</v>
      </c>
    </row>
    <row r="723" spans="1:10" x14ac:dyDescent="0.25">
      <c r="A723" s="113">
        <v>720</v>
      </c>
      <c r="B723" s="114" t="s">
        <v>2214</v>
      </c>
      <c r="C723" s="115" t="s">
        <v>2215</v>
      </c>
      <c r="D723" s="115" t="s">
        <v>461</v>
      </c>
      <c r="E723" s="115" t="s">
        <v>111</v>
      </c>
      <c r="F723" s="116">
        <v>86.1143</v>
      </c>
      <c r="G723" s="116">
        <v>89.796000000000006</v>
      </c>
      <c r="H723" s="116">
        <v>16.760000000000002</v>
      </c>
      <c r="I723" s="113">
        <v>4586</v>
      </c>
      <c r="J723" s="115" t="s">
        <v>271</v>
      </c>
    </row>
    <row r="724" spans="1:10" x14ac:dyDescent="0.25">
      <c r="A724" s="113">
        <v>721</v>
      </c>
      <c r="B724" s="114" t="s">
        <v>171</v>
      </c>
      <c r="C724" s="115" t="s">
        <v>172</v>
      </c>
      <c r="D724" s="115" t="s">
        <v>461</v>
      </c>
      <c r="E724" s="115" t="s">
        <v>111</v>
      </c>
      <c r="F724" s="116">
        <v>98.932400000000001</v>
      </c>
      <c r="G724" s="116">
        <v>103.5531</v>
      </c>
      <c r="H724" s="116">
        <v>16.059999999999999</v>
      </c>
      <c r="I724" s="113">
        <v>37</v>
      </c>
      <c r="J724" s="115" t="s">
        <v>271</v>
      </c>
    </row>
    <row r="725" spans="1:10" x14ac:dyDescent="0.25">
      <c r="A725" s="113">
        <v>722</v>
      </c>
      <c r="B725" s="114" t="s">
        <v>173</v>
      </c>
      <c r="C725" s="115" t="s">
        <v>174</v>
      </c>
      <c r="D725" s="115" t="s">
        <v>461</v>
      </c>
      <c r="E725" s="115" t="s">
        <v>111</v>
      </c>
      <c r="F725" s="116">
        <v>97.651399999999995</v>
      </c>
      <c r="G725" s="116">
        <v>101.5403</v>
      </c>
      <c r="H725" s="116">
        <v>16.27</v>
      </c>
      <c r="I725" s="113">
        <v>80</v>
      </c>
      <c r="J725" s="115" t="s">
        <v>271</v>
      </c>
    </row>
    <row r="726" spans="1:10" x14ac:dyDescent="0.25">
      <c r="A726" s="113">
        <v>723</v>
      </c>
      <c r="B726" s="114" t="s">
        <v>175</v>
      </c>
      <c r="C726" s="115" t="s">
        <v>10</v>
      </c>
      <c r="D726" s="115" t="s">
        <v>461</v>
      </c>
      <c r="E726" s="115" t="s">
        <v>111</v>
      </c>
      <c r="F726" s="116">
        <v>67.992400000000004</v>
      </c>
      <c r="G726" s="116">
        <v>71.043800000000005</v>
      </c>
      <c r="H726" s="116">
        <v>16.760000000000002</v>
      </c>
      <c r="I726" s="113">
        <v>2390</v>
      </c>
      <c r="J726" s="115" t="s">
        <v>271</v>
      </c>
    </row>
    <row r="727" spans="1:10" x14ac:dyDescent="0.25">
      <c r="A727" s="113">
        <v>724</v>
      </c>
      <c r="B727" s="114" t="s">
        <v>176</v>
      </c>
      <c r="C727" s="115" t="s">
        <v>177</v>
      </c>
      <c r="D727" s="115" t="s">
        <v>461</v>
      </c>
      <c r="E727" s="115" t="s">
        <v>111</v>
      </c>
      <c r="F727" s="116">
        <v>69.824399999999997</v>
      </c>
      <c r="G727" s="116">
        <v>74.550799999999995</v>
      </c>
      <c r="H727" s="116">
        <v>16.760000000000002</v>
      </c>
      <c r="I727" s="113">
        <v>3434</v>
      </c>
      <c r="J727" s="115" t="s">
        <v>271</v>
      </c>
    </row>
    <row r="728" spans="1:10" x14ac:dyDescent="0.25">
      <c r="A728" s="113">
        <v>725</v>
      </c>
      <c r="B728" s="114" t="s">
        <v>178</v>
      </c>
      <c r="C728" s="115" t="s">
        <v>179</v>
      </c>
      <c r="D728" s="115" t="s">
        <v>461</v>
      </c>
      <c r="E728" s="115" t="s">
        <v>111</v>
      </c>
      <c r="F728" s="116">
        <v>97.548599999999993</v>
      </c>
      <c r="G728" s="116">
        <v>101.77970000000001</v>
      </c>
      <c r="H728" s="116">
        <v>16.27</v>
      </c>
      <c r="I728" s="113">
        <v>88</v>
      </c>
      <c r="J728" s="115" t="s">
        <v>271</v>
      </c>
    </row>
    <row r="729" spans="1:10" x14ac:dyDescent="0.25">
      <c r="A729" s="113">
        <v>726</v>
      </c>
      <c r="B729" s="114" t="s">
        <v>180</v>
      </c>
      <c r="C729" s="115" t="s">
        <v>181</v>
      </c>
      <c r="D729" s="115" t="s">
        <v>461</v>
      </c>
      <c r="E729" s="115" t="s">
        <v>111</v>
      </c>
      <c r="F729" s="116">
        <v>90.684600000000003</v>
      </c>
      <c r="G729" s="116">
        <v>90.806799999999996</v>
      </c>
      <c r="H729" s="116">
        <v>16.579999999999998</v>
      </c>
      <c r="I729" s="113">
        <v>352</v>
      </c>
      <c r="J729" s="115" t="s">
        <v>271</v>
      </c>
    </row>
    <row r="730" spans="1:10" x14ac:dyDescent="0.25">
      <c r="A730" s="113">
        <v>727</v>
      </c>
      <c r="B730" s="114" t="s">
        <v>182</v>
      </c>
      <c r="C730" s="115" t="s">
        <v>183</v>
      </c>
      <c r="D730" s="115" t="s">
        <v>461</v>
      </c>
      <c r="E730" s="115" t="s">
        <v>111</v>
      </c>
      <c r="F730" s="116">
        <v>87.753799999999998</v>
      </c>
      <c r="G730" s="116">
        <v>91.545500000000004</v>
      </c>
      <c r="H730" s="116">
        <v>16.649999999999999</v>
      </c>
      <c r="I730" s="113">
        <v>447</v>
      </c>
      <c r="J730" s="115" t="s">
        <v>271</v>
      </c>
    </row>
    <row r="731" spans="1:10" x14ac:dyDescent="0.25">
      <c r="A731" s="113">
        <v>728</v>
      </c>
      <c r="B731" s="114" t="s">
        <v>184</v>
      </c>
      <c r="C731" s="115" t="s">
        <v>5</v>
      </c>
      <c r="D731" s="115" t="s">
        <v>461</v>
      </c>
      <c r="E731" s="115" t="s">
        <v>111</v>
      </c>
      <c r="F731" s="116">
        <v>85.404700000000005</v>
      </c>
      <c r="G731" s="116">
        <v>87.677000000000007</v>
      </c>
      <c r="H731" s="116">
        <v>16.62</v>
      </c>
      <c r="I731" s="113">
        <v>571</v>
      </c>
      <c r="J731" s="115" t="s">
        <v>271</v>
      </c>
    </row>
    <row r="732" spans="1:10" x14ac:dyDescent="0.25">
      <c r="A732" s="113">
        <v>729</v>
      </c>
      <c r="B732" s="114" t="s">
        <v>185</v>
      </c>
      <c r="C732" s="115" t="s">
        <v>186</v>
      </c>
      <c r="D732" s="115" t="s">
        <v>461</v>
      </c>
      <c r="E732" s="115" t="s">
        <v>111</v>
      </c>
      <c r="F732" s="116">
        <v>81.673900000000003</v>
      </c>
      <c r="G732" s="116">
        <v>86.828400000000002</v>
      </c>
      <c r="H732" s="116">
        <v>16.7</v>
      </c>
      <c r="I732" s="113">
        <v>742</v>
      </c>
      <c r="J732" s="115" t="s">
        <v>271</v>
      </c>
    </row>
    <row r="733" spans="1:10" x14ac:dyDescent="0.25">
      <c r="A733" s="113">
        <v>730</v>
      </c>
      <c r="B733" s="114" t="s">
        <v>187</v>
      </c>
      <c r="C733" s="115" t="s">
        <v>188</v>
      </c>
      <c r="D733" s="115" t="s">
        <v>461</v>
      </c>
      <c r="E733" s="115" t="s">
        <v>111</v>
      </c>
      <c r="F733" s="116">
        <v>82.613900000000001</v>
      </c>
      <c r="G733" s="116">
        <v>88.066699999999997</v>
      </c>
      <c r="H733" s="116">
        <v>16.690000000000001</v>
      </c>
      <c r="I733" s="113">
        <v>778</v>
      </c>
      <c r="J733" s="115" t="s">
        <v>271</v>
      </c>
    </row>
    <row r="734" spans="1:10" x14ac:dyDescent="0.25">
      <c r="A734" s="113">
        <v>731</v>
      </c>
      <c r="B734" s="114" t="s">
        <v>189</v>
      </c>
      <c r="C734" s="115" t="s">
        <v>190</v>
      </c>
      <c r="D734" s="115" t="s">
        <v>461</v>
      </c>
      <c r="E734" s="115" t="s">
        <v>111</v>
      </c>
      <c r="F734" s="116">
        <v>77.1952</v>
      </c>
      <c r="G734" s="116">
        <v>82.329400000000007</v>
      </c>
      <c r="H734" s="116">
        <v>16.739999999999998</v>
      </c>
      <c r="I734" s="113">
        <v>1184</v>
      </c>
      <c r="J734" s="115" t="s">
        <v>271</v>
      </c>
    </row>
    <row r="735" spans="1:10" x14ac:dyDescent="0.25">
      <c r="A735" s="113">
        <v>732</v>
      </c>
      <c r="B735" s="114" t="s">
        <v>191</v>
      </c>
      <c r="C735" s="115" t="s">
        <v>192</v>
      </c>
      <c r="D735" s="115" t="s">
        <v>461</v>
      </c>
      <c r="E735" s="115" t="s">
        <v>111</v>
      </c>
      <c r="F735" s="116">
        <v>75.150199999999998</v>
      </c>
      <c r="G735" s="116">
        <v>75.427499999999995</v>
      </c>
      <c r="H735" s="116">
        <v>16.75</v>
      </c>
      <c r="I735" s="113">
        <v>1427</v>
      </c>
      <c r="J735" s="115" t="s">
        <v>271</v>
      </c>
    </row>
    <row r="736" spans="1:10" x14ac:dyDescent="0.25">
      <c r="A736" s="113">
        <v>733</v>
      </c>
      <c r="B736" s="114" t="s">
        <v>193</v>
      </c>
      <c r="C736" s="115" t="s">
        <v>194</v>
      </c>
      <c r="D736" s="115" t="s">
        <v>461</v>
      </c>
      <c r="E736" s="115" t="s">
        <v>111</v>
      </c>
      <c r="F736" s="116">
        <v>72.889399999999995</v>
      </c>
      <c r="G736" s="116">
        <v>77.198700000000002</v>
      </c>
      <c r="H736" s="116">
        <v>16.77</v>
      </c>
      <c r="I736" s="113">
        <v>1598</v>
      </c>
      <c r="J736" s="115" t="s">
        <v>271</v>
      </c>
    </row>
    <row r="737" spans="1:10" x14ac:dyDescent="0.25">
      <c r="A737" s="113">
        <v>734</v>
      </c>
      <c r="B737" s="114" t="s">
        <v>195</v>
      </c>
      <c r="C737" s="115" t="s">
        <v>196</v>
      </c>
      <c r="D737" s="115" t="s">
        <v>461</v>
      </c>
      <c r="E737" s="115" t="s">
        <v>111</v>
      </c>
      <c r="F737" s="116">
        <v>66.373699999999999</v>
      </c>
      <c r="G737" s="116">
        <v>69.789599999999993</v>
      </c>
      <c r="H737" s="116">
        <v>16.760000000000002</v>
      </c>
      <c r="I737" s="113">
        <v>2738</v>
      </c>
      <c r="J737" s="115" t="s">
        <v>271</v>
      </c>
    </row>
    <row r="738" spans="1:10" x14ac:dyDescent="0.25">
      <c r="A738" s="113">
        <v>735</v>
      </c>
      <c r="B738" s="114" t="s">
        <v>197</v>
      </c>
      <c r="C738" s="115" t="s">
        <v>198</v>
      </c>
      <c r="D738" s="115" t="s">
        <v>461</v>
      </c>
      <c r="E738" s="115" t="s">
        <v>111</v>
      </c>
      <c r="F738" s="116">
        <v>65.442899999999995</v>
      </c>
      <c r="G738" s="116">
        <v>68.333399999999997</v>
      </c>
      <c r="H738" s="116">
        <v>16.760000000000002</v>
      </c>
      <c r="I738" s="113">
        <v>2757</v>
      </c>
      <c r="J738" s="115" t="s">
        <v>271</v>
      </c>
    </row>
    <row r="739" spans="1:10" x14ac:dyDescent="0.25">
      <c r="A739" s="113">
        <v>736</v>
      </c>
      <c r="B739" s="114" t="s">
        <v>199</v>
      </c>
      <c r="C739" s="115" t="s">
        <v>200</v>
      </c>
      <c r="D739" s="115" t="s">
        <v>461</v>
      </c>
      <c r="E739" s="115" t="s">
        <v>111</v>
      </c>
      <c r="F739" s="116">
        <v>70.772999999999996</v>
      </c>
      <c r="G739" s="116">
        <v>70.802899999999994</v>
      </c>
      <c r="H739" s="116">
        <v>16.77</v>
      </c>
      <c r="I739" s="113">
        <v>3959</v>
      </c>
      <c r="J739" s="115" t="s">
        <v>271</v>
      </c>
    </row>
    <row r="740" spans="1:10" x14ac:dyDescent="0.25">
      <c r="A740" s="113">
        <v>737</v>
      </c>
      <c r="B740" s="114" t="s">
        <v>201</v>
      </c>
      <c r="C740" s="115" t="s">
        <v>202</v>
      </c>
      <c r="D740" s="115" t="s">
        <v>461</v>
      </c>
      <c r="E740" s="115" t="s">
        <v>111</v>
      </c>
      <c r="F740" s="116">
        <v>71.470500000000001</v>
      </c>
      <c r="G740" s="116">
        <v>77.854900000000001</v>
      </c>
      <c r="H740" s="116">
        <v>16.77</v>
      </c>
      <c r="I740" s="113">
        <v>4112</v>
      </c>
      <c r="J740" s="115" t="s">
        <v>271</v>
      </c>
    </row>
    <row r="741" spans="1:10" x14ac:dyDescent="0.25">
      <c r="A741" s="113">
        <v>738</v>
      </c>
      <c r="B741" s="114" t="s">
        <v>203</v>
      </c>
      <c r="C741" s="115" t="s">
        <v>204</v>
      </c>
      <c r="D741" s="115" t="s">
        <v>461</v>
      </c>
      <c r="E741" s="115" t="s">
        <v>111</v>
      </c>
      <c r="F741" s="116">
        <v>80.692700000000002</v>
      </c>
      <c r="G741" s="116">
        <v>85.212400000000002</v>
      </c>
      <c r="H741" s="116">
        <v>16.690000000000001</v>
      </c>
      <c r="I741" s="113">
        <v>773</v>
      </c>
      <c r="J741" s="115" t="s">
        <v>271</v>
      </c>
    </row>
    <row r="742" spans="1:10" x14ac:dyDescent="0.25">
      <c r="A742" s="113">
        <v>739</v>
      </c>
      <c r="B742" s="114" t="s">
        <v>205</v>
      </c>
      <c r="C742" s="115" t="s">
        <v>206</v>
      </c>
      <c r="D742" s="115" t="s">
        <v>461</v>
      </c>
      <c r="E742" s="115" t="s">
        <v>111</v>
      </c>
      <c r="F742" s="116">
        <v>76.390900000000002</v>
      </c>
      <c r="G742" s="116">
        <v>78.168700000000001</v>
      </c>
      <c r="H742" s="116">
        <v>16.72</v>
      </c>
      <c r="I742" s="113">
        <v>952</v>
      </c>
      <c r="J742" s="115" t="s">
        <v>271</v>
      </c>
    </row>
    <row r="743" spans="1:10" x14ac:dyDescent="0.25">
      <c r="A743" s="113">
        <v>740</v>
      </c>
      <c r="B743" s="114" t="s">
        <v>207</v>
      </c>
      <c r="C743" s="115" t="s">
        <v>208</v>
      </c>
      <c r="D743" s="115" t="s">
        <v>461</v>
      </c>
      <c r="E743" s="115" t="s">
        <v>111</v>
      </c>
      <c r="F743" s="116">
        <v>74.592799999999997</v>
      </c>
      <c r="G743" s="116">
        <v>79.726100000000002</v>
      </c>
      <c r="H743" s="116">
        <v>16.739999999999998</v>
      </c>
      <c r="I743" s="113">
        <v>1104</v>
      </c>
      <c r="J743" s="115" t="s">
        <v>271</v>
      </c>
    </row>
    <row r="744" spans="1:10" x14ac:dyDescent="0.25">
      <c r="A744" s="113">
        <v>741</v>
      </c>
      <c r="B744" s="114" t="s">
        <v>209</v>
      </c>
      <c r="C744" s="115" t="s">
        <v>210</v>
      </c>
      <c r="D744" s="115" t="s">
        <v>461</v>
      </c>
      <c r="E744" s="115" t="s">
        <v>111</v>
      </c>
      <c r="F744" s="116">
        <v>59.6188</v>
      </c>
      <c r="G744" s="116">
        <v>60.231200000000001</v>
      </c>
      <c r="H744" s="116">
        <v>16.77</v>
      </c>
      <c r="I744" s="113">
        <v>3934</v>
      </c>
      <c r="J744" s="115" t="s">
        <v>271</v>
      </c>
    </row>
    <row r="745" spans="1:10" x14ac:dyDescent="0.25">
      <c r="A745" s="113">
        <v>742</v>
      </c>
      <c r="B745" s="114" t="s">
        <v>211</v>
      </c>
      <c r="C745" s="115" t="s">
        <v>212</v>
      </c>
      <c r="D745" s="115" t="s">
        <v>461</v>
      </c>
      <c r="E745" s="115" t="s">
        <v>111</v>
      </c>
      <c r="F745" s="116">
        <v>59.811999999999998</v>
      </c>
      <c r="G745" s="116">
        <v>64.524500000000003</v>
      </c>
      <c r="H745" s="116">
        <v>16.78</v>
      </c>
      <c r="I745" s="113">
        <v>4125</v>
      </c>
      <c r="J745" s="115" t="s">
        <v>271</v>
      </c>
    </row>
    <row r="746" spans="1:10" x14ac:dyDescent="0.25">
      <c r="A746" s="113">
        <v>743</v>
      </c>
      <c r="B746" s="114" t="s">
        <v>213</v>
      </c>
      <c r="C746" s="115" t="s">
        <v>214</v>
      </c>
      <c r="D746" s="115" t="s">
        <v>461</v>
      </c>
      <c r="E746" s="115" t="s">
        <v>111</v>
      </c>
      <c r="F746" s="116">
        <v>56.648400000000002</v>
      </c>
      <c r="G746" s="116">
        <v>58.512300000000003</v>
      </c>
      <c r="H746" s="116">
        <v>16.760000000000002</v>
      </c>
      <c r="I746" s="113">
        <v>2398</v>
      </c>
      <c r="J746" s="115" t="s">
        <v>271</v>
      </c>
    </row>
    <row r="747" spans="1:10" x14ac:dyDescent="0.25">
      <c r="A747" s="113">
        <v>744</v>
      </c>
      <c r="B747" s="114" t="s">
        <v>215</v>
      </c>
      <c r="C747" s="115" t="s">
        <v>12</v>
      </c>
      <c r="D747" s="115" t="s">
        <v>461</v>
      </c>
      <c r="E747" s="115" t="s">
        <v>111</v>
      </c>
      <c r="F747" s="116">
        <v>61.462800000000001</v>
      </c>
      <c r="G747" s="116">
        <v>63.7941</v>
      </c>
      <c r="H747" s="116">
        <v>16.760000000000002</v>
      </c>
      <c r="I747" s="113">
        <v>3136</v>
      </c>
      <c r="J747" s="115" t="s">
        <v>271</v>
      </c>
    </row>
    <row r="748" spans="1:10" x14ac:dyDescent="0.25">
      <c r="A748" s="113">
        <v>745</v>
      </c>
      <c r="B748" s="114" t="s">
        <v>216</v>
      </c>
      <c r="C748" s="115" t="s">
        <v>13</v>
      </c>
      <c r="D748" s="115" t="s">
        <v>461</v>
      </c>
      <c r="E748" s="115" t="s">
        <v>111</v>
      </c>
      <c r="F748" s="116">
        <v>59.9923</v>
      </c>
      <c r="G748" s="116">
        <v>64.632599999999996</v>
      </c>
      <c r="H748" s="116">
        <v>16.77</v>
      </c>
      <c r="I748" s="113">
        <v>3393</v>
      </c>
      <c r="J748" s="115" t="s">
        <v>271</v>
      </c>
    </row>
    <row r="749" spans="1:10" x14ac:dyDescent="0.25">
      <c r="A749" s="113">
        <v>746</v>
      </c>
      <c r="B749" s="114" t="s">
        <v>217</v>
      </c>
      <c r="C749" s="115" t="s">
        <v>218</v>
      </c>
      <c r="D749" s="115" t="s">
        <v>461</v>
      </c>
      <c r="E749" s="115" t="s">
        <v>111</v>
      </c>
      <c r="F749" s="116">
        <v>53.674599999999998</v>
      </c>
      <c r="G749" s="116">
        <v>59.072899999999997</v>
      </c>
      <c r="H749" s="116">
        <v>16.77</v>
      </c>
      <c r="I749" s="113">
        <v>4794</v>
      </c>
      <c r="J749" s="115" t="s">
        <v>271</v>
      </c>
    </row>
    <row r="750" spans="1:10" x14ac:dyDescent="0.25">
      <c r="A750" s="113">
        <v>747</v>
      </c>
      <c r="B750" s="114" t="s">
        <v>219</v>
      </c>
      <c r="C750" s="115" t="s">
        <v>220</v>
      </c>
      <c r="D750" s="115" t="s">
        <v>461</v>
      </c>
      <c r="E750" s="115" t="s">
        <v>111</v>
      </c>
      <c r="F750" s="116">
        <v>55.5548</v>
      </c>
      <c r="G750" s="116">
        <v>56.273800000000001</v>
      </c>
      <c r="H750" s="116">
        <v>16.77</v>
      </c>
      <c r="I750" s="113">
        <v>5009</v>
      </c>
      <c r="J750" s="115" t="s">
        <v>271</v>
      </c>
    </row>
    <row r="751" spans="1:10" x14ac:dyDescent="0.25">
      <c r="A751" s="113">
        <v>748</v>
      </c>
      <c r="B751" s="114" t="s">
        <v>221</v>
      </c>
      <c r="C751" s="115" t="s">
        <v>222</v>
      </c>
      <c r="D751" s="115" t="s">
        <v>461</v>
      </c>
      <c r="E751" s="115" t="s">
        <v>111</v>
      </c>
      <c r="F751" s="116">
        <v>55.001100000000001</v>
      </c>
      <c r="G751" s="116">
        <v>59.186100000000003</v>
      </c>
      <c r="H751" s="116">
        <v>16.78</v>
      </c>
      <c r="I751" s="113">
        <v>5220</v>
      </c>
      <c r="J751" s="115" t="s">
        <v>271</v>
      </c>
    </row>
    <row r="752" spans="1:10" x14ac:dyDescent="0.25">
      <c r="A752" s="113">
        <v>749</v>
      </c>
      <c r="B752" s="114" t="s">
        <v>223</v>
      </c>
      <c r="C752" s="115" t="s">
        <v>224</v>
      </c>
      <c r="D752" s="115" t="s">
        <v>461</v>
      </c>
      <c r="E752" s="115" t="s">
        <v>111</v>
      </c>
      <c r="F752" s="116">
        <v>54.016800000000003</v>
      </c>
      <c r="G752" s="116">
        <v>61.945999999999998</v>
      </c>
      <c r="H752" s="116">
        <v>16.78</v>
      </c>
      <c r="I752" s="113">
        <v>6870</v>
      </c>
      <c r="J752" s="115" t="s">
        <v>271</v>
      </c>
    </row>
    <row r="753" spans="1:10" x14ac:dyDescent="0.25">
      <c r="A753" s="113">
        <v>750</v>
      </c>
      <c r="B753" s="114" t="s">
        <v>2100</v>
      </c>
      <c r="C753" s="115" t="s">
        <v>2101</v>
      </c>
      <c r="D753" s="115" t="s">
        <v>461</v>
      </c>
      <c r="E753" s="115" t="s">
        <v>111</v>
      </c>
      <c r="F753" s="116">
        <v>99.771000000000001</v>
      </c>
      <c r="G753" s="116">
        <v>99.771000000000001</v>
      </c>
      <c r="H753" s="116">
        <v>14.288</v>
      </c>
      <c r="I753" s="113">
        <v>2014</v>
      </c>
      <c r="J753" s="115" t="s">
        <v>271</v>
      </c>
    </row>
    <row r="754" spans="1:10" x14ac:dyDescent="0.25">
      <c r="A754" s="113">
        <v>751</v>
      </c>
      <c r="B754" s="114" t="s">
        <v>1503</v>
      </c>
      <c r="C754" s="115" t="s">
        <v>1504</v>
      </c>
      <c r="D754" s="115" t="s">
        <v>451</v>
      </c>
      <c r="E754" s="115" t="s">
        <v>2122</v>
      </c>
      <c r="F754" s="116">
        <v>62938.019950000002</v>
      </c>
      <c r="G754" s="116">
        <v>62938.019950000002</v>
      </c>
      <c r="H754" s="116">
        <v>0</v>
      </c>
      <c r="I754" s="113">
        <v>0</v>
      </c>
      <c r="J754" s="115" t="s">
        <v>240</v>
      </c>
    </row>
    <row r="755" spans="1:10" x14ac:dyDescent="0.25">
      <c r="A755" s="113">
        <v>752</v>
      </c>
      <c r="B755" s="114" t="s">
        <v>1505</v>
      </c>
      <c r="C755" s="115" t="s">
        <v>1506</v>
      </c>
      <c r="D755" s="115" t="s">
        <v>451</v>
      </c>
      <c r="E755" s="115" t="s">
        <v>1507</v>
      </c>
      <c r="F755" s="116">
        <v>482.09308355000002</v>
      </c>
      <c r="G755" s="116">
        <v>482.09308355000002</v>
      </c>
      <c r="H755" s="116">
        <v>0</v>
      </c>
      <c r="I755" s="113">
        <v>2042</v>
      </c>
      <c r="J755" s="115" t="s">
        <v>240</v>
      </c>
    </row>
    <row r="756" spans="1:10" x14ac:dyDescent="0.25">
      <c r="A756" s="113">
        <v>753</v>
      </c>
      <c r="B756" s="114" t="s">
        <v>1335</v>
      </c>
      <c r="C756" s="115" t="s">
        <v>1336</v>
      </c>
      <c r="D756" s="115" t="s">
        <v>451</v>
      </c>
      <c r="E756" s="115" t="s">
        <v>1337</v>
      </c>
      <c r="F756" s="116">
        <v>7038.0114999999996</v>
      </c>
      <c r="G756" s="116">
        <v>7038.0114999999996</v>
      </c>
      <c r="H756" s="116">
        <v>0</v>
      </c>
      <c r="I756" s="113">
        <v>0</v>
      </c>
      <c r="J756" s="115" t="s">
        <v>240</v>
      </c>
    </row>
    <row r="757" spans="1:10" x14ac:dyDescent="0.25">
      <c r="A757" s="113">
        <v>754</v>
      </c>
      <c r="B757" s="114" t="s">
        <v>225</v>
      </c>
      <c r="C757" s="115" t="s">
        <v>226</v>
      </c>
      <c r="D757" s="115" t="s">
        <v>461</v>
      </c>
      <c r="E757" s="115" t="s">
        <v>227</v>
      </c>
      <c r="F757" s="116">
        <v>81.541496990243758</v>
      </c>
      <c r="G757" s="116">
        <v>83.47479699024376</v>
      </c>
      <c r="H757" s="116">
        <v>18.96</v>
      </c>
      <c r="I757" s="113">
        <v>1382</v>
      </c>
      <c r="J757" s="115" t="s">
        <v>271</v>
      </c>
    </row>
    <row r="758" spans="1:10" x14ac:dyDescent="0.25">
      <c r="A758" s="113">
        <v>755</v>
      </c>
      <c r="B758" s="114" t="s">
        <v>228</v>
      </c>
      <c r="C758" s="115" t="s">
        <v>229</v>
      </c>
      <c r="D758" s="115" t="s">
        <v>461</v>
      </c>
      <c r="E758" s="115" t="s">
        <v>227</v>
      </c>
      <c r="F758" s="116">
        <v>99.815747112859768</v>
      </c>
      <c r="G758" s="116">
        <v>106.75324711285977</v>
      </c>
      <c r="H758" s="116">
        <v>18.690000000000001</v>
      </c>
      <c r="I758" s="113">
        <v>225</v>
      </c>
      <c r="J758" s="115" t="s">
        <v>271</v>
      </c>
    </row>
    <row r="759" spans="1:10" x14ac:dyDescent="0.25">
      <c r="A759" s="113">
        <v>756</v>
      </c>
      <c r="B759" s="114" t="s">
        <v>1508</v>
      </c>
      <c r="C759" s="115" t="s">
        <v>1509</v>
      </c>
      <c r="D759" s="115" t="s">
        <v>461</v>
      </c>
      <c r="E759" s="115" t="s">
        <v>227</v>
      </c>
      <c r="F759" s="116">
        <v>99.628667906602459</v>
      </c>
      <c r="G759" s="116">
        <v>103.87866790660246</v>
      </c>
      <c r="H759" s="116">
        <v>14.84</v>
      </c>
      <c r="I759" s="113">
        <v>27</v>
      </c>
      <c r="J759" s="115" t="s">
        <v>271</v>
      </c>
    </row>
    <row r="760" spans="1:10" x14ac:dyDescent="0.25">
      <c r="A760" s="113">
        <v>757</v>
      </c>
      <c r="B760" s="114" t="s">
        <v>2023</v>
      </c>
      <c r="C760" s="115" t="s">
        <v>2024</v>
      </c>
      <c r="D760" s="115" t="s">
        <v>461</v>
      </c>
      <c r="E760" s="115" t="s">
        <v>227</v>
      </c>
      <c r="F760" s="116">
        <v>98.640929621940884</v>
      </c>
      <c r="G760" s="116">
        <v>99.343729621940881</v>
      </c>
      <c r="H760" s="116">
        <v>14.27</v>
      </c>
      <c r="I760" s="113">
        <v>157</v>
      </c>
      <c r="J760" s="115" t="s">
        <v>271</v>
      </c>
    </row>
    <row r="761" spans="1:10" x14ac:dyDescent="0.25">
      <c r="A761" s="113">
        <v>758</v>
      </c>
      <c r="B761" s="114" t="s">
        <v>2155</v>
      </c>
      <c r="C761" s="115" t="s">
        <v>2156</v>
      </c>
      <c r="D761" s="115" t="s">
        <v>461</v>
      </c>
      <c r="E761" s="115" t="s">
        <v>227</v>
      </c>
      <c r="F761" s="116">
        <v>99.963300000000004</v>
      </c>
      <c r="G761" s="116">
        <v>102.8661</v>
      </c>
      <c r="H761" s="116">
        <v>11</v>
      </c>
      <c r="I761" s="113">
        <v>265</v>
      </c>
      <c r="J761" s="115" t="s">
        <v>271</v>
      </c>
    </row>
    <row r="762" spans="1:10" x14ac:dyDescent="0.25">
      <c r="A762" s="113">
        <v>759</v>
      </c>
      <c r="B762" s="114" t="s">
        <v>1510</v>
      </c>
      <c r="C762" s="115" t="s">
        <v>1511</v>
      </c>
      <c r="D762" s="115" t="s">
        <v>461</v>
      </c>
      <c r="E762" s="115" t="s">
        <v>227</v>
      </c>
      <c r="F762" s="116">
        <v>98.934401918350133</v>
      </c>
      <c r="G762" s="116">
        <v>101.20940191835012</v>
      </c>
      <c r="H762" s="116">
        <v>14.3</v>
      </c>
      <c r="I762" s="113">
        <v>102</v>
      </c>
      <c r="J762" s="115" t="s">
        <v>271</v>
      </c>
    </row>
    <row r="763" spans="1:10" x14ac:dyDescent="0.25">
      <c r="A763" s="113">
        <v>760</v>
      </c>
      <c r="B763" s="114" t="s">
        <v>1512</v>
      </c>
      <c r="C763" s="115" t="s">
        <v>1513</v>
      </c>
      <c r="D763" s="115" t="s">
        <v>461</v>
      </c>
      <c r="E763" s="115" t="s">
        <v>227</v>
      </c>
      <c r="F763" s="116">
        <v>89.484842912319053</v>
      </c>
      <c r="G763" s="116">
        <v>91.373742912319059</v>
      </c>
      <c r="H763" s="116">
        <v>13.61</v>
      </c>
      <c r="I763" s="113">
        <v>1372</v>
      </c>
      <c r="J763" s="115" t="s">
        <v>271</v>
      </c>
    </row>
    <row r="764" spans="1:10" x14ac:dyDescent="0.25">
      <c r="A764" s="113">
        <v>761</v>
      </c>
      <c r="B764" s="114" t="s">
        <v>1514</v>
      </c>
      <c r="C764" s="115" t="s">
        <v>1515</v>
      </c>
      <c r="D764" s="115" t="s">
        <v>451</v>
      </c>
      <c r="E764" s="115" t="s">
        <v>1516</v>
      </c>
      <c r="F764" s="116">
        <v>38272.867100000003</v>
      </c>
      <c r="G764" s="116">
        <v>38272.867100000003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1517</v>
      </c>
      <c r="C765" s="115" t="s">
        <v>1518</v>
      </c>
      <c r="D765" s="115" t="s">
        <v>451</v>
      </c>
      <c r="E765" s="115" t="s">
        <v>2123</v>
      </c>
      <c r="F765" s="116">
        <v>657280.69680000003</v>
      </c>
      <c r="G765" s="116">
        <v>657280.69680000003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2008</v>
      </c>
      <c r="C766" s="115" t="s">
        <v>2009</v>
      </c>
      <c r="D766" s="115" t="s">
        <v>461</v>
      </c>
      <c r="E766" s="115" t="s">
        <v>2010</v>
      </c>
      <c r="F766" s="116">
        <v>99.421535786280657</v>
      </c>
      <c r="G766" s="116">
        <v>102.53543578628064</v>
      </c>
      <c r="H766" s="116">
        <v>19.27</v>
      </c>
      <c r="I766" s="113">
        <v>841</v>
      </c>
      <c r="J766" s="115" t="s">
        <v>271</v>
      </c>
    </row>
    <row r="767" spans="1:10" x14ac:dyDescent="0.25">
      <c r="A767" s="113">
        <v>764</v>
      </c>
      <c r="B767" s="114" t="s">
        <v>1519</v>
      </c>
      <c r="C767" s="115" t="s">
        <v>1520</v>
      </c>
      <c r="D767" s="115" t="s">
        <v>451</v>
      </c>
      <c r="E767" s="115" t="s">
        <v>2124</v>
      </c>
      <c r="F767" s="116">
        <v>42393.984100000001</v>
      </c>
      <c r="G767" s="116">
        <v>42393.984100000001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1521</v>
      </c>
      <c r="C768" s="115" t="s">
        <v>1522</v>
      </c>
      <c r="D768" s="115" t="s">
        <v>451</v>
      </c>
      <c r="E768" s="115" t="s">
        <v>1523</v>
      </c>
      <c r="F768" s="116">
        <v>6751.38</v>
      </c>
      <c r="G768" s="116">
        <v>6751.38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1524</v>
      </c>
      <c r="C769" s="115" t="s">
        <v>1525</v>
      </c>
      <c r="D769" s="115" t="s">
        <v>451</v>
      </c>
      <c r="E769" s="115" t="s">
        <v>1523</v>
      </c>
      <c r="F769" s="116">
        <v>88.363100000000003</v>
      </c>
      <c r="G769" s="116">
        <v>88.363100000000003</v>
      </c>
      <c r="H769" s="116">
        <v>0</v>
      </c>
      <c r="I769" s="113">
        <v>871</v>
      </c>
      <c r="J769" s="115" t="s">
        <v>240</v>
      </c>
    </row>
    <row r="770" spans="1:10" x14ac:dyDescent="0.25">
      <c r="A770" s="113">
        <v>767</v>
      </c>
      <c r="B770" s="114" t="s">
        <v>1526</v>
      </c>
      <c r="C770" s="115" t="s">
        <v>1527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1528</v>
      </c>
      <c r="C771" s="115" t="s">
        <v>1529</v>
      </c>
      <c r="D771" s="115" t="s">
        <v>451</v>
      </c>
      <c r="E771" s="115" t="s">
        <v>1523</v>
      </c>
      <c r="F771" s="116">
        <v>0.01</v>
      </c>
      <c r="G771" s="116">
        <v>0.01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1530</v>
      </c>
      <c r="C772" s="115" t="s">
        <v>1531</v>
      </c>
      <c r="D772" s="115" t="s">
        <v>461</v>
      </c>
      <c r="E772" s="115" t="s">
        <v>1523</v>
      </c>
      <c r="F772" s="116">
        <v>96.745374833849809</v>
      </c>
      <c r="G772" s="116">
        <v>102.1899748338498</v>
      </c>
      <c r="H772" s="116">
        <v>18</v>
      </c>
      <c r="I772" s="113">
        <v>181</v>
      </c>
      <c r="J772" s="115" t="s">
        <v>271</v>
      </c>
    </row>
    <row r="773" spans="1:10" x14ac:dyDescent="0.25">
      <c r="A773" s="113">
        <v>770</v>
      </c>
      <c r="B773" s="114" t="s">
        <v>1532</v>
      </c>
      <c r="C773" s="115" t="s">
        <v>1533</v>
      </c>
      <c r="D773" s="115" t="s">
        <v>461</v>
      </c>
      <c r="E773" s="115" t="s">
        <v>1523</v>
      </c>
      <c r="F773" s="116">
        <v>35.659646564639765</v>
      </c>
      <c r="G773" s="116">
        <v>36.959646564639762</v>
      </c>
      <c r="H773" s="116">
        <v>18.989999999999998</v>
      </c>
      <c r="I773" s="113">
        <v>3483</v>
      </c>
      <c r="J773" s="115" t="s">
        <v>271</v>
      </c>
    </row>
    <row r="774" spans="1:10" x14ac:dyDescent="0.25">
      <c r="A774" s="113">
        <v>771</v>
      </c>
      <c r="B774" s="114" t="s">
        <v>1534</v>
      </c>
      <c r="C774" s="115" t="s">
        <v>1535</v>
      </c>
      <c r="D774" s="115" t="s">
        <v>451</v>
      </c>
      <c r="E774" s="115" t="s">
        <v>1523</v>
      </c>
      <c r="F774" s="116">
        <v>11898.67</v>
      </c>
      <c r="G774" s="116">
        <v>11898.67</v>
      </c>
      <c r="H774" s="116">
        <v>0</v>
      </c>
      <c r="I774" s="113">
        <v>0</v>
      </c>
      <c r="J774" s="115" t="s">
        <v>240</v>
      </c>
    </row>
    <row r="775" spans="1:10" x14ac:dyDescent="0.25">
      <c r="A775" s="113">
        <v>772</v>
      </c>
      <c r="B775" s="114" t="s">
        <v>1536</v>
      </c>
      <c r="C775" s="115" t="s">
        <v>1537</v>
      </c>
      <c r="D775" s="115" t="s">
        <v>461</v>
      </c>
      <c r="E775" s="115" t="s">
        <v>661</v>
      </c>
      <c r="F775" s="116">
        <v>100</v>
      </c>
      <c r="G775" s="116">
        <v>105.8969</v>
      </c>
      <c r="H775" s="116">
        <v>7.08</v>
      </c>
      <c r="I775" s="113">
        <v>2191</v>
      </c>
      <c r="J775" s="115" t="s">
        <v>271</v>
      </c>
    </row>
    <row r="776" spans="1:10" x14ac:dyDescent="0.25">
      <c r="A776" s="113">
        <v>773</v>
      </c>
      <c r="B776" s="114" t="s">
        <v>1538</v>
      </c>
      <c r="C776" s="115" t="s">
        <v>1539</v>
      </c>
      <c r="D776" s="115" t="s">
        <v>461</v>
      </c>
      <c r="E776" s="115" t="s">
        <v>661</v>
      </c>
      <c r="F776" s="116">
        <v>100</v>
      </c>
      <c r="G776" s="116">
        <v>100.2033</v>
      </c>
      <c r="H776" s="116">
        <v>6.09</v>
      </c>
      <c r="I776" s="113">
        <v>2118</v>
      </c>
      <c r="J776" s="115" t="s">
        <v>271</v>
      </c>
    </row>
    <row r="777" spans="1:10" x14ac:dyDescent="0.25">
      <c r="A777" s="113">
        <v>774</v>
      </c>
      <c r="B777" s="114" t="s">
        <v>1540</v>
      </c>
      <c r="C777" s="115" t="s">
        <v>1541</v>
      </c>
      <c r="D777" s="115" t="s">
        <v>461</v>
      </c>
      <c r="E777" s="115" t="s">
        <v>661</v>
      </c>
      <c r="F777" s="116">
        <v>100</v>
      </c>
      <c r="G777" s="116">
        <v>105.1511</v>
      </c>
      <c r="H777" s="116">
        <v>6.08</v>
      </c>
      <c r="I777" s="113">
        <v>2546</v>
      </c>
      <c r="J777" s="115" t="s">
        <v>271</v>
      </c>
    </row>
    <row r="778" spans="1:10" x14ac:dyDescent="0.25">
      <c r="A778" s="113">
        <v>775</v>
      </c>
      <c r="B778" s="114" t="s">
        <v>1542</v>
      </c>
      <c r="C778" s="115" t="s">
        <v>1543</v>
      </c>
      <c r="D778" s="115" t="s">
        <v>461</v>
      </c>
      <c r="E778" s="115" t="s">
        <v>661</v>
      </c>
      <c r="F778" s="116">
        <v>100</v>
      </c>
      <c r="G778" s="116">
        <v>105.1511</v>
      </c>
      <c r="H778" s="116">
        <v>6.08</v>
      </c>
      <c r="I778" s="113">
        <v>2546</v>
      </c>
      <c r="J778" s="115" t="s">
        <v>271</v>
      </c>
    </row>
    <row r="779" spans="1:10" x14ac:dyDescent="0.25">
      <c r="A779" s="113">
        <v>776</v>
      </c>
      <c r="B779" s="114" t="s">
        <v>1544</v>
      </c>
      <c r="C779" s="115" t="s">
        <v>1545</v>
      </c>
      <c r="D779" s="115" t="s">
        <v>461</v>
      </c>
      <c r="E779" s="115" t="s">
        <v>661</v>
      </c>
      <c r="F779" s="116">
        <v>100</v>
      </c>
      <c r="G779" s="116">
        <v>104.0158</v>
      </c>
      <c r="H779" s="116">
        <v>6.08</v>
      </c>
      <c r="I779" s="113">
        <v>2613</v>
      </c>
      <c r="J779" s="115" t="s">
        <v>271</v>
      </c>
    </row>
    <row r="780" spans="1:10" x14ac:dyDescent="0.25">
      <c r="A780" s="113">
        <v>777</v>
      </c>
      <c r="B780" s="114" t="s">
        <v>2452</v>
      </c>
      <c r="C780" s="115" t="s">
        <v>2449</v>
      </c>
      <c r="D780" s="115" t="s">
        <v>461</v>
      </c>
      <c r="E780" s="115" t="s">
        <v>230</v>
      </c>
      <c r="F780" s="116">
        <v>99.124200000000002</v>
      </c>
      <c r="G780" s="116">
        <v>99.124200000000002</v>
      </c>
      <c r="H780" s="116">
        <v>14.66</v>
      </c>
      <c r="I780" s="113">
        <v>22</v>
      </c>
      <c r="J780" s="115" t="s">
        <v>271</v>
      </c>
    </row>
    <row r="781" spans="1:10" x14ac:dyDescent="0.25">
      <c r="A781" s="113">
        <v>778</v>
      </c>
      <c r="B781" s="114" t="s">
        <v>1546</v>
      </c>
      <c r="C781" s="115" t="s">
        <v>1547</v>
      </c>
      <c r="D781" s="115" t="s">
        <v>451</v>
      </c>
      <c r="E781" s="115" t="s">
        <v>1548</v>
      </c>
      <c r="F781" s="116">
        <v>95765.1253</v>
      </c>
      <c r="G781" s="116">
        <v>95765.1253</v>
      </c>
      <c r="H781" s="116">
        <v>0</v>
      </c>
      <c r="I781" s="113">
        <v>0</v>
      </c>
      <c r="J781" s="115" t="s">
        <v>240</v>
      </c>
    </row>
    <row r="782" spans="1:10" x14ac:dyDescent="0.25">
      <c r="A782" s="113">
        <v>779</v>
      </c>
      <c r="B782" s="114" t="s">
        <v>1549</v>
      </c>
      <c r="C782" s="115" t="s">
        <v>1550</v>
      </c>
      <c r="D782" s="115" t="s">
        <v>461</v>
      </c>
      <c r="E782" s="115" t="s">
        <v>1551</v>
      </c>
      <c r="F782" s="116">
        <v>100.41607882185011</v>
      </c>
      <c r="G782" s="116">
        <v>103.73277882185012</v>
      </c>
      <c r="H782" s="116">
        <v>5.91</v>
      </c>
      <c r="I782" s="113">
        <v>2321</v>
      </c>
      <c r="J782" s="115" t="s">
        <v>271</v>
      </c>
    </row>
    <row r="783" spans="1:10" x14ac:dyDescent="0.25">
      <c r="A783" s="113">
        <v>780</v>
      </c>
      <c r="B783" s="114" t="s">
        <v>1552</v>
      </c>
      <c r="C783" s="115" t="s">
        <v>1553</v>
      </c>
      <c r="D783" s="115" t="s">
        <v>461</v>
      </c>
      <c r="E783" s="115" t="s">
        <v>1554</v>
      </c>
      <c r="F783" s="116">
        <v>105.084</v>
      </c>
      <c r="G783" s="116">
        <v>105.50069999999999</v>
      </c>
      <c r="H783" s="116">
        <v>4.57</v>
      </c>
      <c r="I783" s="113">
        <v>1415</v>
      </c>
      <c r="J783" s="115" t="s">
        <v>271</v>
      </c>
    </row>
    <row r="784" spans="1:10" x14ac:dyDescent="0.25">
      <c r="A784" s="113">
        <v>781</v>
      </c>
      <c r="B784" s="114" t="s">
        <v>1990</v>
      </c>
      <c r="C784" s="115" t="s">
        <v>1991</v>
      </c>
      <c r="D784" s="115" t="s">
        <v>461</v>
      </c>
      <c r="E784" s="115" t="s">
        <v>443</v>
      </c>
      <c r="F784" s="116">
        <v>99.996799999999993</v>
      </c>
      <c r="G784" s="116">
        <v>100.7551</v>
      </c>
      <c r="H784" s="116">
        <v>19.5</v>
      </c>
      <c r="I784" s="113">
        <v>106</v>
      </c>
      <c r="J784" s="115" t="s">
        <v>271</v>
      </c>
    </row>
    <row r="785" spans="1:10" x14ac:dyDescent="0.25">
      <c r="A785" s="113">
        <v>782</v>
      </c>
      <c r="B785" s="114" t="s">
        <v>2075</v>
      </c>
      <c r="C785" s="115" t="s">
        <v>2076</v>
      </c>
      <c r="D785" s="115" t="s">
        <v>461</v>
      </c>
      <c r="E785" s="115" t="s">
        <v>443</v>
      </c>
      <c r="F785" s="116">
        <v>100.4452526747303</v>
      </c>
      <c r="G785" s="116">
        <v>101.6674526747303</v>
      </c>
      <c r="H785" s="116">
        <v>19.09</v>
      </c>
      <c r="I785" s="113">
        <v>188</v>
      </c>
      <c r="J785" s="115" t="s">
        <v>271</v>
      </c>
    </row>
    <row r="786" spans="1:10" x14ac:dyDescent="0.25">
      <c r="A786" s="113">
        <v>783</v>
      </c>
      <c r="B786" s="114" t="s">
        <v>2151</v>
      </c>
      <c r="C786" s="115" t="s">
        <v>2152</v>
      </c>
      <c r="D786" s="115" t="s">
        <v>461</v>
      </c>
      <c r="E786" s="115" t="s">
        <v>443</v>
      </c>
      <c r="F786" s="116">
        <v>99.998800000000003</v>
      </c>
      <c r="G786" s="116">
        <v>100.221</v>
      </c>
      <c r="H786" s="116">
        <v>20</v>
      </c>
      <c r="I786" s="113">
        <v>236</v>
      </c>
      <c r="J786" s="115" t="s">
        <v>271</v>
      </c>
    </row>
    <row r="787" spans="1:10" x14ac:dyDescent="0.25">
      <c r="A787" s="113">
        <v>784</v>
      </c>
      <c r="B787" s="114" t="s">
        <v>1992</v>
      </c>
      <c r="C787" s="115" t="s">
        <v>1993</v>
      </c>
      <c r="D787" s="115" t="s">
        <v>451</v>
      </c>
      <c r="E787" s="115" t="s">
        <v>1994</v>
      </c>
      <c r="F787" s="116">
        <v>126419.27804999999</v>
      </c>
      <c r="G787" s="116">
        <v>126419.27804999999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1555</v>
      </c>
      <c r="C788" s="115" t="s">
        <v>1556</v>
      </c>
      <c r="D788" s="115" t="s">
        <v>461</v>
      </c>
      <c r="E788" s="115" t="s">
        <v>1557</v>
      </c>
      <c r="F788" s="116">
        <v>86.47248178569096</v>
      </c>
      <c r="G788" s="116">
        <v>94.372481785690951</v>
      </c>
      <c r="H788" s="116">
        <v>23.49</v>
      </c>
      <c r="I788" s="113">
        <v>3159</v>
      </c>
      <c r="J788" s="115" t="s">
        <v>271</v>
      </c>
    </row>
    <row r="789" spans="1:10" x14ac:dyDescent="0.25">
      <c r="A789" s="113">
        <v>786</v>
      </c>
      <c r="B789" s="114" t="s">
        <v>1558</v>
      </c>
      <c r="C789" s="115" t="s">
        <v>1559</v>
      </c>
      <c r="D789" s="115" t="s">
        <v>461</v>
      </c>
      <c r="E789" s="115" t="s">
        <v>1560</v>
      </c>
      <c r="F789" s="116">
        <v>95.219840918435807</v>
      </c>
      <c r="G789" s="116">
        <v>96.328140918435807</v>
      </c>
      <c r="H789" s="116">
        <v>16.420000000000002</v>
      </c>
      <c r="I789" s="113">
        <v>322</v>
      </c>
      <c r="J789" s="115" t="s">
        <v>271</v>
      </c>
    </row>
    <row r="790" spans="1:10" x14ac:dyDescent="0.25">
      <c r="A790" s="113">
        <v>787</v>
      </c>
      <c r="B790" s="114" t="s">
        <v>1561</v>
      </c>
      <c r="C790" s="115" t="s">
        <v>1562</v>
      </c>
      <c r="D790" s="115" t="s">
        <v>461</v>
      </c>
      <c r="E790" s="115" t="s">
        <v>1560</v>
      </c>
      <c r="F790" s="116">
        <v>89.271637834268901</v>
      </c>
      <c r="G790" s="116">
        <v>92.742437834268898</v>
      </c>
      <c r="H790" s="116">
        <v>16.559999999999999</v>
      </c>
      <c r="I790" s="113">
        <v>781</v>
      </c>
      <c r="J790" s="115" t="s">
        <v>271</v>
      </c>
    </row>
    <row r="791" spans="1:10" x14ac:dyDescent="0.25">
      <c r="A791" s="113">
        <v>788</v>
      </c>
      <c r="B791" s="114" t="s">
        <v>1563</v>
      </c>
      <c r="C791" s="115" t="s">
        <v>1564</v>
      </c>
      <c r="D791" s="115" t="s">
        <v>451</v>
      </c>
      <c r="E791" s="115" t="s">
        <v>1565</v>
      </c>
      <c r="F791" s="116">
        <v>24504.58985</v>
      </c>
      <c r="G791" s="116">
        <v>24504.58985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1566</v>
      </c>
      <c r="C792" s="115" t="s">
        <v>1567</v>
      </c>
      <c r="D792" s="115" t="s">
        <v>461</v>
      </c>
      <c r="E792" s="115" t="s">
        <v>1568</v>
      </c>
      <c r="F792" s="116">
        <v>100</v>
      </c>
      <c r="G792" s="116">
        <v>104.5333</v>
      </c>
      <c r="H792" s="116">
        <v>9.59</v>
      </c>
      <c r="I792" s="113">
        <v>370</v>
      </c>
      <c r="J792" s="115" t="s">
        <v>271</v>
      </c>
    </row>
    <row r="793" spans="1:10" x14ac:dyDescent="0.25">
      <c r="A793" s="113">
        <v>790</v>
      </c>
      <c r="B793" s="114" t="s">
        <v>1569</v>
      </c>
      <c r="C793" s="115" t="s">
        <v>1570</v>
      </c>
      <c r="D793" s="115" t="s">
        <v>461</v>
      </c>
      <c r="E793" s="115" t="s">
        <v>1571</v>
      </c>
      <c r="F793" s="116">
        <v>100.43300000000001</v>
      </c>
      <c r="G793" s="116">
        <v>100.44450000000001</v>
      </c>
      <c r="H793" s="116">
        <v>3.9</v>
      </c>
      <c r="I793" s="113">
        <v>719</v>
      </c>
      <c r="J793" s="115" t="s">
        <v>271</v>
      </c>
    </row>
    <row r="794" spans="1:10" x14ac:dyDescent="0.25">
      <c r="A794" s="113">
        <v>791</v>
      </c>
      <c r="B794" s="114" t="s">
        <v>1572</v>
      </c>
      <c r="C794" s="115" t="s">
        <v>1573</v>
      </c>
      <c r="D794" s="115" t="s">
        <v>461</v>
      </c>
      <c r="E794" s="115" t="s">
        <v>1571</v>
      </c>
      <c r="F794" s="116">
        <v>99.102650311124933</v>
      </c>
      <c r="G794" s="116">
        <v>99.321950311124922</v>
      </c>
      <c r="H794" s="116">
        <v>4.63</v>
      </c>
      <c r="I794" s="113">
        <v>147</v>
      </c>
      <c r="J794" s="115" t="s">
        <v>271</v>
      </c>
    </row>
    <row r="795" spans="1:10" x14ac:dyDescent="0.25">
      <c r="A795" s="113">
        <v>792</v>
      </c>
      <c r="B795" s="114" t="s">
        <v>1574</v>
      </c>
      <c r="C795" s="115" t="s">
        <v>1575</v>
      </c>
      <c r="D795" s="115" t="s">
        <v>451</v>
      </c>
      <c r="E795" s="115" t="s">
        <v>1576</v>
      </c>
      <c r="F795" s="116">
        <v>13586.305850000001</v>
      </c>
      <c r="G795" s="116">
        <v>13586.305850000001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2094</v>
      </c>
      <c r="C796" s="115" t="s">
        <v>1881</v>
      </c>
      <c r="D796" s="115" t="s">
        <v>761</v>
      </c>
      <c r="E796" s="115" t="s">
        <v>1631</v>
      </c>
      <c r="F796" s="116">
        <v>39370.047599999998</v>
      </c>
      <c r="G796" s="116">
        <v>39370.047599999998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1582</v>
      </c>
      <c r="C797" s="115" t="s">
        <v>1583</v>
      </c>
      <c r="D797" s="115" t="s">
        <v>451</v>
      </c>
      <c r="E797" s="115" t="s">
        <v>1584</v>
      </c>
      <c r="F797" s="116">
        <v>0.01</v>
      </c>
      <c r="G797" s="116">
        <v>0.01</v>
      </c>
      <c r="H797" s="116">
        <v>0</v>
      </c>
      <c r="I797" s="113">
        <v>0</v>
      </c>
      <c r="J797" s="115" t="s">
        <v>240</v>
      </c>
    </row>
    <row r="798" spans="1:10" x14ac:dyDescent="0.25">
      <c r="A798" s="113">
        <v>795</v>
      </c>
      <c r="B798" s="114" t="s">
        <v>1577</v>
      </c>
      <c r="C798" s="115" t="s">
        <v>1578</v>
      </c>
      <c r="D798" s="115" t="s">
        <v>461</v>
      </c>
      <c r="E798" s="115" t="s">
        <v>1579</v>
      </c>
      <c r="F798" s="116">
        <v>98.438999999999993</v>
      </c>
      <c r="G798" s="116">
        <v>98.876499999999993</v>
      </c>
      <c r="H798" s="116">
        <v>4.25</v>
      </c>
      <c r="I798" s="113">
        <v>1218</v>
      </c>
      <c r="J798" s="115" t="s">
        <v>271</v>
      </c>
    </row>
    <row r="799" spans="1:10" x14ac:dyDescent="0.25">
      <c r="A799" s="113">
        <v>796</v>
      </c>
      <c r="B799" s="114" t="s">
        <v>1580</v>
      </c>
      <c r="C799" s="115" t="s">
        <v>1581</v>
      </c>
      <c r="D799" s="115" t="s">
        <v>461</v>
      </c>
      <c r="E799" s="115" t="s">
        <v>1579</v>
      </c>
      <c r="F799" s="116">
        <v>97.227999999999994</v>
      </c>
      <c r="G799" s="116">
        <v>97.436300000000003</v>
      </c>
      <c r="H799" s="116">
        <v>4.21</v>
      </c>
      <c r="I799" s="113">
        <v>875</v>
      </c>
      <c r="J799" s="115" t="s">
        <v>271</v>
      </c>
    </row>
    <row r="800" spans="1:10" x14ac:dyDescent="0.25">
      <c r="A800" s="113">
        <v>797</v>
      </c>
      <c r="B800" s="114" t="s">
        <v>1585</v>
      </c>
      <c r="C800" s="115" t="s">
        <v>1586</v>
      </c>
      <c r="D800" s="115" t="s">
        <v>461</v>
      </c>
      <c r="E800" s="115" t="s">
        <v>1587</v>
      </c>
      <c r="F800" s="116">
        <v>100</v>
      </c>
      <c r="G800" s="116">
        <v>100.35</v>
      </c>
      <c r="H800" s="116">
        <v>14</v>
      </c>
      <c r="I800" s="113">
        <v>1881</v>
      </c>
      <c r="J800" s="115" t="s">
        <v>271</v>
      </c>
    </row>
    <row r="801" spans="1:10" x14ac:dyDescent="0.25">
      <c r="A801" s="113">
        <v>798</v>
      </c>
      <c r="B801" s="114" t="s">
        <v>2069</v>
      </c>
      <c r="C801" s="115" t="s">
        <v>2070</v>
      </c>
      <c r="D801" s="115" t="s">
        <v>461</v>
      </c>
      <c r="E801" s="115" t="s">
        <v>397</v>
      </c>
      <c r="F801" s="116">
        <v>100.69786416978418</v>
      </c>
      <c r="G801" s="116">
        <v>101.64786416978419</v>
      </c>
      <c r="H801" s="116">
        <v>17.170000000000002</v>
      </c>
      <c r="I801" s="113">
        <v>341</v>
      </c>
      <c r="J801" s="115" t="s">
        <v>271</v>
      </c>
    </row>
    <row r="802" spans="1:10" x14ac:dyDescent="0.25">
      <c r="A802" s="113">
        <v>799</v>
      </c>
      <c r="B802" s="114" t="s">
        <v>2071</v>
      </c>
      <c r="C802" s="115" t="s">
        <v>2072</v>
      </c>
      <c r="D802" s="115" t="s">
        <v>461</v>
      </c>
      <c r="E802" s="115" t="s">
        <v>397</v>
      </c>
      <c r="F802" s="116">
        <v>100.69786416978418</v>
      </c>
      <c r="G802" s="116">
        <v>101.64786416978419</v>
      </c>
      <c r="H802" s="116">
        <v>17.170000000000002</v>
      </c>
      <c r="I802" s="113">
        <v>341</v>
      </c>
      <c r="J802" s="115" t="s">
        <v>271</v>
      </c>
    </row>
    <row r="803" spans="1:10" x14ac:dyDescent="0.25">
      <c r="A803" s="113">
        <v>800</v>
      </c>
      <c r="B803" s="114" t="s">
        <v>1588</v>
      </c>
      <c r="C803" s="115" t="s">
        <v>1589</v>
      </c>
      <c r="D803" s="115" t="s">
        <v>451</v>
      </c>
      <c r="E803" s="115" t="s">
        <v>397</v>
      </c>
      <c r="F803" s="116">
        <v>3408.7649999999999</v>
      </c>
      <c r="G803" s="116">
        <v>3408.7649999999999</v>
      </c>
      <c r="H803" s="116">
        <v>0</v>
      </c>
      <c r="I803" s="113">
        <v>212</v>
      </c>
      <c r="J803" s="115" t="s">
        <v>240</v>
      </c>
    </row>
    <row r="804" spans="1:10" x14ac:dyDescent="0.25">
      <c r="A804" s="113">
        <v>801</v>
      </c>
      <c r="B804" s="114" t="s">
        <v>1590</v>
      </c>
      <c r="C804" s="115" t="s">
        <v>1591</v>
      </c>
      <c r="D804" s="115" t="s">
        <v>461</v>
      </c>
      <c r="E804" s="115" t="s">
        <v>1592</v>
      </c>
      <c r="F804" s="116">
        <v>100</v>
      </c>
      <c r="G804" s="116">
        <v>100.059</v>
      </c>
      <c r="H804" s="116">
        <v>4.24</v>
      </c>
      <c r="I804" s="113">
        <v>295</v>
      </c>
      <c r="J804" s="115" t="s">
        <v>271</v>
      </c>
    </row>
    <row r="805" spans="1:10" x14ac:dyDescent="0.25">
      <c r="A805" s="113">
        <v>802</v>
      </c>
      <c r="B805" s="114" t="s">
        <v>1593</v>
      </c>
      <c r="C805" s="115" t="s">
        <v>1594</v>
      </c>
      <c r="D805" s="115" t="s">
        <v>461</v>
      </c>
      <c r="E805" s="115" t="s">
        <v>1592</v>
      </c>
      <c r="F805" s="116">
        <v>100</v>
      </c>
      <c r="G805" s="116">
        <v>100.08459999999999</v>
      </c>
      <c r="H805" s="116">
        <v>0.35</v>
      </c>
      <c r="I805" s="113">
        <v>93</v>
      </c>
      <c r="J805" s="115" t="s">
        <v>271</v>
      </c>
    </row>
    <row r="806" spans="1:10" x14ac:dyDescent="0.25">
      <c r="A806" s="113">
        <v>803</v>
      </c>
      <c r="B806" s="114" t="s">
        <v>1595</v>
      </c>
      <c r="C806" s="115" t="s">
        <v>1596</v>
      </c>
      <c r="D806" s="115" t="s">
        <v>461</v>
      </c>
      <c r="E806" s="115" t="s">
        <v>1592</v>
      </c>
      <c r="F806" s="116">
        <v>100</v>
      </c>
      <c r="G806" s="116">
        <v>100.08069999999999</v>
      </c>
      <c r="H806" s="116">
        <v>0.35</v>
      </c>
      <c r="I806" s="113">
        <v>277</v>
      </c>
      <c r="J806" s="115" t="s">
        <v>271</v>
      </c>
    </row>
    <row r="807" spans="1:10" x14ac:dyDescent="0.25">
      <c r="A807" s="113">
        <v>804</v>
      </c>
      <c r="B807" s="114" t="s">
        <v>2220</v>
      </c>
      <c r="C807" s="115" t="s">
        <v>2221</v>
      </c>
      <c r="D807" s="115" t="s">
        <v>461</v>
      </c>
      <c r="E807" s="115" t="s">
        <v>1592</v>
      </c>
      <c r="F807" s="116">
        <v>100</v>
      </c>
      <c r="G807" s="116">
        <v>100.0865</v>
      </c>
      <c r="H807" s="116">
        <v>0.35</v>
      </c>
      <c r="I807" s="113">
        <v>631</v>
      </c>
      <c r="J807" s="115" t="s">
        <v>271</v>
      </c>
    </row>
    <row r="808" spans="1:10" x14ac:dyDescent="0.25">
      <c r="A808" s="113">
        <v>805</v>
      </c>
      <c r="B808" s="114" t="s">
        <v>1597</v>
      </c>
      <c r="C808" s="115" t="s">
        <v>1598</v>
      </c>
      <c r="D808" s="115" t="s">
        <v>461</v>
      </c>
      <c r="E808" s="115" t="s">
        <v>1592</v>
      </c>
      <c r="F808" s="116">
        <v>100</v>
      </c>
      <c r="G808" s="116">
        <v>100.0012</v>
      </c>
      <c r="H808" s="116">
        <v>0.02</v>
      </c>
      <c r="I808" s="113">
        <v>3094</v>
      </c>
      <c r="J808" s="115" t="s">
        <v>271</v>
      </c>
    </row>
    <row r="809" spans="1:10" x14ac:dyDescent="0.25">
      <c r="A809" s="113">
        <v>806</v>
      </c>
      <c r="B809" s="114" t="s">
        <v>1599</v>
      </c>
      <c r="C809" s="115" t="s">
        <v>1600</v>
      </c>
      <c r="D809" s="115" t="s">
        <v>461</v>
      </c>
      <c r="E809" s="115" t="s">
        <v>1592</v>
      </c>
      <c r="F809" s="116">
        <v>100</v>
      </c>
      <c r="G809" s="116">
        <v>101.03360000000001</v>
      </c>
      <c r="H809" s="116">
        <v>6.08</v>
      </c>
      <c r="I809" s="113">
        <v>1709</v>
      </c>
      <c r="J809" s="115" t="s">
        <v>271</v>
      </c>
    </row>
    <row r="810" spans="1:10" x14ac:dyDescent="0.25">
      <c r="A810" s="113">
        <v>807</v>
      </c>
      <c r="B810" s="114" t="s">
        <v>1601</v>
      </c>
      <c r="C810" s="115" t="s">
        <v>1602</v>
      </c>
      <c r="D810" s="115" t="s">
        <v>461</v>
      </c>
      <c r="E810" s="115" t="s">
        <v>1592</v>
      </c>
      <c r="F810" s="116">
        <v>100</v>
      </c>
      <c r="G810" s="116">
        <v>105.8969</v>
      </c>
      <c r="H810" s="116">
        <v>7.08</v>
      </c>
      <c r="I810" s="113">
        <v>2191</v>
      </c>
      <c r="J810" s="115" t="s">
        <v>271</v>
      </c>
    </row>
    <row r="811" spans="1:10" x14ac:dyDescent="0.25">
      <c r="A811" s="113">
        <v>808</v>
      </c>
      <c r="B811" s="114" t="s">
        <v>2331</v>
      </c>
      <c r="C811" s="115" t="s">
        <v>2332</v>
      </c>
      <c r="D811" s="115" t="s">
        <v>461</v>
      </c>
      <c r="E811" s="115" t="s">
        <v>1592</v>
      </c>
      <c r="F811" s="116">
        <v>90.548353194396896</v>
      </c>
      <c r="G811" s="116">
        <v>92.469453194396891</v>
      </c>
      <c r="H811" s="116">
        <v>20.46</v>
      </c>
      <c r="I811" s="113">
        <v>3562</v>
      </c>
      <c r="J811" s="115" t="s">
        <v>271</v>
      </c>
    </row>
    <row r="812" spans="1:10" x14ac:dyDescent="0.25">
      <c r="A812" s="113">
        <v>809</v>
      </c>
      <c r="B812" s="114" t="s">
        <v>1603</v>
      </c>
      <c r="C812" s="115" t="s">
        <v>1604</v>
      </c>
      <c r="D812" s="115" t="s">
        <v>461</v>
      </c>
      <c r="E812" s="115" t="s">
        <v>1592</v>
      </c>
      <c r="F812" s="116">
        <v>100</v>
      </c>
      <c r="G812" s="116">
        <v>100.2033</v>
      </c>
      <c r="H812" s="116">
        <v>6.09</v>
      </c>
      <c r="I812" s="113">
        <v>2118</v>
      </c>
      <c r="J812" s="115" t="s">
        <v>271</v>
      </c>
    </row>
    <row r="813" spans="1:10" x14ac:dyDescent="0.25">
      <c r="A813" s="113">
        <v>810</v>
      </c>
      <c r="B813" s="114" t="s">
        <v>1605</v>
      </c>
      <c r="C813" s="115" t="s">
        <v>1606</v>
      </c>
      <c r="D813" s="115" t="s">
        <v>461</v>
      </c>
      <c r="E813" s="115" t="s">
        <v>1592</v>
      </c>
      <c r="F813" s="116">
        <v>100</v>
      </c>
      <c r="G813" s="116">
        <v>105.1511</v>
      </c>
      <c r="H813" s="116">
        <v>6.08</v>
      </c>
      <c r="I813" s="113">
        <v>2546</v>
      </c>
      <c r="J813" s="115" t="s">
        <v>271</v>
      </c>
    </row>
    <row r="814" spans="1:10" x14ac:dyDescent="0.25">
      <c r="A814" s="113">
        <v>811</v>
      </c>
      <c r="B814" s="114" t="s">
        <v>1607</v>
      </c>
      <c r="C814" s="115" t="s">
        <v>1608</v>
      </c>
      <c r="D814" s="115" t="s">
        <v>461</v>
      </c>
      <c r="E814" s="115" t="s">
        <v>1592</v>
      </c>
      <c r="F814" s="116">
        <v>100</v>
      </c>
      <c r="G814" s="116">
        <v>105.1511</v>
      </c>
      <c r="H814" s="116">
        <v>6.08</v>
      </c>
      <c r="I814" s="113">
        <v>2546</v>
      </c>
      <c r="J814" s="115" t="s">
        <v>271</v>
      </c>
    </row>
    <row r="815" spans="1:10" x14ac:dyDescent="0.25">
      <c r="A815" s="113">
        <v>812</v>
      </c>
      <c r="B815" s="114" t="s">
        <v>1609</v>
      </c>
      <c r="C815" s="115" t="s">
        <v>1610</v>
      </c>
      <c r="D815" s="115" t="s">
        <v>461</v>
      </c>
      <c r="E815" s="115" t="s">
        <v>1592</v>
      </c>
      <c r="F815" s="116">
        <v>100</v>
      </c>
      <c r="G815" s="116">
        <v>104.0158</v>
      </c>
      <c r="H815" s="116">
        <v>6.08</v>
      </c>
      <c r="I815" s="113">
        <v>2613</v>
      </c>
      <c r="J815" s="115" t="s">
        <v>271</v>
      </c>
    </row>
    <row r="816" spans="1:10" x14ac:dyDescent="0.25">
      <c r="A816" s="113">
        <v>813</v>
      </c>
      <c r="B816" s="114" t="s">
        <v>1611</v>
      </c>
      <c r="C816" s="115" t="s">
        <v>1612</v>
      </c>
      <c r="D816" s="115" t="s">
        <v>451</v>
      </c>
      <c r="E816" s="115" t="s">
        <v>1613</v>
      </c>
      <c r="F816" s="116">
        <v>37060.616450000001</v>
      </c>
      <c r="G816" s="116">
        <v>37060.616450000001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1614</v>
      </c>
      <c r="C817" s="115" t="s">
        <v>1615</v>
      </c>
      <c r="D817" s="115" t="s">
        <v>451</v>
      </c>
      <c r="E817" s="115" t="s">
        <v>1616</v>
      </c>
      <c r="F817" s="116">
        <v>0.01</v>
      </c>
      <c r="G817" s="116">
        <v>0.01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1617</v>
      </c>
      <c r="C818" s="115" t="s">
        <v>1618</v>
      </c>
      <c r="D818" s="115" t="s">
        <v>461</v>
      </c>
      <c r="E818" s="115" t="s">
        <v>1619</v>
      </c>
      <c r="F818" s="116">
        <v>99.13</v>
      </c>
      <c r="G818" s="116">
        <v>99.888300000000001</v>
      </c>
      <c r="H818" s="116">
        <v>4.41</v>
      </c>
      <c r="I818" s="113">
        <v>276</v>
      </c>
      <c r="J818" s="115" t="s">
        <v>271</v>
      </c>
    </row>
    <row r="819" spans="1:10" x14ac:dyDescent="0.25">
      <c r="A819" s="113">
        <v>816</v>
      </c>
      <c r="B819" s="114" t="s">
        <v>1620</v>
      </c>
      <c r="C819" s="115" t="s">
        <v>1621</v>
      </c>
      <c r="D819" s="115" t="s">
        <v>461</v>
      </c>
      <c r="E819" s="115" t="s">
        <v>1619</v>
      </c>
      <c r="F819" s="116">
        <v>98.495000000000005</v>
      </c>
      <c r="G819" s="116">
        <v>99.849199999999996</v>
      </c>
      <c r="H819" s="116">
        <v>4.1100000000000003</v>
      </c>
      <c r="I819" s="113">
        <v>1670</v>
      </c>
      <c r="J819" s="115" t="s">
        <v>271</v>
      </c>
    </row>
    <row r="820" spans="1:10" x14ac:dyDescent="0.25">
      <c r="A820" s="113">
        <v>817</v>
      </c>
      <c r="B820" s="114" t="s">
        <v>1622</v>
      </c>
      <c r="C820" s="115" t="s">
        <v>1623</v>
      </c>
      <c r="D820" s="115" t="s">
        <v>461</v>
      </c>
      <c r="E820" s="115" t="s">
        <v>1619</v>
      </c>
      <c r="F820" s="116">
        <v>99.766000000000005</v>
      </c>
      <c r="G820" s="116">
        <v>101.566</v>
      </c>
      <c r="H820" s="116">
        <v>4.07</v>
      </c>
      <c r="I820" s="113">
        <v>1278</v>
      </c>
      <c r="J820" s="115" t="s">
        <v>271</v>
      </c>
    </row>
    <row r="821" spans="1:10" x14ac:dyDescent="0.25">
      <c r="A821" s="113">
        <v>818</v>
      </c>
      <c r="B821" s="114" t="s">
        <v>1624</v>
      </c>
      <c r="C821" s="115" t="s">
        <v>1625</v>
      </c>
      <c r="D821" s="115" t="s">
        <v>461</v>
      </c>
      <c r="E821" s="115" t="s">
        <v>1619</v>
      </c>
      <c r="F821" s="116">
        <v>101.187</v>
      </c>
      <c r="G821" s="116">
        <v>102.72450000000001</v>
      </c>
      <c r="H821" s="116">
        <v>4.0199999999999996</v>
      </c>
      <c r="I821" s="113">
        <v>957</v>
      </c>
      <c r="J821" s="115" t="s">
        <v>271</v>
      </c>
    </row>
    <row r="822" spans="1:10" x14ac:dyDescent="0.25">
      <c r="A822" s="113">
        <v>819</v>
      </c>
      <c r="B822" s="114" t="s">
        <v>1626</v>
      </c>
      <c r="C822" s="115" t="s">
        <v>1627</v>
      </c>
      <c r="D822" s="115" t="s">
        <v>451</v>
      </c>
      <c r="E822" s="115" t="s">
        <v>1628</v>
      </c>
      <c r="F822" s="116">
        <v>83457.971350000007</v>
      </c>
      <c r="G822" s="116">
        <v>83457.971350000007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1629</v>
      </c>
      <c r="C823" s="115" t="s">
        <v>1630</v>
      </c>
      <c r="D823" s="115" t="s">
        <v>761</v>
      </c>
      <c r="E823" s="115" t="s">
        <v>1631</v>
      </c>
      <c r="F823" s="116">
        <v>305837.72635000001</v>
      </c>
      <c r="G823" s="116">
        <v>305837.72635000001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1632</v>
      </c>
      <c r="C824" s="115" t="s">
        <v>1633</v>
      </c>
      <c r="D824" s="115" t="s">
        <v>451</v>
      </c>
      <c r="E824" s="115" t="s">
        <v>1634</v>
      </c>
      <c r="F824" s="116">
        <v>17000.39</v>
      </c>
      <c r="G824" s="116">
        <v>17000.39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1635</v>
      </c>
      <c r="C825" s="115" t="s">
        <v>1636</v>
      </c>
      <c r="D825" s="115" t="s">
        <v>461</v>
      </c>
      <c r="E825" s="115" t="s">
        <v>1637</v>
      </c>
      <c r="F825" s="116">
        <v>96.297063775786029</v>
      </c>
      <c r="G825" s="116">
        <v>102.21376377578602</v>
      </c>
      <c r="H825" s="116">
        <v>31.54</v>
      </c>
      <c r="I825" s="113">
        <v>1639</v>
      </c>
      <c r="J825" s="115" t="s">
        <v>271</v>
      </c>
    </row>
    <row r="826" spans="1:10" x14ac:dyDescent="0.25">
      <c r="A826" s="113">
        <v>823</v>
      </c>
      <c r="B826" s="114" t="s">
        <v>1638</v>
      </c>
      <c r="C826" s="115" t="s">
        <v>1639</v>
      </c>
      <c r="D826" s="115" t="s">
        <v>461</v>
      </c>
      <c r="E826" s="115" t="s">
        <v>1640</v>
      </c>
      <c r="F826" s="116">
        <v>73.591183368669917</v>
      </c>
      <c r="G826" s="116">
        <v>77.702283368669924</v>
      </c>
      <c r="H826" s="116">
        <v>29.77</v>
      </c>
      <c r="I826" s="113">
        <v>2086</v>
      </c>
      <c r="J826" s="115" t="s">
        <v>271</v>
      </c>
    </row>
    <row r="827" spans="1:10" x14ac:dyDescent="0.25">
      <c r="A827" s="113">
        <v>824</v>
      </c>
      <c r="B827" s="114" t="s">
        <v>1641</v>
      </c>
      <c r="C827" s="115" t="s">
        <v>1642</v>
      </c>
      <c r="D827" s="115" t="s">
        <v>461</v>
      </c>
      <c r="E827" s="115" t="s">
        <v>1640</v>
      </c>
      <c r="F827" s="116">
        <v>70.777284926156852</v>
      </c>
      <c r="G827" s="116">
        <v>74.999484926156853</v>
      </c>
      <c r="H827" s="116">
        <v>29.78</v>
      </c>
      <c r="I827" s="113">
        <v>2804</v>
      </c>
      <c r="J827" s="115" t="s">
        <v>271</v>
      </c>
    </row>
    <row r="828" spans="1:10" x14ac:dyDescent="0.25">
      <c r="A828" s="113">
        <v>825</v>
      </c>
      <c r="B828" s="114" t="s">
        <v>1643</v>
      </c>
      <c r="C828" s="115" t="s">
        <v>1644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1646</v>
      </c>
      <c r="C829" s="115" t="s">
        <v>1647</v>
      </c>
      <c r="D829" s="115" t="s">
        <v>451</v>
      </c>
      <c r="E829" s="115" t="s">
        <v>1645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1659</v>
      </c>
      <c r="C830" s="115" t="s">
        <v>1660</v>
      </c>
      <c r="D830" s="115" t="s">
        <v>451</v>
      </c>
      <c r="E830" s="115" t="s">
        <v>1661</v>
      </c>
      <c r="F830" s="116">
        <v>34400</v>
      </c>
      <c r="G830" s="116">
        <v>34400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1662</v>
      </c>
      <c r="C831" s="115" t="s">
        <v>1663</v>
      </c>
      <c r="D831" s="115" t="s">
        <v>451</v>
      </c>
      <c r="E831" s="115" t="s">
        <v>1661</v>
      </c>
      <c r="F831" s="116">
        <v>17800</v>
      </c>
      <c r="G831" s="116">
        <v>17800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1664</v>
      </c>
      <c r="C832" s="115" t="s">
        <v>1665</v>
      </c>
      <c r="D832" s="115" t="s">
        <v>451</v>
      </c>
      <c r="E832" s="115" t="s">
        <v>1666</v>
      </c>
      <c r="F832" s="116">
        <v>1000</v>
      </c>
      <c r="G832" s="116">
        <v>1000</v>
      </c>
      <c r="H832" s="116">
        <v>0</v>
      </c>
      <c r="I832" s="113">
        <v>240</v>
      </c>
      <c r="J832" s="115" t="s">
        <v>240</v>
      </c>
    </row>
    <row r="833" spans="1:10" x14ac:dyDescent="0.25">
      <c r="A833" s="113">
        <v>830</v>
      </c>
      <c r="B833" s="114" t="s">
        <v>1667</v>
      </c>
      <c r="C833" s="115" t="s">
        <v>1668</v>
      </c>
      <c r="D833" s="115" t="s">
        <v>451</v>
      </c>
      <c r="E833" s="115" t="s">
        <v>1669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1670</v>
      </c>
      <c r="C834" s="115" t="s">
        <v>1671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1673</v>
      </c>
      <c r="C835" s="115" t="s">
        <v>1674</v>
      </c>
      <c r="D835" s="115" t="s">
        <v>451</v>
      </c>
      <c r="E835" s="115" t="s">
        <v>1672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240</v>
      </c>
    </row>
    <row r="836" spans="1:10" x14ac:dyDescent="0.25">
      <c r="A836" s="113">
        <v>833</v>
      </c>
      <c r="B836" s="114" t="s">
        <v>1648</v>
      </c>
      <c r="C836" s="115" t="s">
        <v>1649</v>
      </c>
      <c r="D836" s="115" t="s">
        <v>461</v>
      </c>
      <c r="E836" s="115" t="s">
        <v>1650</v>
      </c>
      <c r="F836" s="116">
        <v>98.658339914307135</v>
      </c>
      <c r="G836" s="116">
        <v>100.39023991430713</v>
      </c>
      <c r="H836" s="116">
        <v>4.1900000000000004</v>
      </c>
      <c r="I836" s="113">
        <v>908</v>
      </c>
      <c r="J836" s="115" t="s">
        <v>271</v>
      </c>
    </row>
    <row r="837" spans="1:10" x14ac:dyDescent="0.25">
      <c r="A837" s="113">
        <v>834</v>
      </c>
      <c r="B837" s="114" t="s">
        <v>1651</v>
      </c>
      <c r="C837" s="115" t="s">
        <v>1652</v>
      </c>
      <c r="D837" s="115" t="s">
        <v>461</v>
      </c>
      <c r="E837" s="115" t="s">
        <v>1650</v>
      </c>
      <c r="F837" s="116">
        <v>100.468</v>
      </c>
      <c r="G837" s="116">
        <v>102.0479</v>
      </c>
      <c r="H837" s="116">
        <v>4.2300000000000004</v>
      </c>
      <c r="I837" s="113">
        <v>1310</v>
      </c>
      <c r="J837" s="115" t="s">
        <v>271</v>
      </c>
    </row>
    <row r="838" spans="1:10" x14ac:dyDescent="0.25">
      <c r="A838" s="113">
        <v>835</v>
      </c>
      <c r="B838" s="114" t="s">
        <v>1653</v>
      </c>
      <c r="C838" s="115" t="s">
        <v>1654</v>
      </c>
      <c r="D838" s="115" t="s">
        <v>461</v>
      </c>
      <c r="E838" s="115" t="s">
        <v>1650</v>
      </c>
      <c r="F838" s="116">
        <v>97.632999999999996</v>
      </c>
      <c r="G838" s="116">
        <v>97.792699999999996</v>
      </c>
      <c r="H838" s="116">
        <v>4.21</v>
      </c>
      <c r="I838" s="113">
        <v>517</v>
      </c>
      <c r="J838" s="115" t="s">
        <v>271</v>
      </c>
    </row>
    <row r="839" spans="1:10" x14ac:dyDescent="0.25">
      <c r="A839" s="113">
        <v>836</v>
      </c>
      <c r="B839" s="114" t="s">
        <v>1655</v>
      </c>
      <c r="C839" s="115" t="s">
        <v>1656</v>
      </c>
      <c r="D839" s="115" t="s">
        <v>461</v>
      </c>
      <c r="E839" s="115" t="s">
        <v>1650</v>
      </c>
      <c r="F839" s="116">
        <v>98.834999999999994</v>
      </c>
      <c r="G839" s="116">
        <v>99.918300000000002</v>
      </c>
      <c r="H839" s="116">
        <v>4.28</v>
      </c>
      <c r="I839" s="113">
        <v>420</v>
      </c>
      <c r="J839" s="115" t="s">
        <v>271</v>
      </c>
    </row>
    <row r="840" spans="1:10" x14ac:dyDescent="0.25">
      <c r="A840" s="113">
        <v>837</v>
      </c>
      <c r="B840" s="114" t="s">
        <v>1657</v>
      </c>
      <c r="C840" s="115" t="s">
        <v>1658</v>
      </c>
      <c r="D840" s="115" t="s">
        <v>451</v>
      </c>
      <c r="E840" s="115" t="s">
        <v>1650</v>
      </c>
      <c r="F840" s="116">
        <v>530.03719535000005</v>
      </c>
      <c r="G840" s="116">
        <v>530.03719535000005</v>
      </c>
      <c r="H840" s="116">
        <v>0</v>
      </c>
      <c r="I840" s="113">
        <v>594</v>
      </c>
      <c r="J840" s="115" t="s">
        <v>240</v>
      </c>
    </row>
    <row r="841" spans="1:10" x14ac:dyDescent="0.25">
      <c r="A841" s="113">
        <v>838</v>
      </c>
      <c r="B841" s="114" t="s">
        <v>1675</v>
      </c>
      <c r="C841" s="115" t="s">
        <v>1676</v>
      </c>
      <c r="D841" s="115" t="s">
        <v>451</v>
      </c>
      <c r="E841" s="115" t="s">
        <v>1677</v>
      </c>
      <c r="F841" s="116">
        <v>46664.959900000002</v>
      </c>
      <c r="G841" s="116">
        <v>46664.959900000002</v>
      </c>
      <c r="H841" s="116">
        <v>0</v>
      </c>
      <c r="I841" s="113">
        <v>0</v>
      </c>
      <c r="J841" s="115" t="s">
        <v>240</v>
      </c>
    </row>
    <row r="842" spans="1:10" x14ac:dyDescent="0.25">
      <c r="A842" s="113">
        <v>839</v>
      </c>
      <c r="B842" s="114" t="s">
        <v>2016</v>
      </c>
      <c r="C842" s="115" t="s">
        <v>2017</v>
      </c>
      <c r="D842" s="115" t="s">
        <v>461</v>
      </c>
      <c r="E842" s="115" t="s">
        <v>2018</v>
      </c>
      <c r="F842" s="116">
        <v>94.638212828895561</v>
      </c>
      <c r="G842" s="116">
        <v>96.100712828895567</v>
      </c>
      <c r="H842" s="116">
        <v>23.18</v>
      </c>
      <c r="I842" s="113">
        <v>874</v>
      </c>
      <c r="J842" s="115" t="s">
        <v>271</v>
      </c>
    </row>
    <row r="843" spans="1:10" x14ac:dyDescent="0.25">
      <c r="A843" s="113">
        <v>840</v>
      </c>
      <c r="B843" s="114" t="s">
        <v>2417</v>
      </c>
      <c r="C843" s="115" t="s">
        <v>2418</v>
      </c>
      <c r="D843" s="115" t="s">
        <v>451</v>
      </c>
      <c r="E843" s="115" t="s">
        <v>2018</v>
      </c>
      <c r="F843" s="116">
        <v>967.9</v>
      </c>
      <c r="G843" s="116">
        <v>967.9</v>
      </c>
      <c r="H843" s="116">
        <v>0</v>
      </c>
      <c r="I843" s="113">
        <v>0</v>
      </c>
      <c r="J843" s="115" t="s">
        <v>240</v>
      </c>
    </row>
    <row r="844" spans="1:10" x14ac:dyDescent="0.25">
      <c r="A844" s="113">
        <v>841</v>
      </c>
      <c r="B844" s="114" t="s">
        <v>1678</v>
      </c>
      <c r="C844" s="115" t="s">
        <v>1679</v>
      </c>
      <c r="D844" s="115" t="s">
        <v>461</v>
      </c>
      <c r="E844" s="115" t="s">
        <v>1680</v>
      </c>
      <c r="F844" s="116">
        <v>100</v>
      </c>
      <c r="G844" s="116">
        <v>100.3896</v>
      </c>
      <c r="H844" s="116">
        <v>4.24</v>
      </c>
      <c r="I844" s="113">
        <v>267</v>
      </c>
      <c r="J844" s="115" t="s">
        <v>271</v>
      </c>
    </row>
    <row r="845" spans="1:10" x14ac:dyDescent="0.25">
      <c r="A845" s="113">
        <v>842</v>
      </c>
      <c r="B845" s="114" t="s">
        <v>2147</v>
      </c>
      <c r="C845" s="115" t="s">
        <v>2148</v>
      </c>
      <c r="D845" s="115" t="s">
        <v>461</v>
      </c>
      <c r="E845" s="115" t="s">
        <v>1680</v>
      </c>
      <c r="F845" s="116">
        <v>100</v>
      </c>
      <c r="G845" s="116">
        <v>101.5111</v>
      </c>
      <c r="H845" s="116">
        <v>4.24</v>
      </c>
      <c r="I845" s="113">
        <v>532</v>
      </c>
      <c r="J845" s="115" t="s">
        <v>271</v>
      </c>
    </row>
    <row r="846" spans="1:10" x14ac:dyDescent="0.25">
      <c r="A846" s="113">
        <v>843</v>
      </c>
      <c r="B846" s="114" t="s">
        <v>1681</v>
      </c>
      <c r="C846" s="115" t="s">
        <v>1682</v>
      </c>
      <c r="D846" s="115" t="s">
        <v>461</v>
      </c>
      <c r="E846" s="115" t="s">
        <v>1680</v>
      </c>
      <c r="F846" s="116">
        <v>100</v>
      </c>
      <c r="G846" s="116">
        <v>100.07680000000001</v>
      </c>
      <c r="H846" s="116">
        <v>0.35</v>
      </c>
      <c r="I846" s="113">
        <v>281</v>
      </c>
      <c r="J846" s="115" t="s">
        <v>271</v>
      </c>
    </row>
    <row r="847" spans="1:10" x14ac:dyDescent="0.25">
      <c r="A847" s="113">
        <v>844</v>
      </c>
      <c r="B847" s="114" t="s">
        <v>1683</v>
      </c>
      <c r="C847" s="115" t="s">
        <v>1684</v>
      </c>
      <c r="D847" s="115" t="s">
        <v>461</v>
      </c>
      <c r="E847" s="115" t="s">
        <v>1680</v>
      </c>
      <c r="F847" s="116">
        <v>95.691493063098036</v>
      </c>
      <c r="G847" s="116">
        <v>100.40149306309803</v>
      </c>
      <c r="H847" s="116">
        <v>19.170000000000002</v>
      </c>
      <c r="I847" s="113">
        <v>203</v>
      </c>
      <c r="J847" s="115" t="s">
        <v>271</v>
      </c>
    </row>
    <row r="848" spans="1:10" x14ac:dyDescent="0.25">
      <c r="A848" s="113">
        <v>845</v>
      </c>
      <c r="B848" s="114" t="s">
        <v>1685</v>
      </c>
      <c r="C848" s="115" t="s">
        <v>1686</v>
      </c>
      <c r="D848" s="115" t="s">
        <v>461</v>
      </c>
      <c r="E848" s="115" t="s">
        <v>1680</v>
      </c>
      <c r="F848" s="116">
        <v>100</v>
      </c>
      <c r="G848" s="116">
        <v>100.0012</v>
      </c>
      <c r="H848" s="116">
        <v>0.02</v>
      </c>
      <c r="I848" s="113">
        <v>3094</v>
      </c>
      <c r="J848" s="115" t="s">
        <v>271</v>
      </c>
    </row>
    <row r="849" spans="1:10" x14ac:dyDescent="0.25">
      <c r="A849" s="113">
        <v>846</v>
      </c>
      <c r="B849" s="114" t="s">
        <v>1687</v>
      </c>
      <c r="C849" s="115" t="s">
        <v>1688</v>
      </c>
      <c r="D849" s="115" t="s">
        <v>461</v>
      </c>
      <c r="E849" s="115" t="s">
        <v>1680</v>
      </c>
      <c r="F849" s="116">
        <v>100</v>
      </c>
      <c r="G849" s="116">
        <v>101.03360000000001</v>
      </c>
      <c r="H849" s="116">
        <v>6.08</v>
      </c>
      <c r="I849" s="113">
        <v>1709</v>
      </c>
      <c r="J849" s="115" t="s">
        <v>271</v>
      </c>
    </row>
    <row r="850" spans="1:10" x14ac:dyDescent="0.25">
      <c r="A850" s="113">
        <v>847</v>
      </c>
      <c r="B850" s="114" t="s">
        <v>1689</v>
      </c>
      <c r="C850" s="115" t="s">
        <v>1690</v>
      </c>
      <c r="D850" s="115" t="s">
        <v>461</v>
      </c>
      <c r="E850" s="115" t="s">
        <v>1680</v>
      </c>
      <c r="F850" s="116">
        <v>100</v>
      </c>
      <c r="G850" s="116">
        <v>105.8969</v>
      </c>
      <c r="H850" s="116">
        <v>7.08</v>
      </c>
      <c r="I850" s="113">
        <v>2191</v>
      </c>
      <c r="J850" s="115" t="s">
        <v>271</v>
      </c>
    </row>
    <row r="851" spans="1:10" x14ac:dyDescent="0.25">
      <c r="A851" s="113">
        <v>848</v>
      </c>
      <c r="B851" s="114" t="s">
        <v>1691</v>
      </c>
      <c r="C851" s="115" t="s">
        <v>1692</v>
      </c>
      <c r="D851" s="115" t="s">
        <v>461</v>
      </c>
      <c r="E851" s="115" t="s">
        <v>1680</v>
      </c>
      <c r="F851" s="116">
        <v>100</v>
      </c>
      <c r="G851" s="116">
        <v>100.2033</v>
      </c>
      <c r="H851" s="116">
        <v>6.09</v>
      </c>
      <c r="I851" s="113">
        <v>2118</v>
      </c>
      <c r="J851" s="115" t="s">
        <v>271</v>
      </c>
    </row>
    <row r="852" spans="1:10" x14ac:dyDescent="0.25">
      <c r="A852" s="113">
        <v>849</v>
      </c>
      <c r="B852" s="114" t="s">
        <v>1693</v>
      </c>
      <c r="C852" s="115" t="s">
        <v>1694</v>
      </c>
      <c r="D852" s="115" t="s">
        <v>461</v>
      </c>
      <c r="E852" s="115" t="s">
        <v>1680</v>
      </c>
      <c r="F852" s="116">
        <v>100</v>
      </c>
      <c r="G852" s="116">
        <v>105.1511</v>
      </c>
      <c r="H852" s="116">
        <v>6.08</v>
      </c>
      <c r="I852" s="113">
        <v>2546</v>
      </c>
      <c r="J852" s="115" t="s">
        <v>271</v>
      </c>
    </row>
    <row r="853" spans="1:10" x14ac:dyDescent="0.25">
      <c r="A853" s="113">
        <v>850</v>
      </c>
      <c r="B853" s="114" t="s">
        <v>1695</v>
      </c>
      <c r="C853" s="115" t="s">
        <v>1696</v>
      </c>
      <c r="D853" s="115" t="s">
        <v>461</v>
      </c>
      <c r="E853" s="115" t="s">
        <v>1680</v>
      </c>
      <c r="F853" s="116">
        <v>100</v>
      </c>
      <c r="G853" s="116">
        <v>105.1511</v>
      </c>
      <c r="H853" s="116">
        <v>6.08</v>
      </c>
      <c r="I853" s="113">
        <v>2546</v>
      </c>
      <c r="J853" s="115" t="s">
        <v>271</v>
      </c>
    </row>
    <row r="854" spans="1:10" x14ac:dyDescent="0.25">
      <c r="A854" s="113">
        <v>851</v>
      </c>
      <c r="B854" s="114" t="s">
        <v>1697</v>
      </c>
      <c r="C854" s="115" t="s">
        <v>1698</v>
      </c>
      <c r="D854" s="115" t="s">
        <v>461</v>
      </c>
      <c r="E854" s="115" t="s">
        <v>1680</v>
      </c>
      <c r="F854" s="116">
        <v>100</v>
      </c>
      <c r="G854" s="116">
        <v>104.0158</v>
      </c>
      <c r="H854" s="116">
        <v>6.08</v>
      </c>
      <c r="I854" s="113">
        <v>2613</v>
      </c>
      <c r="J854" s="115" t="s">
        <v>271</v>
      </c>
    </row>
    <row r="855" spans="1:10" x14ac:dyDescent="0.25">
      <c r="A855" s="113">
        <v>852</v>
      </c>
      <c r="B855" s="114" t="s">
        <v>1699</v>
      </c>
      <c r="C855" s="115" t="s">
        <v>1700</v>
      </c>
      <c r="D855" s="115" t="s">
        <v>451</v>
      </c>
      <c r="E855" s="115" t="s">
        <v>1701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1702</v>
      </c>
      <c r="C856" s="115" t="s">
        <v>1703</v>
      </c>
      <c r="D856" s="115" t="s">
        <v>451</v>
      </c>
      <c r="E856" s="115" t="s">
        <v>1704</v>
      </c>
      <c r="F856" s="116">
        <v>0.01</v>
      </c>
      <c r="G856" s="116">
        <v>0.01</v>
      </c>
      <c r="H856" s="116">
        <v>0</v>
      </c>
      <c r="I856" s="113">
        <v>0</v>
      </c>
      <c r="J856" s="115" t="s">
        <v>240</v>
      </c>
    </row>
    <row r="857" spans="1:10" x14ac:dyDescent="0.25">
      <c r="A857" s="113">
        <v>854</v>
      </c>
      <c r="B857" s="114" t="s">
        <v>1705</v>
      </c>
      <c r="C857" s="115" t="s">
        <v>1706</v>
      </c>
      <c r="D857" s="115" t="s">
        <v>461</v>
      </c>
      <c r="E857" s="115" t="s">
        <v>1707</v>
      </c>
      <c r="F857" s="116">
        <v>92.250424254497958</v>
      </c>
      <c r="G857" s="116">
        <v>93.549024254497951</v>
      </c>
      <c r="H857" s="116">
        <v>20.32</v>
      </c>
      <c r="I857" s="113">
        <v>506</v>
      </c>
      <c r="J857" s="115" t="s">
        <v>271</v>
      </c>
    </row>
    <row r="858" spans="1:10" x14ac:dyDescent="0.25">
      <c r="A858" s="113">
        <v>855</v>
      </c>
      <c r="B858" s="114" t="s">
        <v>1708</v>
      </c>
      <c r="C858" s="115" t="s">
        <v>1709</v>
      </c>
      <c r="D858" s="115" t="s">
        <v>461</v>
      </c>
      <c r="E858" s="115" t="s">
        <v>1710</v>
      </c>
      <c r="F858" s="116">
        <v>100</v>
      </c>
      <c r="G858" s="116">
        <v>100.1254</v>
      </c>
      <c r="H858" s="116">
        <v>0.35</v>
      </c>
      <c r="I858" s="113">
        <v>51</v>
      </c>
      <c r="J858" s="115" t="s">
        <v>271</v>
      </c>
    </row>
    <row r="859" spans="1:10" x14ac:dyDescent="0.25">
      <c r="A859" s="113">
        <v>856</v>
      </c>
      <c r="B859" s="114" t="s">
        <v>1711</v>
      </c>
      <c r="C859" s="115" t="s">
        <v>1712</v>
      </c>
      <c r="D859" s="115" t="s">
        <v>461</v>
      </c>
      <c r="E859" s="115" t="s">
        <v>1710</v>
      </c>
      <c r="F859" s="116">
        <v>100</v>
      </c>
      <c r="G859" s="116">
        <v>100.08459999999999</v>
      </c>
      <c r="H859" s="116">
        <v>0.35</v>
      </c>
      <c r="I859" s="113">
        <v>93</v>
      </c>
      <c r="J859" s="115" t="s">
        <v>271</v>
      </c>
    </row>
    <row r="860" spans="1:10" x14ac:dyDescent="0.25">
      <c r="A860" s="113">
        <v>857</v>
      </c>
      <c r="B860" s="114" t="s">
        <v>1713</v>
      </c>
      <c r="C860" s="115" t="s">
        <v>1714</v>
      </c>
      <c r="D860" s="115" t="s">
        <v>461</v>
      </c>
      <c r="E860" s="115" t="s">
        <v>1710</v>
      </c>
      <c r="F860" s="116">
        <v>100</v>
      </c>
      <c r="G860" s="116">
        <v>100.07680000000001</v>
      </c>
      <c r="H860" s="116">
        <v>0.35</v>
      </c>
      <c r="I860" s="113">
        <v>281</v>
      </c>
      <c r="J860" s="115" t="s">
        <v>271</v>
      </c>
    </row>
    <row r="861" spans="1:10" x14ac:dyDescent="0.25">
      <c r="A861" s="113">
        <v>858</v>
      </c>
      <c r="B861" s="114" t="s">
        <v>1715</v>
      </c>
      <c r="C861" s="115" t="s">
        <v>1716</v>
      </c>
      <c r="D861" s="115" t="s">
        <v>461</v>
      </c>
      <c r="E861" s="115" t="s">
        <v>1710</v>
      </c>
      <c r="F861" s="116">
        <v>100</v>
      </c>
      <c r="G861" s="116">
        <v>100.0164</v>
      </c>
      <c r="H861" s="116">
        <v>0.02</v>
      </c>
      <c r="I861" s="113">
        <v>3094</v>
      </c>
      <c r="J861" s="115" t="s">
        <v>271</v>
      </c>
    </row>
    <row r="862" spans="1:10" x14ac:dyDescent="0.25">
      <c r="A862" s="113">
        <v>859</v>
      </c>
      <c r="B862" s="114" t="s">
        <v>1717</v>
      </c>
      <c r="C862" s="115" t="s">
        <v>1718</v>
      </c>
      <c r="D862" s="115" t="s">
        <v>461</v>
      </c>
      <c r="E862" s="115" t="s">
        <v>1710</v>
      </c>
      <c r="F862" s="116">
        <v>100</v>
      </c>
      <c r="G862" s="116">
        <v>101.03360000000001</v>
      </c>
      <c r="H862" s="116">
        <v>6.08</v>
      </c>
      <c r="I862" s="113">
        <v>1709</v>
      </c>
      <c r="J862" s="115" t="s">
        <v>271</v>
      </c>
    </row>
    <row r="863" spans="1:10" x14ac:dyDescent="0.25">
      <c r="A863" s="113">
        <v>860</v>
      </c>
      <c r="B863" s="114" t="s">
        <v>1719</v>
      </c>
      <c r="C863" s="115" t="s">
        <v>1720</v>
      </c>
      <c r="D863" s="115" t="s">
        <v>461</v>
      </c>
      <c r="E863" s="115" t="s">
        <v>1710</v>
      </c>
      <c r="F863" s="116">
        <v>100</v>
      </c>
      <c r="G863" s="116">
        <v>105.8969</v>
      </c>
      <c r="H863" s="116">
        <v>7.08</v>
      </c>
      <c r="I863" s="113">
        <v>2191</v>
      </c>
      <c r="J863" s="115" t="s">
        <v>271</v>
      </c>
    </row>
    <row r="864" spans="1:10" x14ac:dyDescent="0.25">
      <c r="A864" s="113">
        <v>861</v>
      </c>
      <c r="B864" s="114" t="s">
        <v>2333</v>
      </c>
      <c r="C864" s="115" t="s">
        <v>2334</v>
      </c>
      <c r="D864" s="115" t="s">
        <v>461</v>
      </c>
      <c r="E864" s="115" t="s">
        <v>1710</v>
      </c>
      <c r="F864" s="116">
        <v>90.548353194396896</v>
      </c>
      <c r="G864" s="116">
        <v>92.469453194396891</v>
      </c>
      <c r="H864" s="116">
        <v>20.46</v>
      </c>
      <c r="I864" s="113">
        <v>3562</v>
      </c>
      <c r="J864" s="115" t="s">
        <v>271</v>
      </c>
    </row>
    <row r="865" spans="1:10" x14ac:dyDescent="0.25">
      <c r="A865" s="113">
        <v>862</v>
      </c>
      <c r="B865" s="114" t="s">
        <v>2404</v>
      </c>
      <c r="C865" s="115" t="s">
        <v>2405</v>
      </c>
      <c r="D865" s="115" t="s">
        <v>461</v>
      </c>
      <c r="E865" s="115" t="s">
        <v>1710</v>
      </c>
      <c r="F865" s="116">
        <v>90.543312951209003</v>
      </c>
      <c r="G865" s="116">
        <v>91.85771295120901</v>
      </c>
      <c r="H865" s="116">
        <v>20.47</v>
      </c>
      <c r="I865" s="113">
        <v>3574</v>
      </c>
      <c r="J865" s="115" t="s">
        <v>271</v>
      </c>
    </row>
    <row r="866" spans="1:10" x14ac:dyDescent="0.25">
      <c r="A866" s="113">
        <v>863</v>
      </c>
      <c r="B866" s="114" t="s">
        <v>1721</v>
      </c>
      <c r="C866" s="115" t="s">
        <v>1722</v>
      </c>
      <c r="D866" s="115" t="s">
        <v>461</v>
      </c>
      <c r="E866" s="115" t="s">
        <v>1710</v>
      </c>
      <c r="F866" s="116">
        <v>100</v>
      </c>
      <c r="G866" s="116">
        <v>100.2033</v>
      </c>
      <c r="H866" s="116">
        <v>6.09</v>
      </c>
      <c r="I866" s="113">
        <v>2118</v>
      </c>
      <c r="J866" s="115" t="s">
        <v>271</v>
      </c>
    </row>
    <row r="867" spans="1:10" x14ac:dyDescent="0.25">
      <c r="A867" s="113">
        <v>864</v>
      </c>
      <c r="B867" s="114" t="s">
        <v>1723</v>
      </c>
      <c r="C867" s="115" t="s">
        <v>1724</v>
      </c>
      <c r="D867" s="115" t="s">
        <v>461</v>
      </c>
      <c r="E867" s="115" t="s">
        <v>1710</v>
      </c>
      <c r="F867" s="116">
        <v>100</v>
      </c>
      <c r="G867" s="116">
        <v>105.1511</v>
      </c>
      <c r="H867" s="116">
        <v>6.08</v>
      </c>
      <c r="I867" s="113">
        <v>2546</v>
      </c>
      <c r="J867" s="115" t="s">
        <v>271</v>
      </c>
    </row>
    <row r="868" spans="1:10" x14ac:dyDescent="0.25">
      <c r="A868" s="113">
        <v>865</v>
      </c>
      <c r="B868" s="114" t="s">
        <v>1725</v>
      </c>
      <c r="C868" s="115" t="s">
        <v>1726</v>
      </c>
      <c r="D868" s="115" t="s">
        <v>461</v>
      </c>
      <c r="E868" s="115" t="s">
        <v>1710</v>
      </c>
      <c r="F868" s="116">
        <v>100</v>
      </c>
      <c r="G868" s="116">
        <v>105.1511</v>
      </c>
      <c r="H868" s="116">
        <v>6.08</v>
      </c>
      <c r="I868" s="113">
        <v>2546</v>
      </c>
      <c r="J868" s="115" t="s">
        <v>271</v>
      </c>
    </row>
    <row r="869" spans="1:10" x14ac:dyDescent="0.25">
      <c r="A869" s="113">
        <v>866</v>
      </c>
      <c r="B869" s="114" t="s">
        <v>1727</v>
      </c>
      <c r="C869" s="115" t="s">
        <v>1728</v>
      </c>
      <c r="D869" s="115" t="s">
        <v>461</v>
      </c>
      <c r="E869" s="115" t="s">
        <v>1710</v>
      </c>
      <c r="F869" s="116">
        <v>100</v>
      </c>
      <c r="G869" s="116">
        <v>104.0158</v>
      </c>
      <c r="H869" s="116">
        <v>6.08</v>
      </c>
      <c r="I869" s="113">
        <v>2613</v>
      </c>
      <c r="J869" s="115" t="s">
        <v>271</v>
      </c>
    </row>
    <row r="870" spans="1:10" x14ac:dyDescent="0.25">
      <c r="A870" s="113">
        <v>867</v>
      </c>
      <c r="B870" s="114" t="s">
        <v>428</v>
      </c>
      <c r="C870" s="115" t="s">
        <v>429</v>
      </c>
      <c r="D870" s="115" t="s">
        <v>461</v>
      </c>
      <c r="E870" s="115" t="s">
        <v>435</v>
      </c>
      <c r="F870" s="116">
        <v>90.455852693432377</v>
      </c>
      <c r="G870" s="116">
        <v>91.126652693432376</v>
      </c>
      <c r="H870" s="116">
        <v>16.440000000000001</v>
      </c>
      <c r="I870" s="113">
        <v>697</v>
      </c>
      <c r="J870" s="115" t="s">
        <v>271</v>
      </c>
    </row>
    <row r="871" spans="1:10" x14ac:dyDescent="0.25">
      <c r="A871" s="113">
        <v>868</v>
      </c>
      <c r="B871" s="114" t="s">
        <v>430</v>
      </c>
      <c r="C871" s="115" t="s">
        <v>431</v>
      </c>
      <c r="D871" s="115" t="s">
        <v>461</v>
      </c>
      <c r="E871" s="115" t="s">
        <v>435</v>
      </c>
      <c r="F871" s="116">
        <v>96.728999999999999</v>
      </c>
      <c r="G871" s="116">
        <v>97.384600000000006</v>
      </c>
      <c r="H871" s="116">
        <v>4.9000000000000004</v>
      </c>
      <c r="I871" s="113">
        <v>422</v>
      </c>
      <c r="J871" s="115" t="s">
        <v>271</v>
      </c>
    </row>
    <row r="872" spans="1:10" x14ac:dyDescent="0.25">
      <c r="A872" s="113">
        <v>869</v>
      </c>
      <c r="B872" s="114" t="s">
        <v>1729</v>
      </c>
      <c r="C872" s="115" t="s">
        <v>1730</v>
      </c>
      <c r="D872" s="115" t="s">
        <v>451</v>
      </c>
      <c r="E872" s="115" t="s">
        <v>1731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1732</v>
      </c>
      <c r="C873" s="115" t="s">
        <v>1733</v>
      </c>
      <c r="D873" s="115" t="s">
        <v>461</v>
      </c>
      <c r="E873" s="115" t="s">
        <v>1734</v>
      </c>
      <c r="F873" s="116">
        <v>98.739507282063244</v>
      </c>
      <c r="G873" s="116">
        <v>101.41510728206325</v>
      </c>
      <c r="H873" s="116">
        <v>16.100000000000001</v>
      </c>
      <c r="I873" s="113">
        <v>94</v>
      </c>
      <c r="J873" s="115" t="s">
        <v>271</v>
      </c>
    </row>
    <row r="874" spans="1:10" x14ac:dyDescent="0.25">
      <c r="A874" s="113">
        <v>871</v>
      </c>
      <c r="B874" s="114" t="s">
        <v>1735</v>
      </c>
      <c r="C874" s="115" t="s">
        <v>1736</v>
      </c>
      <c r="D874" s="115" t="s">
        <v>461</v>
      </c>
      <c r="E874" s="115" t="s">
        <v>1737</v>
      </c>
      <c r="F874" s="116">
        <v>95.356983742165184</v>
      </c>
      <c r="G874" s="116">
        <v>95.831983742165178</v>
      </c>
      <c r="H874" s="116">
        <v>30</v>
      </c>
      <c r="I874" s="113">
        <v>3234</v>
      </c>
      <c r="J874" s="115" t="s">
        <v>271</v>
      </c>
    </row>
    <row r="875" spans="1:10" x14ac:dyDescent="0.25">
      <c r="A875" s="113">
        <v>872</v>
      </c>
      <c r="B875" s="114" t="s">
        <v>2099</v>
      </c>
      <c r="C875" s="115" t="s">
        <v>1882</v>
      </c>
      <c r="D875" s="115" t="s">
        <v>761</v>
      </c>
      <c r="E875" s="115" t="s">
        <v>1883</v>
      </c>
      <c r="F875" s="116">
        <v>344683.26815000002</v>
      </c>
      <c r="G875" s="116">
        <v>344683.26815000002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1738</v>
      </c>
      <c r="C876" s="115" t="s">
        <v>1739</v>
      </c>
      <c r="D876" s="115" t="s">
        <v>451</v>
      </c>
      <c r="E876" s="115" t="s">
        <v>1740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240</v>
      </c>
    </row>
    <row r="877" spans="1:10" x14ac:dyDescent="0.25">
      <c r="A877" s="113">
        <v>874</v>
      </c>
      <c r="B877" s="114" t="s">
        <v>2222</v>
      </c>
      <c r="C877" s="115" t="s">
        <v>2223</v>
      </c>
      <c r="D877" s="115" t="s">
        <v>461</v>
      </c>
      <c r="E877" s="115" t="s">
        <v>2224</v>
      </c>
      <c r="F877" s="116">
        <v>100.71292634660287</v>
      </c>
      <c r="G877" s="116">
        <v>105.84622634660286</v>
      </c>
      <c r="H877" s="116">
        <v>20.65</v>
      </c>
      <c r="I877" s="113">
        <v>992</v>
      </c>
      <c r="J877" s="115" t="s">
        <v>271</v>
      </c>
    </row>
    <row r="878" spans="1:10" x14ac:dyDescent="0.25">
      <c r="A878" s="113">
        <v>875</v>
      </c>
      <c r="B878" s="114" t="s">
        <v>1744</v>
      </c>
      <c r="C878" s="115" t="s">
        <v>1745</v>
      </c>
      <c r="D878" s="115" t="s">
        <v>461</v>
      </c>
      <c r="E878" s="115" t="s">
        <v>432</v>
      </c>
      <c r="F878" s="116">
        <v>100</v>
      </c>
      <c r="G878" s="116">
        <v>101.46939999999999</v>
      </c>
      <c r="H878" s="116">
        <v>11.49</v>
      </c>
      <c r="I878" s="113">
        <v>2294</v>
      </c>
      <c r="J878" s="115" t="s">
        <v>271</v>
      </c>
    </row>
    <row r="879" spans="1:10" x14ac:dyDescent="0.25">
      <c r="A879" s="113">
        <v>876</v>
      </c>
      <c r="B879" s="114" t="s">
        <v>433</v>
      </c>
      <c r="C879" s="115" t="s">
        <v>434</v>
      </c>
      <c r="D879" s="115" t="s">
        <v>461</v>
      </c>
      <c r="E879" s="115" t="s">
        <v>432</v>
      </c>
      <c r="F879" s="116">
        <v>100</v>
      </c>
      <c r="G879" s="116">
        <v>103.50279999999999</v>
      </c>
      <c r="H879" s="116">
        <v>12.98</v>
      </c>
      <c r="I879" s="113">
        <v>1163</v>
      </c>
      <c r="J879" s="115" t="s">
        <v>271</v>
      </c>
    </row>
    <row r="880" spans="1:10" x14ac:dyDescent="0.25">
      <c r="A880" s="113">
        <v>877</v>
      </c>
      <c r="B880" s="114" t="s">
        <v>1746</v>
      </c>
      <c r="C880" s="115" t="s">
        <v>1747</v>
      </c>
      <c r="D880" s="115" t="s">
        <v>461</v>
      </c>
      <c r="E880" s="115" t="s">
        <v>639</v>
      </c>
      <c r="F880" s="116">
        <v>100</v>
      </c>
      <c r="G880" s="116">
        <v>101.9333</v>
      </c>
      <c r="H880" s="116">
        <v>7.98</v>
      </c>
      <c r="I880" s="113">
        <v>453</v>
      </c>
      <c r="J880" s="115" t="s">
        <v>271</v>
      </c>
    </row>
    <row r="881" spans="1:10" x14ac:dyDescent="0.25">
      <c r="A881" s="113">
        <v>878</v>
      </c>
      <c r="B881" s="114" t="s">
        <v>1748</v>
      </c>
      <c r="C881" s="115" t="s">
        <v>1749</v>
      </c>
      <c r="D881" s="115" t="s">
        <v>461</v>
      </c>
      <c r="E881" s="115" t="s">
        <v>639</v>
      </c>
      <c r="F881" s="116">
        <v>100</v>
      </c>
      <c r="G881" s="116">
        <v>101.9333</v>
      </c>
      <c r="H881" s="116">
        <v>8</v>
      </c>
      <c r="I881" s="113">
        <v>2253</v>
      </c>
      <c r="J881" s="115" t="s">
        <v>271</v>
      </c>
    </row>
    <row r="882" spans="1:10" x14ac:dyDescent="0.25">
      <c r="A882" s="113">
        <v>879</v>
      </c>
      <c r="B882" s="114" t="s">
        <v>1750</v>
      </c>
      <c r="C882" s="115" t="s">
        <v>1751</v>
      </c>
      <c r="D882" s="115" t="s">
        <v>461</v>
      </c>
      <c r="E882" s="115" t="s">
        <v>639</v>
      </c>
      <c r="F882" s="116">
        <v>100</v>
      </c>
      <c r="G882" s="116">
        <v>102.9333</v>
      </c>
      <c r="H882" s="116">
        <v>7.97</v>
      </c>
      <c r="I882" s="113">
        <v>228</v>
      </c>
      <c r="J882" s="115" t="s">
        <v>271</v>
      </c>
    </row>
    <row r="883" spans="1:10" x14ac:dyDescent="0.25">
      <c r="A883" s="113">
        <v>880</v>
      </c>
      <c r="B883" s="114" t="s">
        <v>1752</v>
      </c>
      <c r="C883" s="115" t="s">
        <v>1753</v>
      </c>
      <c r="D883" s="115" t="s">
        <v>461</v>
      </c>
      <c r="E883" s="115" t="s">
        <v>639</v>
      </c>
      <c r="F883" s="116">
        <v>100</v>
      </c>
      <c r="G883" s="116">
        <v>102.9333</v>
      </c>
      <c r="H883" s="116">
        <v>7.97</v>
      </c>
      <c r="I883" s="113">
        <v>228</v>
      </c>
      <c r="J883" s="115" t="s">
        <v>271</v>
      </c>
    </row>
    <row r="884" spans="1:10" x14ac:dyDescent="0.25">
      <c r="A884" s="113">
        <v>881</v>
      </c>
      <c r="B884" s="114" t="s">
        <v>1754</v>
      </c>
      <c r="C884" s="115" t="s">
        <v>1755</v>
      </c>
      <c r="D884" s="115" t="s">
        <v>461</v>
      </c>
      <c r="E884" s="115" t="s">
        <v>639</v>
      </c>
      <c r="F884" s="116">
        <v>100</v>
      </c>
      <c r="G884" s="116">
        <v>102.9333</v>
      </c>
      <c r="H884" s="116">
        <v>7.99</v>
      </c>
      <c r="I884" s="113">
        <v>588</v>
      </c>
      <c r="J884" s="115" t="s">
        <v>271</v>
      </c>
    </row>
    <row r="885" spans="1:10" x14ac:dyDescent="0.25">
      <c r="A885" s="113">
        <v>882</v>
      </c>
      <c r="B885" s="114" t="s">
        <v>1756</v>
      </c>
      <c r="C885" s="115" t="s">
        <v>1757</v>
      </c>
      <c r="D885" s="115" t="s">
        <v>461</v>
      </c>
      <c r="E885" s="115" t="s">
        <v>639</v>
      </c>
      <c r="F885" s="116">
        <v>100</v>
      </c>
      <c r="G885" s="116">
        <v>102.9333</v>
      </c>
      <c r="H885" s="116">
        <v>7.99</v>
      </c>
      <c r="I885" s="113">
        <v>588</v>
      </c>
      <c r="J885" s="115" t="s">
        <v>271</v>
      </c>
    </row>
    <row r="886" spans="1:10" x14ac:dyDescent="0.25">
      <c r="A886" s="113">
        <v>883</v>
      </c>
      <c r="B886" s="114" t="s">
        <v>1758</v>
      </c>
      <c r="C886" s="115" t="s">
        <v>1759</v>
      </c>
      <c r="D886" s="115" t="s">
        <v>461</v>
      </c>
      <c r="E886" s="115" t="s">
        <v>1760</v>
      </c>
      <c r="F886" s="116">
        <v>91.060473107018325</v>
      </c>
      <c r="G886" s="116">
        <v>91.444473107018325</v>
      </c>
      <c r="H886" s="116">
        <v>23.31</v>
      </c>
      <c r="I886" s="113">
        <v>1433</v>
      </c>
      <c r="J886" s="115" t="s">
        <v>271</v>
      </c>
    </row>
    <row r="887" spans="1:10" x14ac:dyDescent="0.25">
      <c r="A887" s="113">
        <v>884</v>
      </c>
      <c r="B887" s="114" t="s">
        <v>1761</v>
      </c>
      <c r="C887" s="115" t="s">
        <v>1762</v>
      </c>
      <c r="D887" s="115" t="s">
        <v>461</v>
      </c>
      <c r="E887" s="115" t="s">
        <v>1763</v>
      </c>
      <c r="F887" s="116">
        <v>100</v>
      </c>
      <c r="G887" s="116">
        <v>100.2833</v>
      </c>
      <c r="H887" s="116">
        <v>4.24</v>
      </c>
      <c r="I887" s="113">
        <v>276</v>
      </c>
      <c r="J887" s="115" t="s">
        <v>271</v>
      </c>
    </row>
    <row r="888" spans="1:10" x14ac:dyDescent="0.25">
      <c r="A888" s="113">
        <v>885</v>
      </c>
      <c r="B888" s="114" t="s">
        <v>1764</v>
      </c>
      <c r="C888" s="115" t="s">
        <v>1765</v>
      </c>
      <c r="D888" s="115" t="s">
        <v>461</v>
      </c>
      <c r="E888" s="115" t="s">
        <v>1763</v>
      </c>
      <c r="F888" s="116">
        <v>100</v>
      </c>
      <c r="G888" s="116">
        <v>100.09139999999999</v>
      </c>
      <c r="H888" s="116">
        <v>0.35</v>
      </c>
      <c r="I888" s="113">
        <v>86</v>
      </c>
      <c r="J888" s="115" t="s">
        <v>271</v>
      </c>
    </row>
    <row r="889" spans="1:10" x14ac:dyDescent="0.25">
      <c r="A889" s="113">
        <v>886</v>
      </c>
      <c r="B889" s="114" t="s">
        <v>1766</v>
      </c>
      <c r="C889" s="115" t="s">
        <v>1767</v>
      </c>
      <c r="D889" s="115" t="s">
        <v>461</v>
      </c>
      <c r="E889" s="115" t="s">
        <v>1763</v>
      </c>
      <c r="F889" s="116">
        <v>100</v>
      </c>
      <c r="G889" s="116">
        <v>100.07680000000001</v>
      </c>
      <c r="H889" s="116">
        <v>0.35</v>
      </c>
      <c r="I889" s="113">
        <v>281</v>
      </c>
      <c r="J889" s="115" t="s">
        <v>271</v>
      </c>
    </row>
    <row r="890" spans="1:10" x14ac:dyDescent="0.25">
      <c r="A890" s="113">
        <v>887</v>
      </c>
      <c r="B890" s="114" t="s">
        <v>2182</v>
      </c>
      <c r="C890" s="115" t="s">
        <v>2183</v>
      </c>
      <c r="D890" s="115" t="s">
        <v>461</v>
      </c>
      <c r="E890" s="115" t="s">
        <v>1763</v>
      </c>
      <c r="F890" s="116">
        <v>100</v>
      </c>
      <c r="G890" s="116">
        <v>100.0992</v>
      </c>
      <c r="H890" s="116">
        <v>0.35</v>
      </c>
      <c r="I890" s="113">
        <v>618</v>
      </c>
      <c r="J890" s="115" t="s">
        <v>271</v>
      </c>
    </row>
    <row r="891" spans="1:10" x14ac:dyDescent="0.25">
      <c r="A891" s="113">
        <v>888</v>
      </c>
      <c r="B891" s="114" t="s">
        <v>1995</v>
      </c>
      <c r="C891" s="115" t="s">
        <v>1996</v>
      </c>
      <c r="D891" s="115" t="s">
        <v>461</v>
      </c>
      <c r="E891" s="115" t="s">
        <v>1763</v>
      </c>
      <c r="F891" s="116">
        <v>100</v>
      </c>
      <c r="G891" s="116">
        <v>100.0138</v>
      </c>
      <c r="H891" s="116">
        <v>0.02</v>
      </c>
      <c r="I891" s="113">
        <v>3094</v>
      </c>
      <c r="J891" s="115" t="s">
        <v>271</v>
      </c>
    </row>
    <row r="892" spans="1:10" x14ac:dyDescent="0.25">
      <c r="A892" s="113">
        <v>889</v>
      </c>
      <c r="B892" s="114" t="s">
        <v>1768</v>
      </c>
      <c r="C892" s="115" t="s">
        <v>1769</v>
      </c>
      <c r="D892" s="115" t="s">
        <v>461</v>
      </c>
      <c r="E892" s="115" t="s">
        <v>1763</v>
      </c>
      <c r="F892" s="116">
        <v>100</v>
      </c>
      <c r="G892" s="116">
        <v>104.7728</v>
      </c>
      <c r="H892" s="116">
        <v>7.05</v>
      </c>
      <c r="I892" s="113">
        <v>2191</v>
      </c>
      <c r="J892" s="115" t="s">
        <v>271</v>
      </c>
    </row>
    <row r="893" spans="1:10" x14ac:dyDescent="0.25">
      <c r="A893" s="113">
        <v>890</v>
      </c>
      <c r="B893" s="114" t="s">
        <v>1770</v>
      </c>
      <c r="C893" s="115" t="s">
        <v>1771</v>
      </c>
      <c r="D893" s="115" t="s">
        <v>461</v>
      </c>
      <c r="E893" s="115" t="s">
        <v>1763</v>
      </c>
      <c r="F893" s="116">
        <v>100</v>
      </c>
      <c r="G893" s="116">
        <v>100.00369999999999</v>
      </c>
      <c r="H893" s="116">
        <v>0.02</v>
      </c>
      <c r="I893" s="113">
        <v>3094</v>
      </c>
      <c r="J893" s="115" t="s">
        <v>271</v>
      </c>
    </row>
    <row r="894" spans="1:10" x14ac:dyDescent="0.25">
      <c r="A894" s="113">
        <v>891</v>
      </c>
      <c r="B894" s="114" t="s">
        <v>1772</v>
      </c>
      <c r="C894" s="115" t="s">
        <v>1773</v>
      </c>
      <c r="D894" s="115" t="s">
        <v>461</v>
      </c>
      <c r="E894" s="115" t="s">
        <v>1763</v>
      </c>
      <c r="F894" s="116">
        <v>100</v>
      </c>
      <c r="G894" s="116">
        <v>100.0042</v>
      </c>
      <c r="H894" s="116">
        <v>0.02</v>
      </c>
      <c r="I894" s="113">
        <v>3094</v>
      </c>
      <c r="J894" s="115" t="s">
        <v>271</v>
      </c>
    </row>
    <row r="895" spans="1:10" x14ac:dyDescent="0.25">
      <c r="A895" s="113">
        <v>892</v>
      </c>
      <c r="B895" s="114" t="s">
        <v>1774</v>
      </c>
      <c r="C895" s="115" t="s">
        <v>1775</v>
      </c>
      <c r="D895" s="115" t="s">
        <v>461</v>
      </c>
      <c r="E895" s="115" t="s">
        <v>1763</v>
      </c>
      <c r="F895" s="116">
        <v>100</v>
      </c>
      <c r="G895" s="116">
        <v>101.03360000000001</v>
      </c>
      <c r="H895" s="116">
        <v>6.08</v>
      </c>
      <c r="I895" s="113">
        <v>1709</v>
      </c>
      <c r="J895" s="115" t="s">
        <v>271</v>
      </c>
    </row>
    <row r="896" spans="1:10" x14ac:dyDescent="0.25">
      <c r="A896" s="113">
        <v>893</v>
      </c>
      <c r="B896" s="114" t="s">
        <v>1776</v>
      </c>
      <c r="C896" s="115" t="s">
        <v>1777</v>
      </c>
      <c r="D896" s="115" t="s">
        <v>461</v>
      </c>
      <c r="E896" s="115" t="s">
        <v>1763</v>
      </c>
      <c r="F896" s="116">
        <v>100</v>
      </c>
      <c r="G896" s="116">
        <v>100.2033</v>
      </c>
      <c r="H896" s="116">
        <v>6.09</v>
      </c>
      <c r="I896" s="113">
        <v>2118</v>
      </c>
      <c r="J896" s="115" t="s">
        <v>271</v>
      </c>
    </row>
    <row r="897" spans="1:10" x14ac:dyDescent="0.25">
      <c r="A897" s="113">
        <v>894</v>
      </c>
      <c r="B897" s="114" t="s">
        <v>1778</v>
      </c>
      <c r="C897" s="115" t="s">
        <v>1779</v>
      </c>
      <c r="D897" s="115" t="s">
        <v>461</v>
      </c>
      <c r="E897" s="115" t="s">
        <v>1763</v>
      </c>
      <c r="F897" s="116">
        <v>100</v>
      </c>
      <c r="G897" s="116">
        <v>102.9483</v>
      </c>
      <c r="H897" s="116">
        <v>6.06</v>
      </c>
      <c r="I897" s="113">
        <v>2616</v>
      </c>
      <c r="J897" s="115" t="s">
        <v>271</v>
      </c>
    </row>
    <row r="898" spans="1:10" x14ac:dyDescent="0.25">
      <c r="A898" s="113">
        <v>895</v>
      </c>
      <c r="B898" s="114" t="s">
        <v>1780</v>
      </c>
      <c r="C898" s="115" t="s">
        <v>1781</v>
      </c>
      <c r="D898" s="115" t="s">
        <v>461</v>
      </c>
      <c r="E898" s="115" t="s">
        <v>1763</v>
      </c>
      <c r="F898" s="116">
        <v>100</v>
      </c>
      <c r="G898" s="116">
        <v>105.1511</v>
      </c>
      <c r="H898" s="116">
        <v>6.08</v>
      </c>
      <c r="I898" s="113">
        <v>2546</v>
      </c>
      <c r="J898" s="115" t="s">
        <v>271</v>
      </c>
    </row>
    <row r="899" spans="1:10" x14ac:dyDescent="0.25">
      <c r="A899" s="113">
        <v>896</v>
      </c>
      <c r="B899" s="114" t="s">
        <v>1782</v>
      </c>
      <c r="C899" s="115" t="s">
        <v>1783</v>
      </c>
      <c r="D899" s="115" t="s">
        <v>461</v>
      </c>
      <c r="E899" s="115" t="s">
        <v>1763</v>
      </c>
      <c r="F899" s="116">
        <v>100</v>
      </c>
      <c r="G899" s="116">
        <v>105.1511</v>
      </c>
      <c r="H899" s="116">
        <v>6.08</v>
      </c>
      <c r="I899" s="113">
        <v>2546</v>
      </c>
      <c r="J899" s="115" t="s">
        <v>271</v>
      </c>
    </row>
    <row r="900" spans="1:10" x14ac:dyDescent="0.25">
      <c r="A900" s="113">
        <v>897</v>
      </c>
      <c r="B900" s="114" t="s">
        <v>1784</v>
      </c>
      <c r="C900" s="115" t="s">
        <v>1785</v>
      </c>
      <c r="D900" s="115" t="s">
        <v>461</v>
      </c>
      <c r="E900" s="115" t="s">
        <v>1763</v>
      </c>
      <c r="F900" s="116">
        <v>100</v>
      </c>
      <c r="G900" s="116">
        <v>104.0158</v>
      </c>
      <c r="H900" s="116">
        <v>6.08</v>
      </c>
      <c r="I900" s="113">
        <v>2613</v>
      </c>
      <c r="J900" s="115" t="s">
        <v>271</v>
      </c>
    </row>
    <row r="901" spans="1:10" x14ac:dyDescent="0.25">
      <c r="A901" s="113">
        <v>898</v>
      </c>
      <c r="B901" s="114" t="s">
        <v>1786</v>
      </c>
      <c r="C901" s="115" t="s">
        <v>1787</v>
      </c>
      <c r="D901" s="115" t="s">
        <v>761</v>
      </c>
      <c r="E901" s="115" t="s">
        <v>1084</v>
      </c>
      <c r="F901" s="116">
        <v>46394.678849999997</v>
      </c>
      <c r="G901" s="116">
        <v>46394.678849999997</v>
      </c>
      <c r="H901" s="116">
        <v>0</v>
      </c>
      <c r="I901" s="113">
        <v>0</v>
      </c>
      <c r="J901" s="115" t="s">
        <v>240</v>
      </c>
    </row>
    <row r="902" spans="1:10" x14ac:dyDescent="0.25">
      <c r="A902" s="113">
        <v>899</v>
      </c>
      <c r="B902" s="114" t="s">
        <v>1788</v>
      </c>
      <c r="C902" s="115" t="s">
        <v>1789</v>
      </c>
      <c r="D902" s="115" t="s">
        <v>461</v>
      </c>
      <c r="E902" s="115" t="s">
        <v>2128</v>
      </c>
      <c r="F902" s="116">
        <v>94.791770591949202</v>
      </c>
      <c r="G902" s="116">
        <v>98.630170591949209</v>
      </c>
      <c r="H902" s="116">
        <v>20.16</v>
      </c>
      <c r="I902" s="113">
        <v>239</v>
      </c>
      <c r="J902" s="115" t="s">
        <v>271</v>
      </c>
    </row>
    <row r="903" spans="1:10" x14ac:dyDescent="0.25">
      <c r="A903" s="113">
        <v>900</v>
      </c>
      <c r="B903" s="114" t="s">
        <v>1790</v>
      </c>
      <c r="C903" s="115" t="s">
        <v>1791</v>
      </c>
      <c r="D903" s="115" t="s">
        <v>461</v>
      </c>
      <c r="E903" s="115" t="s">
        <v>2128</v>
      </c>
      <c r="F903" s="116">
        <v>87.05130440211822</v>
      </c>
      <c r="G903" s="116">
        <v>87.968004402118225</v>
      </c>
      <c r="H903" s="116">
        <v>19.399999999999999</v>
      </c>
      <c r="I903" s="113">
        <v>688</v>
      </c>
      <c r="J903" s="115" t="s">
        <v>271</v>
      </c>
    </row>
    <row r="904" spans="1:10" x14ac:dyDescent="0.25">
      <c r="A904" s="113">
        <v>901</v>
      </c>
      <c r="B904" s="114" t="s">
        <v>1792</v>
      </c>
      <c r="C904" s="115" t="s">
        <v>1793</v>
      </c>
      <c r="D904" s="115" t="s">
        <v>461</v>
      </c>
      <c r="E904" s="115" t="s">
        <v>2128</v>
      </c>
      <c r="F904" s="116">
        <v>27.095012612187087</v>
      </c>
      <c r="G904" s="116">
        <v>27.128312612187088</v>
      </c>
      <c r="H904" s="116">
        <v>19.52</v>
      </c>
      <c r="I904" s="113">
        <v>3234</v>
      </c>
      <c r="J904" s="115" t="s">
        <v>271</v>
      </c>
    </row>
    <row r="905" spans="1:10" x14ac:dyDescent="0.25">
      <c r="A905" s="113">
        <v>902</v>
      </c>
      <c r="B905" s="114" t="s">
        <v>1794</v>
      </c>
      <c r="C905" s="115" t="s">
        <v>1795</v>
      </c>
      <c r="D905" s="115" t="s">
        <v>461</v>
      </c>
      <c r="E905" s="115" t="s">
        <v>2128</v>
      </c>
      <c r="F905" s="116">
        <v>66.468878514170285</v>
      </c>
      <c r="G905" s="116">
        <v>71.036978514170286</v>
      </c>
      <c r="H905" s="116">
        <v>19.5</v>
      </c>
      <c r="I905" s="113">
        <v>3277</v>
      </c>
      <c r="J905" s="115" t="s">
        <v>271</v>
      </c>
    </row>
    <row r="906" spans="1:10" x14ac:dyDescent="0.25">
      <c r="A906" s="113">
        <v>903</v>
      </c>
      <c r="B906" s="114" t="s">
        <v>1796</v>
      </c>
      <c r="C906" s="115" t="s">
        <v>1797</v>
      </c>
      <c r="D906" s="115" t="s">
        <v>461</v>
      </c>
      <c r="E906" s="115" t="s">
        <v>2128</v>
      </c>
      <c r="F906" s="116">
        <v>66.573499671804953</v>
      </c>
      <c r="G906" s="116">
        <v>71.812399671804954</v>
      </c>
      <c r="H906" s="116">
        <v>19.5</v>
      </c>
      <c r="I906" s="113">
        <v>3256</v>
      </c>
      <c r="J906" s="115" t="s">
        <v>271</v>
      </c>
    </row>
    <row r="907" spans="1:10" x14ac:dyDescent="0.25">
      <c r="A907" s="113">
        <v>904</v>
      </c>
      <c r="B907" s="114" t="s">
        <v>1798</v>
      </c>
      <c r="C907" s="115" t="s">
        <v>1799</v>
      </c>
      <c r="D907" s="115" t="s">
        <v>451</v>
      </c>
      <c r="E907" s="115" t="s">
        <v>1800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1801</v>
      </c>
      <c r="C908" s="115" t="s">
        <v>1802</v>
      </c>
      <c r="D908" s="115" t="s">
        <v>451</v>
      </c>
      <c r="E908" s="115" t="s">
        <v>1803</v>
      </c>
      <c r="F908" s="116">
        <v>2740</v>
      </c>
      <c r="G908" s="116">
        <v>2740</v>
      </c>
      <c r="H908" s="116">
        <v>0</v>
      </c>
      <c r="I908" s="113">
        <v>0</v>
      </c>
      <c r="J908" s="115" t="s">
        <v>240</v>
      </c>
    </row>
    <row r="909" spans="1:10" x14ac:dyDescent="0.25">
      <c r="A909" s="113">
        <v>906</v>
      </c>
      <c r="B909" s="114" t="s">
        <v>1804</v>
      </c>
      <c r="C909" s="115" t="s">
        <v>1805</v>
      </c>
      <c r="D909" s="115" t="s">
        <v>461</v>
      </c>
      <c r="E909" s="115" t="s">
        <v>1806</v>
      </c>
      <c r="F909" s="116">
        <v>105.745</v>
      </c>
      <c r="G909" s="116">
        <v>108.2867</v>
      </c>
      <c r="H909" s="116">
        <v>5.86</v>
      </c>
      <c r="I909" s="113">
        <v>1320</v>
      </c>
      <c r="J909" s="115" t="s">
        <v>271</v>
      </c>
    </row>
    <row r="910" spans="1:10" x14ac:dyDescent="0.25">
      <c r="A910" s="113">
        <v>907</v>
      </c>
      <c r="B910" s="114" t="s">
        <v>1807</v>
      </c>
      <c r="C910" s="115" t="s">
        <v>1808</v>
      </c>
      <c r="D910" s="115" t="s">
        <v>451</v>
      </c>
      <c r="E910" s="115" t="s">
        <v>2269</v>
      </c>
      <c r="F910" s="116">
        <v>0.01</v>
      </c>
      <c r="G910" s="116">
        <v>0.01</v>
      </c>
      <c r="H910" s="116">
        <v>0</v>
      </c>
      <c r="I910" s="113">
        <v>0</v>
      </c>
      <c r="J910" s="115" t="s">
        <v>240</v>
      </c>
    </row>
    <row r="911" spans="1:10" x14ac:dyDescent="0.25">
      <c r="A911" s="113">
        <v>908</v>
      </c>
      <c r="B911" s="114" t="s">
        <v>1809</v>
      </c>
      <c r="C911" s="115" t="s">
        <v>1810</v>
      </c>
      <c r="D911" s="115" t="s">
        <v>461</v>
      </c>
      <c r="E911" s="115" t="s">
        <v>2269</v>
      </c>
      <c r="F911" s="116">
        <v>83.5747205747235</v>
      </c>
      <c r="G911" s="116">
        <v>85.624720574723497</v>
      </c>
      <c r="H911" s="116">
        <v>16.61</v>
      </c>
      <c r="I911" s="113">
        <v>998</v>
      </c>
      <c r="J911" s="115" t="s">
        <v>271</v>
      </c>
    </row>
    <row r="912" spans="1:10" x14ac:dyDescent="0.25">
      <c r="A912" s="113">
        <v>909</v>
      </c>
      <c r="B912" s="114" t="s">
        <v>1811</v>
      </c>
      <c r="C912" s="115" t="s">
        <v>1812</v>
      </c>
      <c r="D912" s="115" t="s">
        <v>461</v>
      </c>
      <c r="E912" s="115" t="s">
        <v>2269</v>
      </c>
      <c r="F912" s="116">
        <v>9.3185636815057702</v>
      </c>
      <c r="G912" s="116">
        <v>9.3602636815057707</v>
      </c>
      <c r="H912" s="116">
        <v>16.82</v>
      </c>
      <c r="I912" s="113">
        <v>5465</v>
      </c>
      <c r="J912" s="115" t="s">
        <v>271</v>
      </c>
    </row>
    <row r="913" spans="1:10" x14ac:dyDescent="0.25">
      <c r="A913" s="113">
        <v>910</v>
      </c>
      <c r="B913" s="114" t="s">
        <v>1813</v>
      </c>
      <c r="C913" s="115" t="s">
        <v>1814</v>
      </c>
      <c r="D913" s="115" t="s">
        <v>461</v>
      </c>
      <c r="E913" s="115" t="s">
        <v>2269</v>
      </c>
      <c r="F913" s="116">
        <v>26.396360560849093</v>
      </c>
      <c r="G913" s="116">
        <v>26.454160560849093</v>
      </c>
      <c r="H913" s="116">
        <v>17.36</v>
      </c>
      <c r="I913" s="113">
        <v>3032</v>
      </c>
      <c r="J913" s="115" t="s">
        <v>271</v>
      </c>
    </row>
    <row r="914" spans="1:10" x14ac:dyDescent="0.25">
      <c r="A914" s="113">
        <v>911</v>
      </c>
      <c r="B914" s="114" t="s">
        <v>1815</v>
      </c>
      <c r="C914" s="115" t="s">
        <v>1816</v>
      </c>
      <c r="D914" s="115" t="s">
        <v>461</v>
      </c>
      <c r="E914" s="115" t="s">
        <v>2269</v>
      </c>
      <c r="F914" s="116">
        <v>26.396360560849093</v>
      </c>
      <c r="G914" s="116">
        <v>26.454160560849093</v>
      </c>
      <c r="H914" s="116">
        <v>17.36</v>
      </c>
      <c r="I914" s="113">
        <v>3032</v>
      </c>
      <c r="J914" s="115" t="s">
        <v>271</v>
      </c>
    </row>
    <row r="915" spans="1:10" x14ac:dyDescent="0.25">
      <c r="A915" s="113">
        <v>912</v>
      </c>
      <c r="B915" s="114" t="s">
        <v>1817</v>
      </c>
      <c r="C915" s="115" t="s">
        <v>1818</v>
      </c>
      <c r="D915" s="115" t="s">
        <v>461</v>
      </c>
      <c r="E915" s="115" t="s">
        <v>2269</v>
      </c>
      <c r="F915" s="116">
        <v>4.4995345032645711</v>
      </c>
      <c r="G915" s="116">
        <v>4.5553345032645707</v>
      </c>
      <c r="H915" s="116">
        <v>17.010000000000002</v>
      </c>
      <c r="I915" s="113">
        <v>7265</v>
      </c>
      <c r="J915" s="115" t="s">
        <v>271</v>
      </c>
    </row>
    <row r="916" spans="1:10" x14ac:dyDescent="0.25">
      <c r="A916" s="113">
        <v>913</v>
      </c>
      <c r="B916" s="114" t="s">
        <v>1819</v>
      </c>
      <c r="C916" s="115" t="s">
        <v>1820</v>
      </c>
      <c r="D916" s="115" t="s">
        <v>461</v>
      </c>
      <c r="E916" s="115" t="s">
        <v>2269</v>
      </c>
      <c r="F916" s="116">
        <v>9.3189880148667861</v>
      </c>
      <c r="G916" s="116">
        <v>9.4025880148667866</v>
      </c>
      <c r="H916" s="116">
        <v>16.059999999999999</v>
      </c>
      <c r="I916" s="113">
        <v>5465</v>
      </c>
      <c r="J916" s="115" t="s">
        <v>271</v>
      </c>
    </row>
    <row r="917" spans="1:10" x14ac:dyDescent="0.25">
      <c r="A917" s="113">
        <v>914</v>
      </c>
      <c r="B917" s="114" t="s">
        <v>231</v>
      </c>
      <c r="C917" s="115" t="s">
        <v>232</v>
      </c>
      <c r="D917" s="115" t="s">
        <v>461</v>
      </c>
      <c r="E917" s="115" t="s">
        <v>2269</v>
      </c>
      <c r="F917" s="116">
        <v>26.545468891203377</v>
      </c>
      <c r="G917" s="116">
        <v>26.631868891203379</v>
      </c>
      <c r="H917" s="116">
        <v>16.34</v>
      </c>
      <c r="I917" s="113">
        <v>3019</v>
      </c>
      <c r="J917" s="115" t="s">
        <v>271</v>
      </c>
    </row>
    <row r="918" spans="1:10" x14ac:dyDescent="0.25">
      <c r="A918" s="113">
        <v>915</v>
      </c>
      <c r="B918" s="114" t="s">
        <v>1821</v>
      </c>
      <c r="C918" s="115" t="s">
        <v>1822</v>
      </c>
      <c r="D918" s="115" t="s">
        <v>461</v>
      </c>
      <c r="E918" s="115" t="s">
        <v>2269</v>
      </c>
      <c r="F918" s="116">
        <v>26.464403657022245</v>
      </c>
      <c r="G918" s="116">
        <v>26.523803657022246</v>
      </c>
      <c r="H918" s="116">
        <v>17.36</v>
      </c>
      <c r="I918" s="113">
        <v>3026</v>
      </c>
      <c r="J918" s="115" t="s">
        <v>271</v>
      </c>
    </row>
    <row r="919" spans="1:10" x14ac:dyDescent="0.25">
      <c r="A919" s="113">
        <v>916</v>
      </c>
      <c r="B919" s="114" t="s">
        <v>1823</v>
      </c>
      <c r="C919" s="115" t="s">
        <v>1824</v>
      </c>
      <c r="D919" s="115" t="s">
        <v>461</v>
      </c>
      <c r="E919" s="115" t="s">
        <v>2269</v>
      </c>
      <c r="F919" s="116">
        <v>26.396360560849093</v>
      </c>
      <c r="G919" s="116">
        <v>26.454160560849093</v>
      </c>
      <c r="H919" s="116">
        <v>17.36</v>
      </c>
      <c r="I919" s="113">
        <v>3032</v>
      </c>
      <c r="J919" s="115" t="s">
        <v>271</v>
      </c>
    </row>
    <row r="920" spans="1:10" x14ac:dyDescent="0.25">
      <c r="A920" s="113">
        <v>917</v>
      </c>
      <c r="B920" s="114" t="s">
        <v>233</v>
      </c>
      <c r="C920" s="115" t="s">
        <v>234</v>
      </c>
      <c r="D920" s="115" t="s">
        <v>461</v>
      </c>
      <c r="E920" s="115" t="s">
        <v>2269</v>
      </c>
      <c r="F920" s="116">
        <v>26.464403657022245</v>
      </c>
      <c r="G920" s="116">
        <v>26.523803657022246</v>
      </c>
      <c r="H920" s="116">
        <v>17.36</v>
      </c>
      <c r="I920" s="113">
        <v>3026</v>
      </c>
      <c r="J920" s="115" t="s">
        <v>271</v>
      </c>
    </row>
    <row r="921" spans="1:10" x14ac:dyDescent="0.25">
      <c r="A921" s="113">
        <v>918</v>
      </c>
      <c r="B921" s="114" t="s">
        <v>1825</v>
      </c>
      <c r="C921" s="115" t="s">
        <v>1826</v>
      </c>
      <c r="D921" s="115" t="s">
        <v>461</v>
      </c>
      <c r="E921" s="115" t="s">
        <v>2269</v>
      </c>
      <c r="F921" s="116">
        <v>97.505637159630567</v>
      </c>
      <c r="G921" s="116">
        <v>103.55563715963056</v>
      </c>
      <c r="H921" s="116">
        <v>16.920000000000002</v>
      </c>
      <c r="I921" s="113">
        <v>118</v>
      </c>
      <c r="J921" s="115" t="s">
        <v>271</v>
      </c>
    </row>
    <row r="922" spans="1:10" x14ac:dyDescent="0.25">
      <c r="A922" s="113">
        <v>919</v>
      </c>
      <c r="B922" s="114" t="s">
        <v>1827</v>
      </c>
      <c r="C922" s="115" t="s">
        <v>1828</v>
      </c>
      <c r="D922" s="115" t="s">
        <v>461</v>
      </c>
      <c r="E922" s="115" t="s">
        <v>2269</v>
      </c>
      <c r="F922" s="116">
        <v>85.862012916034288</v>
      </c>
      <c r="G922" s="116">
        <v>86.799512916034288</v>
      </c>
      <c r="H922" s="116">
        <v>16.559999999999999</v>
      </c>
      <c r="I922" s="113">
        <v>675</v>
      </c>
      <c r="J922" s="115" t="s">
        <v>271</v>
      </c>
    </row>
    <row r="923" spans="1:10" x14ac:dyDescent="0.25">
      <c r="A923" s="113">
        <v>920</v>
      </c>
      <c r="B923" s="114" t="s">
        <v>1829</v>
      </c>
      <c r="C923" s="115" t="s">
        <v>1830</v>
      </c>
      <c r="D923" s="115" t="s">
        <v>451</v>
      </c>
      <c r="E923" s="115" t="s">
        <v>2269</v>
      </c>
      <c r="F923" s="116">
        <v>590</v>
      </c>
      <c r="G923" s="116">
        <v>590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1831</v>
      </c>
      <c r="C924" s="115" t="s">
        <v>1832</v>
      </c>
      <c r="D924" s="115" t="s">
        <v>451</v>
      </c>
      <c r="E924" s="115" t="s">
        <v>2125</v>
      </c>
      <c r="F924" s="116">
        <v>182212.2445</v>
      </c>
      <c r="G924" s="116">
        <v>182212.2445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2316</v>
      </c>
      <c r="C925" s="115" t="s">
        <v>2317</v>
      </c>
      <c r="D925" s="115" t="s">
        <v>461</v>
      </c>
      <c r="E925" s="115" t="s">
        <v>1835</v>
      </c>
      <c r="F925" s="116">
        <v>93.317302341190043</v>
      </c>
      <c r="G925" s="116">
        <v>95.61730234119004</v>
      </c>
      <c r="H925" s="116">
        <v>21.15</v>
      </c>
      <c r="I925" s="113">
        <v>1034</v>
      </c>
      <c r="J925" s="115" t="s">
        <v>271</v>
      </c>
    </row>
    <row r="926" spans="1:10" x14ac:dyDescent="0.25">
      <c r="A926" s="113">
        <v>923</v>
      </c>
      <c r="B926" s="114" t="s">
        <v>1833</v>
      </c>
      <c r="C926" s="115" t="s">
        <v>1834</v>
      </c>
      <c r="D926" s="115" t="s">
        <v>461</v>
      </c>
      <c r="E926" s="115" t="s">
        <v>1835</v>
      </c>
      <c r="F926" s="116">
        <v>99.799991794223018</v>
      </c>
      <c r="G926" s="116">
        <v>104.74439179422302</v>
      </c>
      <c r="H926" s="116">
        <v>20.83</v>
      </c>
      <c r="I926" s="113">
        <v>91</v>
      </c>
      <c r="J926" s="115" t="s">
        <v>271</v>
      </c>
    </row>
    <row r="927" spans="1:10" x14ac:dyDescent="0.25">
      <c r="A927" s="113">
        <v>924</v>
      </c>
      <c r="B927" s="114" t="s">
        <v>1836</v>
      </c>
      <c r="C927" s="115" t="s">
        <v>1837</v>
      </c>
      <c r="D927" s="115" t="s">
        <v>461</v>
      </c>
      <c r="E927" s="115" t="s">
        <v>1835</v>
      </c>
      <c r="F927" s="116">
        <v>99.807039754995245</v>
      </c>
      <c r="G927" s="116">
        <v>100.02923975499525</v>
      </c>
      <c r="H927" s="116">
        <v>20.83</v>
      </c>
      <c r="I927" s="113">
        <v>86</v>
      </c>
      <c r="J927" s="115" t="s">
        <v>271</v>
      </c>
    </row>
    <row r="928" spans="1:10" x14ac:dyDescent="0.25">
      <c r="A928" s="113">
        <v>925</v>
      </c>
      <c r="B928" s="114" t="s">
        <v>1838</v>
      </c>
      <c r="C928" s="115" t="s">
        <v>1839</v>
      </c>
      <c r="D928" s="115" t="s">
        <v>451</v>
      </c>
      <c r="E928" s="115" t="s">
        <v>1840</v>
      </c>
      <c r="F928" s="116">
        <v>109744.81050000001</v>
      </c>
      <c r="G928" s="116">
        <v>109744.81050000001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1741</v>
      </c>
      <c r="C929" s="115" t="s">
        <v>1742</v>
      </c>
      <c r="D929" s="115" t="s">
        <v>451</v>
      </c>
      <c r="E929" s="115" t="s">
        <v>1743</v>
      </c>
      <c r="F929" s="116">
        <v>15427.428250000001</v>
      </c>
      <c r="G929" s="116">
        <v>15427.428250000001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1841</v>
      </c>
      <c r="C930" s="115" t="s">
        <v>1842</v>
      </c>
      <c r="D930" s="115" t="s">
        <v>451</v>
      </c>
      <c r="E930" s="115" t="s">
        <v>1843</v>
      </c>
      <c r="F930" s="116">
        <v>51647.764999999999</v>
      </c>
      <c r="G930" s="116">
        <v>51647.764999999999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1844</v>
      </c>
      <c r="C931" s="115" t="s">
        <v>1845</v>
      </c>
      <c r="D931" s="115" t="s">
        <v>451</v>
      </c>
      <c r="E931" s="115" t="s">
        <v>1846</v>
      </c>
      <c r="F931" s="116">
        <v>230803</v>
      </c>
      <c r="G931" s="116">
        <v>230803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1847</v>
      </c>
      <c r="C932" s="115" t="s">
        <v>1848</v>
      </c>
      <c r="D932" s="115" t="s">
        <v>761</v>
      </c>
      <c r="E932" s="115" t="s">
        <v>768</v>
      </c>
      <c r="F932" s="116">
        <v>21213.048350000001</v>
      </c>
      <c r="G932" s="116">
        <v>21213.048350000001</v>
      </c>
      <c r="H932" s="116">
        <v>0</v>
      </c>
      <c r="I932" s="113">
        <v>0</v>
      </c>
      <c r="J932" s="115" t="s">
        <v>240</v>
      </c>
    </row>
    <row r="933" spans="1:10" x14ac:dyDescent="0.25">
      <c r="A933" s="113">
        <v>930</v>
      </c>
      <c r="B933" s="114" t="s">
        <v>1884</v>
      </c>
      <c r="C933" s="115" t="s">
        <v>1885</v>
      </c>
      <c r="D933" s="115" t="s">
        <v>461</v>
      </c>
      <c r="E933" s="115" t="s">
        <v>1851</v>
      </c>
      <c r="F933" s="116">
        <v>96.40625</v>
      </c>
      <c r="G933" s="116">
        <v>96.511750000000006</v>
      </c>
      <c r="H933" s="116">
        <v>4.0599999999999996</v>
      </c>
      <c r="I933" s="113">
        <v>2730</v>
      </c>
      <c r="J933" s="115" t="s">
        <v>271</v>
      </c>
    </row>
    <row r="934" spans="1:10" x14ac:dyDescent="0.25">
      <c r="A934" s="113">
        <v>931</v>
      </c>
      <c r="B934" s="114" t="s">
        <v>1886</v>
      </c>
      <c r="C934" s="115" t="s">
        <v>1887</v>
      </c>
      <c r="D934" s="115" t="s">
        <v>461</v>
      </c>
      <c r="E934" s="115" t="s">
        <v>1851</v>
      </c>
      <c r="F934" s="116">
        <v>98.421875</v>
      </c>
      <c r="G934" s="116">
        <v>98.538674999999998</v>
      </c>
      <c r="H934" s="116">
        <v>4.1100000000000003</v>
      </c>
      <c r="I934" s="113">
        <v>2911</v>
      </c>
      <c r="J934" s="115" t="s">
        <v>271</v>
      </c>
    </row>
    <row r="935" spans="1:10" x14ac:dyDescent="0.25">
      <c r="A935" s="113">
        <v>932</v>
      </c>
      <c r="B935" s="114" t="s">
        <v>1888</v>
      </c>
      <c r="C935" s="115" t="s">
        <v>1889</v>
      </c>
      <c r="D935" s="115" t="s">
        <v>461</v>
      </c>
      <c r="E935" s="115" t="s">
        <v>1851</v>
      </c>
      <c r="F935" s="116">
        <v>107.578125</v>
      </c>
      <c r="G935" s="116">
        <v>107.74012500000001</v>
      </c>
      <c r="H935" s="116">
        <v>3.83</v>
      </c>
      <c r="I935" s="113">
        <v>1999</v>
      </c>
      <c r="J935" s="115" t="s">
        <v>271</v>
      </c>
    </row>
    <row r="936" spans="1:10" x14ac:dyDescent="0.25">
      <c r="A936" s="113">
        <v>933</v>
      </c>
      <c r="B936" s="114" t="s">
        <v>1890</v>
      </c>
      <c r="C936" s="115" t="s">
        <v>1891</v>
      </c>
      <c r="D936" s="115" t="s">
        <v>461</v>
      </c>
      <c r="E936" s="115" t="s">
        <v>1851</v>
      </c>
      <c r="F936" s="116">
        <v>97.328125</v>
      </c>
      <c r="G936" s="116">
        <v>97.601425000000006</v>
      </c>
      <c r="H936" s="116">
        <v>3.8</v>
      </c>
      <c r="I936" s="113">
        <v>492</v>
      </c>
      <c r="J936" s="115" t="s">
        <v>271</v>
      </c>
    </row>
    <row r="937" spans="1:10" x14ac:dyDescent="0.25">
      <c r="A937" s="113">
        <v>934</v>
      </c>
      <c r="B937" s="114" t="s">
        <v>1892</v>
      </c>
      <c r="C937" s="115" t="s">
        <v>1893</v>
      </c>
      <c r="D937" s="115" t="s">
        <v>461</v>
      </c>
      <c r="E937" s="115" t="s">
        <v>1851</v>
      </c>
      <c r="F937" s="116">
        <v>92.765625</v>
      </c>
      <c r="G937" s="116">
        <v>92.980324999999993</v>
      </c>
      <c r="H937" s="116">
        <v>3.69</v>
      </c>
      <c r="I937" s="113">
        <v>1223</v>
      </c>
      <c r="J937" s="115" t="s">
        <v>271</v>
      </c>
    </row>
    <row r="938" spans="1:10" x14ac:dyDescent="0.25">
      <c r="A938" s="113">
        <v>935</v>
      </c>
      <c r="B938" s="114" t="s">
        <v>1894</v>
      </c>
      <c r="C938" s="115" t="s">
        <v>1895</v>
      </c>
      <c r="D938" s="115" t="s">
        <v>461</v>
      </c>
      <c r="E938" s="115" t="s">
        <v>1851</v>
      </c>
      <c r="F938" s="116">
        <v>86.890625</v>
      </c>
      <c r="G938" s="116">
        <v>86.924525000000003</v>
      </c>
      <c r="H938" s="116">
        <v>3.8</v>
      </c>
      <c r="I938" s="113">
        <v>1999</v>
      </c>
      <c r="J938" s="115" t="s">
        <v>271</v>
      </c>
    </row>
    <row r="939" spans="1:10" x14ac:dyDescent="0.25">
      <c r="A939" s="113">
        <v>936</v>
      </c>
      <c r="B939" s="114" t="s">
        <v>1896</v>
      </c>
      <c r="C939" s="115" t="s">
        <v>1897</v>
      </c>
      <c r="D939" s="115" t="s">
        <v>461</v>
      </c>
      <c r="E939" s="115" t="s">
        <v>1851</v>
      </c>
      <c r="F939" s="116">
        <v>99.1171875</v>
      </c>
      <c r="G939" s="116">
        <v>99.160387499999999</v>
      </c>
      <c r="H939" s="116">
        <v>1.02</v>
      </c>
      <c r="I939" s="113">
        <v>507</v>
      </c>
      <c r="J939" s="115" t="s">
        <v>271</v>
      </c>
    </row>
    <row r="940" spans="1:10" x14ac:dyDescent="0.25">
      <c r="A940" s="113">
        <v>937</v>
      </c>
      <c r="B940" s="114" t="s">
        <v>1898</v>
      </c>
      <c r="C940" s="115" t="s">
        <v>1899</v>
      </c>
      <c r="D940" s="115" t="s">
        <v>461</v>
      </c>
      <c r="E940" s="115" t="s">
        <v>1851</v>
      </c>
      <c r="F940" s="116">
        <v>100.00963877481561</v>
      </c>
      <c r="G940" s="116">
        <v>102.46173877481561</v>
      </c>
      <c r="H940" s="116">
        <v>4.24</v>
      </c>
      <c r="I940" s="113">
        <v>5</v>
      </c>
      <c r="J940" s="115" t="s">
        <v>271</v>
      </c>
    </row>
    <row r="941" spans="1:10" x14ac:dyDescent="0.25">
      <c r="A941" s="113">
        <v>938</v>
      </c>
      <c r="B941" s="114" t="s">
        <v>1900</v>
      </c>
      <c r="C941" s="115" t="s">
        <v>1901</v>
      </c>
      <c r="D941" s="115" t="s">
        <v>461</v>
      </c>
      <c r="E941" s="115" t="s">
        <v>1851</v>
      </c>
      <c r="F941" s="116">
        <v>100.06570269712923</v>
      </c>
      <c r="G941" s="116">
        <v>102.09310269712923</v>
      </c>
      <c r="H941" s="116">
        <v>4.26</v>
      </c>
      <c r="I941" s="113">
        <v>35</v>
      </c>
      <c r="J941" s="115" t="s">
        <v>271</v>
      </c>
    </row>
    <row r="942" spans="1:10" x14ac:dyDescent="0.25">
      <c r="A942" s="113">
        <v>939</v>
      </c>
      <c r="B942" s="114" t="s">
        <v>1902</v>
      </c>
      <c r="C942" s="115" t="s">
        <v>1903</v>
      </c>
      <c r="D942" s="115" t="s">
        <v>461</v>
      </c>
      <c r="E942" s="115" t="s">
        <v>1851</v>
      </c>
      <c r="F942" s="116">
        <v>100.18248639627824</v>
      </c>
      <c r="G942" s="116">
        <v>101.34448639627823</v>
      </c>
      <c r="H942" s="116">
        <v>4.1500000000000004</v>
      </c>
      <c r="I942" s="113">
        <v>96</v>
      </c>
      <c r="J942" s="115" t="s">
        <v>271</v>
      </c>
    </row>
    <row r="943" spans="1:10" x14ac:dyDescent="0.25">
      <c r="A943" s="113">
        <v>940</v>
      </c>
      <c r="B943" s="114" t="s">
        <v>1997</v>
      </c>
      <c r="C943" s="115" t="s">
        <v>1998</v>
      </c>
      <c r="D943" s="115" t="s">
        <v>461</v>
      </c>
      <c r="E943" s="115" t="s">
        <v>1851</v>
      </c>
      <c r="F943" s="116">
        <v>100.890625</v>
      </c>
      <c r="G943" s="116">
        <v>102.195725</v>
      </c>
      <c r="H943" s="116">
        <v>3.87</v>
      </c>
      <c r="I943" s="113">
        <v>446</v>
      </c>
      <c r="J943" s="115" t="s">
        <v>271</v>
      </c>
    </row>
    <row r="944" spans="1:10" x14ac:dyDescent="0.25">
      <c r="A944" s="113">
        <v>941</v>
      </c>
      <c r="B944" s="114" t="s">
        <v>1904</v>
      </c>
      <c r="C944" s="115" t="s">
        <v>1905</v>
      </c>
      <c r="D944" s="115" t="s">
        <v>461</v>
      </c>
      <c r="E944" s="115" t="s">
        <v>1851</v>
      </c>
      <c r="F944" s="116">
        <v>103.734375</v>
      </c>
      <c r="G944" s="116">
        <v>104.836775</v>
      </c>
      <c r="H944" s="116">
        <v>3.89</v>
      </c>
      <c r="I944" s="113">
        <v>2104</v>
      </c>
      <c r="J944" s="115" t="s">
        <v>271</v>
      </c>
    </row>
    <row r="945" spans="1:10" x14ac:dyDescent="0.25">
      <c r="A945" s="113">
        <v>942</v>
      </c>
      <c r="B945" s="114" t="s">
        <v>1906</v>
      </c>
      <c r="C945" s="115" t="s">
        <v>1907</v>
      </c>
      <c r="D945" s="115" t="s">
        <v>461</v>
      </c>
      <c r="E945" s="115" t="s">
        <v>1851</v>
      </c>
      <c r="F945" s="116">
        <v>101.390625</v>
      </c>
      <c r="G945" s="116">
        <v>102.625225</v>
      </c>
      <c r="H945" s="116">
        <v>4.18</v>
      </c>
      <c r="I945" s="113">
        <v>3184</v>
      </c>
      <c r="J945" s="115" t="s">
        <v>271</v>
      </c>
    </row>
    <row r="946" spans="1:10" x14ac:dyDescent="0.25">
      <c r="A946" s="113">
        <v>943</v>
      </c>
      <c r="B946" s="114" t="s">
        <v>2029</v>
      </c>
      <c r="C946" s="115" t="s">
        <v>2030</v>
      </c>
      <c r="D946" s="115" t="s">
        <v>461</v>
      </c>
      <c r="E946" s="115" t="s">
        <v>1851</v>
      </c>
      <c r="F946" s="116">
        <v>99.88240904551094</v>
      </c>
      <c r="G946" s="116">
        <v>99.88240904551094</v>
      </c>
      <c r="H946" s="116">
        <v>4.71</v>
      </c>
      <c r="I946" s="113">
        <v>8</v>
      </c>
      <c r="J946" s="115" t="s">
        <v>271</v>
      </c>
    </row>
    <row r="947" spans="1:10" x14ac:dyDescent="0.25">
      <c r="A947" s="113">
        <v>944</v>
      </c>
      <c r="B947" s="114" t="s">
        <v>2025</v>
      </c>
      <c r="C947" s="115" t="s">
        <v>2026</v>
      </c>
      <c r="D947" s="115" t="s">
        <v>461</v>
      </c>
      <c r="E947" s="115" t="s">
        <v>1851</v>
      </c>
      <c r="F947" s="116">
        <v>99.555746309281815</v>
      </c>
      <c r="G947" s="116">
        <v>99.555746309281815</v>
      </c>
      <c r="H947" s="116">
        <v>4.34</v>
      </c>
      <c r="I947" s="113">
        <v>36</v>
      </c>
      <c r="J947" s="115" t="s">
        <v>271</v>
      </c>
    </row>
    <row r="948" spans="1:10" x14ac:dyDescent="0.25">
      <c r="A948" s="113">
        <v>945</v>
      </c>
      <c r="B948" s="114" t="s">
        <v>1999</v>
      </c>
      <c r="C948" s="115" t="s">
        <v>2000</v>
      </c>
      <c r="D948" s="115" t="s">
        <v>461</v>
      </c>
      <c r="E948" s="115" t="s">
        <v>1851</v>
      </c>
      <c r="F948" s="116">
        <v>100.3046875</v>
      </c>
      <c r="G948" s="116">
        <v>102.57288749999999</v>
      </c>
      <c r="H948" s="116">
        <v>4.01</v>
      </c>
      <c r="I948" s="113">
        <v>186</v>
      </c>
      <c r="J948" s="115" t="s">
        <v>271</v>
      </c>
    </row>
    <row r="949" spans="1:10" x14ac:dyDescent="0.25">
      <c r="A949" s="113">
        <v>946</v>
      </c>
      <c r="B949" s="114" t="s">
        <v>2001</v>
      </c>
      <c r="C949" s="115" t="s">
        <v>2002</v>
      </c>
      <c r="D949" s="115" t="s">
        <v>461</v>
      </c>
      <c r="E949" s="115" t="s">
        <v>1851</v>
      </c>
      <c r="F949" s="116">
        <v>100.05859375</v>
      </c>
      <c r="G949" s="116">
        <v>100.36129375</v>
      </c>
      <c r="H949" s="116">
        <v>4.1100000000000003</v>
      </c>
      <c r="I949" s="113">
        <v>158</v>
      </c>
      <c r="J949" s="115" t="s">
        <v>271</v>
      </c>
    </row>
    <row r="950" spans="1:10" x14ac:dyDescent="0.25">
      <c r="A950" s="113">
        <v>947</v>
      </c>
      <c r="B950" s="114" t="s">
        <v>2019</v>
      </c>
      <c r="C950" s="115" t="s">
        <v>2020</v>
      </c>
      <c r="D950" s="115" t="s">
        <v>461</v>
      </c>
      <c r="E950" s="115" t="s">
        <v>1851</v>
      </c>
      <c r="F950" s="116">
        <v>97.421875</v>
      </c>
      <c r="G950" s="116">
        <v>97.947175000000001</v>
      </c>
      <c r="H950" s="116">
        <v>3.88</v>
      </c>
      <c r="I950" s="113">
        <v>431</v>
      </c>
      <c r="J950" s="115" t="s">
        <v>271</v>
      </c>
    </row>
    <row r="951" spans="1:10" x14ac:dyDescent="0.25">
      <c r="A951" s="113">
        <v>948</v>
      </c>
      <c r="B951" s="114" t="s">
        <v>2021</v>
      </c>
      <c r="C951" s="115" t="s">
        <v>2022</v>
      </c>
      <c r="D951" s="115" t="s">
        <v>461</v>
      </c>
      <c r="E951" s="115" t="s">
        <v>1851</v>
      </c>
      <c r="F951" s="116">
        <v>98.890625</v>
      </c>
      <c r="G951" s="116">
        <v>100.231025</v>
      </c>
      <c r="H951" s="116">
        <v>4.84</v>
      </c>
      <c r="I951" s="113">
        <v>6655</v>
      </c>
      <c r="J951" s="115" t="s">
        <v>271</v>
      </c>
    </row>
    <row r="952" spans="1:10" x14ac:dyDescent="0.25">
      <c r="A952" s="113">
        <v>949</v>
      </c>
      <c r="B952" s="114" t="s">
        <v>2197</v>
      </c>
      <c r="C952" s="115" t="s">
        <v>2198</v>
      </c>
      <c r="D952" s="115" t="s">
        <v>461</v>
      </c>
      <c r="E952" s="115" t="s">
        <v>1851</v>
      </c>
      <c r="F952" s="116">
        <v>99.248345523758744</v>
      </c>
      <c r="G952" s="116">
        <v>99.248345523758744</v>
      </c>
      <c r="H952" s="116">
        <v>4.1900000000000004</v>
      </c>
      <c r="I952" s="113">
        <v>64</v>
      </c>
      <c r="J952" s="115" t="s">
        <v>271</v>
      </c>
    </row>
    <row r="953" spans="1:10" x14ac:dyDescent="0.25">
      <c r="A953" s="113">
        <v>950</v>
      </c>
      <c r="B953" s="114" t="s">
        <v>2199</v>
      </c>
      <c r="C953" s="115" t="s">
        <v>2200</v>
      </c>
      <c r="D953" s="115" t="s">
        <v>461</v>
      </c>
      <c r="E953" s="115" t="s">
        <v>1851</v>
      </c>
      <c r="F953" s="116">
        <v>98.934760239933851</v>
      </c>
      <c r="G953" s="116">
        <v>98.934760239933851</v>
      </c>
      <c r="H953" s="116">
        <v>4.12</v>
      </c>
      <c r="I953" s="113">
        <v>92</v>
      </c>
      <c r="J953" s="115" t="s">
        <v>271</v>
      </c>
    </row>
    <row r="954" spans="1:10" x14ac:dyDescent="0.25">
      <c r="A954" s="113">
        <v>951</v>
      </c>
      <c r="B954" s="114" t="s">
        <v>2201</v>
      </c>
      <c r="C954" s="115" t="s">
        <v>2202</v>
      </c>
      <c r="D954" s="115" t="s">
        <v>461</v>
      </c>
      <c r="E954" s="115" t="s">
        <v>1851</v>
      </c>
      <c r="F954" s="116">
        <v>98.645109422087629</v>
      </c>
      <c r="G954" s="116">
        <v>98.645109422087629</v>
      </c>
      <c r="H954" s="116">
        <v>4.05</v>
      </c>
      <c r="I954" s="113">
        <v>120</v>
      </c>
      <c r="J954" s="115" t="s">
        <v>271</v>
      </c>
    </row>
    <row r="955" spans="1:10" x14ac:dyDescent="0.25">
      <c r="A955" s="113">
        <v>952</v>
      </c>
      <c r="B955" s="114" t="s">
        <v>2203</v>
      </c>
      <c r="C955" s="115" t="s">
        <v>2204</v>
      </c>
      <c r="D955" s="115" t="s">
        <v>461</v>
      </c>
      <c r="E955" s="115" t="s">
        <v>1851</v>
      </c>
      <c r="F955" s="116">
        <v>98.376783079193316</v>
      </c>
      <c r="G955" s="116">
        <v>98.376783079193316</v>
      </c>
      <c r="H955" s="116">
        <v>3.99</v>
      </c>
      <c r="I955" s="113">
        <v>146</v>
      </c>
      <c r="J955" s="115" t="s">
        <v>271</v>
      </c>
    </row>
    <row r="956" spans="1:10" x14ac:dyDescent="0.25">
      <c r="A956" s="113">
        <v>953</v>
      </c>
      <c r="B956" s="114" t="s">
        <v>2208</v>
      </c>
      <c r="C956" s="115" t="s">
        <v>2209</v>
      </c>
      <c r="D956" s="115" t="s">
        <v>461</v>
      </c>
      <c r="E956" s="115" t="s">
        <v>1851</v>
      </c>
      <c r="F956" s="116">
        <v>98.090304386475793</v>
      </c>
      <c r="G956" s="116">
        <v>98.090304386475793</v>
      </c>
      <c r="H956" s="116">
        <v>3.96</v>
      </c>
      <c r="I956" s="113">
        <v>173</v>
      </c>
      <c r="J956" s="115" t="s">
        <v>271</v>
      </c>
    </row>
    <row r="957" spans="1:10" x14ac:dyDescent="0.25">
      <c r="A957" s="113">
        <v>954</v>
      </c>
      <c r="B957" s="114" t="s">
        <v>2210</v>
      </c>
      <c r="C957" s="115" t="s">
        <v>2211</v>
      </c>
      <c r="D957" s="115" t="s">
        <v>461</v>
      </c>
      <c r="E957" s="115" t="s">
        <v>1851</v>
      </c>
      <c r="F957" s="116">
        <v>97.84306325975308</v>
      </c>
      <c r="G957" s="116">
        <v>97.84306325975308</v>
      </c>
      <c r="H957" s="116">
        <v>3.87</v>
      </c>
      <c r="I957" s="113">
        <v>203</v>
      </c>
      <c r="J957" s="115" t="s">
        <v>271</v>
      </c>
    </row>
    <row r="958" spans="1:10" x14ac:dyDescent="0.25">
      <c r="A958" s="113">
        <v>955</v>
      </c>
      <c r="B958" s="114" t="s">
        <v>2299</v>
      </c>
      <c r="C958" s="115" t="s">
        <v>2300</v>
      </c>
      <c r="D958" s="115" t="s">
        <v>461</v>
      </c>
      <c r="E958" s="115" t="s">
        <v>1851</v>
      </c>
      <c r="F958" s="116">
        <v>100.42578125</v>
      </c>
      <c r="G958" s="116">
        <v>100.71958125</v>
      </c>
      <c r="H958" s="116">
        <v>3.82</v>
      </c>
      <c r="I958" s="113">
        <v>523</v>
      </c>
      <c r="J958" s="115" t="s">
        <v>271</v>
      </c>
    </row>
    <row r="959" spans="1:10" x14ac:dyDescent="0.25">
      <c r="A959" s="113">
        <v>956</v>
      </c>
      <c r="B959" s="114" t="s">
        <v>2301</v>
      </c>
      <c r="C959" s="115" t="s">
        <v>2302</v>
      </c>
      <c r="D959" s="115" t="s">
        <v>461</v>
      </c>
      <c r="E959" s="115" t="s">
        <v>1851</v>
      </c>
      <c r="F959" s="116">
        <v>97.57715913858884</v>
      </c>
      <c r="G959" s="116">
        <v>97.57715913858884</v>
      </c>
      <c r="H959" s="116">
        <v>3.84</v>
      </c>
      <c r="I959" s="113">
        <v>230</v>
      </c>
      <c r="J959" s="115" t="s">
        <v>271</v>
      </c>
    </row>
    <row r="960" spans="1:10" x14ac:dyDescent="0.25">
      <c r="A960" s="113">
        <v>957</v>
      </c>
      <c r="B960" s="114" t="s">
        <v>2303</v>
      </c>
      <c r="C960" s="115" t="s">
        <v>2304</v>
      </c>
      <c r="D960" s="115" t="s">
        <v>461</v>
      </c>
      <c r="E960" s="115" t="s">
        <v>1851</v>
      </c>
      <c r="F960" s="116">
        <v>97.322653794123667</v>
      </c>
      <c r="G960" s="116">
        <v>97.322653794123667</v>
      </c>
      <c r="H960" s="116">
        <v>3.79</v>
      </c>
      <c r="I960" s="113">
        <v>258</v>
      </c>
      <c r="J960" s="115" t="s">
        <v>271</v>
      </c>
    </row>
    <row r="961" spans="1:10" x14ac:dyDescent="0.25">
      <c r="A961" s="113">
        <v>958</v>
      </c>
      <c r="B961" s="114" t="s">
        <v>2305</v>
      </c>
      <c r="C961" s="115" t="s">
        <v>2306</v>
      </c>
      <c r="D961" s="115" t="s">
        <v>461</v>
      </c>
      <c r="E961" s="115" t="s">
        <v>1851</v>
      </c>
      <c r="F961" s="116">
        <v>99.657406901815236</v>
      </c>
      <c r="G961" s="116">
        <v>99.657406901815236</v>
      </c>
      <c r="H961" s="116">
        <v>4.42</v>
      </c>
      <c r="I961" s="113">
        <v>27</v>
      </c>
      <c r="J961" s="115" t="s">
        <v>271</v>
      </c>
    </row>
    <row r="962" spans="1:10" x14ac:dyDescent="0.25">
      <c r="A962" s="113">
        <v>959</v>
      </c>
      <c r="B962" s="114" t="s">
        <v>1849</v>
      </c>
      <c r="C962" s="115" t="s">
        <v>1850</v>
      </c>
      <c r="D962" s="115" t="s">
        <v>461</v>
      </c>
      <c r="E962" s="115" t="s">
        <v>1851</v>
      </c>
      <c r="F962" s="116">
        <v>108.9140625</v>
      </c>
      <c r="G962" s="116">
        <v>109.0986625</v>
      </c>
      <c r="H962" s="116">
        <v>3.69</v>
      </c>
      <c r="I962" s="113">
        <v>1450</v>
      </c>
      <c r="J962" s="115" t="s">
        <v>271</v>
      </c>
    </row>
    <row r="963" spans="1:10" x14ac:dyDescent="0.25">
      <c r="A963" s="113">
        <v>960</v>
      </c>
      <c r="B963" s="114" t="s">
        <v>1852</v>
      </c>
      <c r="C963" s="115" t="s">
        <v>1853</v>
      </c>
      <c r="D963" s="115" t="s">
        <v>461</v>
      </c>
      <c r="E963" s="115" t="s">
        <v>1851</v>
      </c>
      <c r="F963" s="116">
        <v>86.1953125</v>
      </c>
      <c r="G963" s="116">
        <v>86.442212499999997</v>
      </c>
      <c r="H963" s="116">
        <v>3.82</v>
      </c>
      <c r="I963" s="113">
        <v>1907</v>
      </c>
      <c r="J963" s="115" t="s">
        <v>271</v>
      </c>
    </row>
    <row r="964" spans="1:10" x14ac:dyDescent="0.25">
      <c r="A964" s="113">
        <v>961</v>
      </c>
      <c r="B964" s="114" t="s">
        <v>1854</v>
      </c>
      <c r="C964" s="115" t="s">
        <v>1855</v>
      </c>
      <c r="D964" s="115" t="s">
        <v>461</v>
      </c>
      <c r="E964" s="115" t="s">
        <v>1851</v>
      </c>
      <c r="F964" s="116">
        <v>76.265625</v>
      </c>
      <c r="G964" s="116">
        <v>77.112224999999995</v>
      </c>
      <c r="H964" s="116">
        <v>4.92</v>
      </c>
      <c r="I964" s="113">
        <v>7021</v>
      </c>
      <c r="J964" s="115" t="s">
        <v>271</v>
      </c>
    </row>
    <row r="965" spans="1:10" x14ac:dyDescent="0.25">
      <c r="A965" s="113">
        <v>962</v>
      </c>
      <c r="B965" s="114" t="s">
        <v>1856</v>
      </c>
      <c r="C965" s="115" t="s">
        <v>1857</v>
      </c>
      <c r="D965" s="115" t="s">
        <v>461</v>
      </c>
      <c r="E965" s="115" t="s">
        <v>1851</v>
      </c>
      <c r="F965" s="116">
        <v>72.296875</v>
      </c>
      <c r="G965" s="116">
        <v>72.931775000000002</v>
      </c>
      <c r="H965" s="116">
        <v>4.78</v>
      </c>
      <c r="I965" s="113">
        <v>5741</v>
      </c>
      <c r="J965" s="115" t="s">
        <v>271</v>
      </c>
    </row>
    <row r="966" spans="1:10" x14ac:dyDescent="0.25">
      <c r="A966" s="113">
        <v>963</v>
      </c>
      <c r="B966" s="114" t="s">
        <v>1858</v>
      </c>
      <c r="C966" s="115" t="s">
        <v>1859</v>
      </c>
      <c r="D966" s="115" t="s">
        <v>461</v>
      </c>
      <c r="E966" s="115" t="s">
        <v>1851</v>
      </c>
      <c r="F966" s="116">
        <v>98.42578125</v>
      </c>
      <c r="G966" s="116">
        <v>98.452481250000005</v>
      </c>
      <c r="H966" s="116">
        <v>4.08</v>
      </c>
      <c r="I966" s="113">
        <v>158</v>
      </c>
      <c r="J966" s="115" t="s">
        <v>271</v>
      </c>
    </row>
    <row r="967" spans="1:10" x14ac:dyDescent="0.25">
      <c r="A967" s="113">
        <v>964</v>
      </c>
      <c r="B967" s="114" t="s">
        <v>1860</v>
      </c>
      <c r="C967" s="115" t="s">
        <v>1861</v>
      </c>
      <c r="D967" s="115" t="s">
        <v>461</v>
      </c>
      <c r="E967" s="115" t="s">
        <v>1851</v>
      </c>
      <c r="F967" s="116">
        <v>99.77649642244468</v>
      </c>
      <c r="G967" s="116">
        <v>100.74639642244469</v>
      </c>
      <c r="H967" s="116">
        <v>4.2300000000000004</v>
      </c>
      <c r="I967" s="113">
        <v>66</v>
      </c>
      <c r="J967" s="115" t="s">
        <v>271</v>
      </c>
    </row>
    <row r="968" spans="1:10" x14ac:dyDescent="0.25">
      <c r="A968" s="113">
        <v>965</v>
      </c>
      <c r="B968" s="114" t="s">
        <v>1862</v>
      </c>
      <c r="C968" s="115" t="s">
        <v>1863</v>
      </c>
      <c r="D968" s="115" t="s">
        <v>461</v>
      </c>
      <c r="E968" s="115" t="s">
        <v>1851</v>
      </c>
      <c r="F968" s="116">
        <v>86.03125</v>
      </c>
      <c r="G968" s="116">
        <v>87.160049999999998</v>
      </c>
      <c r="H968" s="116">
        <v>4.9400000000000004</v>
      </c>
      <c r="I968" s="113">
        <v>9943</v>
      </c>
      <c r="J968" s="115" t="s">
        <v>271</v>
      </c>
    </row>
    <row r="969" spans="1:10" x14ac:dyDescent="0.25">
      <c r="A969" s="113">
        <v>966</v>
      </c>
      <c r="B969" s="114" t="s">
        <v>1864</v>
      </c>
      <c r="C969" s="115" t="s">
        <v>1865</v>
      </c>
      <c r="D969" s="115" t="s">
        <v>461</v>
      </c>
      <c r="E969" s="115" t="s">
        <v>1851</v>
      </c>
      <c r="F969" s="116">
        <v>98.125</v>
      </c>
      <c r="G969" s="116">
        <v>98.429100000000005</v>
      </c>
      <c r="H969" s="116">
        <v>3.97</v>
      </c>
      <c r="I969" s="113">
        <v>217</v>
      </c>
      <c r="J969" s="115" t="s">
        <v>271</v>
      </c>
    </row>
    <row r="970" spans="1:10" x14ac:dyDescent="0.25">
      <c r="A970" s="113">
        <v>967</v>
      </c>
      <c r="B970" s="114" t="s">
        <v>1866</v>
      </c>
      <c r="C970" s="115" t="s">
        <v>1867</v>
      </c>
      <c r="D970" s="115" t="s">
        <v>461</v>
      </c>
      <c r="E970" s="115" t="s">
        <v>1851</v>
      </c>
      <c r="F970" s="116">
        <v>97.48046875</v>
      </c>
      <c r="G970" s="116">
        <v>97.617068750000001</v>
      </c>
      <c r="H970" s="116">
        <v>3.94</v>
      </c>
      <c r="I970" s="113">
        <v>308</v>
      </c>
      <c r="J970" s="115" t="s">
        <v>271</v>
      </c>
    </row>
    <row r="971" spans="1:10" x14ac:dyDescent="0.25">
      <c r="A971" s="113">
        <v>968</v>
      </c>
      <c r="B971" s="114" t="s">
        <v>1868</v>
      </c>
      <c r="C971" s="115" t="s">
        <v>1869</v>
      </c>
      <c r="D971" s="115" t="s">
        <v>461</v>
      </c>
      <c r="E971" s="115" t="s">
        <v>1851</v>
      </c>
      <c r="F971" s="116">
        <v>99.957582489003926</v>
      </c>
      <c r="G971" s="116">
        <v>100.74658248900393</v>
      </c>
      <c r="H971" s="116">
        <v>4.13</v>
      </c>
      <c r="I971" s="113">
        <v>111</v>
      </c>
      <c r="J971" s="115" t="s">
        <v>271</v>
      </c>
    </row>
    <row r="972" spans="1:10" x14ac:dyDescent="0.25">
      <c r="A972" s="113">
        <v>969</v>
      </c>
      <c r="B972" s="114" t="s">
        <v>1870</v>
      </c>
      <c r="C972" s="115" t="s">
        <v>1871</v>
      </c>
      <c r="D972" s="115" t="s">
        <v>461</v>
      </c>
      <c r="E972" s="115" t="s">
        <v>1851</v>
      </c>
      <c r="F972" s="116">
        <v>99.872662873283787</v>
      </c>
      <c r="G972" s="116">
        <v>101.08906287328378</v>
      </c>
      <c r="H972" s="116">
        <v>4.32</v>
      </c>
      <c r="I972" s="113">
        <v>35</v>
      </c>
      <c r="J972" s="115" t="s">
        <v>271</v>
      </c>
    </row>
    <row r="973" spans="1:10" x14ac:dyDescent="0.25">
      <c r="A973" s="113">
        <v>970</v>
      </c>
      <c r="B973" s="114" t="s">
        <v>1872</v>
      </c>
      <c r="C973" s="115" t="s">
        <v>1873</v>
      </c>
      <c r="D973" s="115" t="s">
        <v>461</v>
      </c>
      <c r="E973" s="115" t="s">
        <v>1851</v>
      </c>
      <c r="F973" s="116">
        <v>99.973501183385295</v>
      </c>
      <c r="G973" s="116">
        <v>101.3221011833853</v>
      </c>
      <c r="H973" s="116">
        <v>4.68</v>
      </c>
      <c r="I973" s="113">
        <v>5</v>
      </c>
      <c r="J973" s="115" t="s">
        <v>271</v>
      </c>
    </row>
    <row r="974" spans="1:10" x14ac:dyDescent="0.25">
      <c r="A974" s="113">
        <v>971</v>
      </c>
      <c r="B974" s="114" t="s">
        <v>1874</v>
      </c>
      <c r="C974" s="115" t="s">
        <v>1875</v>
      </c>
      <c r="D974" s="115" t="s">
        <v>461</v>
      </c>
      <c r="E974" s="115" t="s">
        <v>1851</v>
      </c>
      <c r="F974" s="116">
        <v>93.40625</v>
      </c>
      <c r="G974" s="116">
        <v>94.217550000000003</v>
      </c>
      <c r="H974" s="116">
        <v>4</v>
      </c>
      <c r="I974" s="113">
        <v>2454</v>
      </c>
      <c r="J974" s="115" t="s">
        <v>271</v>
      </c>
    </row>
    <row r="975" spans="1:10" x14ac:dyDescent="0.25">
      <c r="A975" s="113">
        <v>972</v>
      </c>
      <c r="B975" s="114" t="s">
        <v>1908</v>
      </c>
      <c r="C975" s="115" t="s">
        <v>1909</v>
      </c>
      <c r="D975" s="115" t="s">
        <v>461</v>
      </c>
      <c r="E975" s="115" t="s">
        <v>2129</v>
      </c>
      <c r="F975" s="116">
        <v>100</v>
      </c>
      <c r="G975" s="116">
        <v>100.1536</v>
      </c>
      <c r="H975" s="116">
        <v>0.35</v>
      </c>
      <c r="I975" s="113">
        <v>322</v>
      </c>
      <c r="J975" s="115" t="s">
        <v>271</v>
      </c>
    </row>
    <row r="976" spans="1:10" x14ac:dyDescent="0.25">
      <c r="A976" s="113">
        <v>973</v>
      </c>
      <c r="B976" s="114" t="s">
        <v>1910</v>
      </c>
      <c r="C976" s="115" t="s">
        <v>1911</v>
      </c>
      <c r="D976" s="115" t="s">
        <v>461</v>
      </c>
      <c r="E976" s="115" t="s">
        <v>2129</v>
      </c>
      <c r="F976" s="116">
        <v>100</v>
      </c>
      <c r="G976" s="116">
        <v>100.11960000000001</v>
      </c>
      <c r="H976" s="116">
        <v>0.35</v>
      </c>
      <c r="I976" s="113">
        <v>57</v>
      </c>
      <c r="J976" s="115" t="s">
        <v>271</v>
      </c>
    </row>
    <row r="977" spans="1:10" x14ac:dyDescent="0.25">
      <c r="A977" s="113">
        <v>974</v>
      </c>
      <c r="B977" s="114" t="s">
        <v>2323</v>
      </c>
      <c r="C977" s="115" t="s">
        <v>2324</v>
      </c>
      <c r="D977" s="115" t="s">
        <v>461</v>
      </c>
      <c r="E977" s="115" t="s">
        <v>2129</v>
      </c>
      <c r="F977" s="116">
        <v>100</v>
      </c>
      <c r="G977" s="116">
        <v>100.0389</v>
      </c>
      <c r="H977" s="116">
        <v>0.35</v>
      </c>
      <c r="I977" s="113">
        <v>680</v>
      </c>
      <c r="J977" s="115" t="s">
        <v>271</v>
      </c>
    </row>
    <row r="978" spans="1:10" x14ac:dyDescent="0.25">
      <c r="A978" s="113">
        <v>975</v>
      </c>
      <c r="B978" s="114" t="s">
        <v>1912</v>
      </c>
      <c r="C978" s="115" t="s">
        <v>1913</v>
      </c>
      <c r="D978" s="115" t="s">
        <v>461</v>
      </c>
      <c r="E978" s="115" t="s">
        <v>2129</v>
      </c>
      <c r="F978" s="116">
        <v>100</v>
      </c>
      <c r="G978" s="116">
        <v>100.00230000000001</v>
      </c>
      <c r="H978" s="116">
        <v>0.02</v>
      </c>
      <c r="I978" s="113">
        <v>3094</v>
      </c>
      <c r="J978" s="115" t="s">
        <v>271</v>
      </c>
    </row>
    <row r="979" spans="1:10" x14ac:dyDescent="0.25">
      <c r="A979" s="113">
        <v>976</v>
      </c>
      <c r="B979" s="114" t="s">
        <v>2406</v>
      </c>
      <c r="C979" s="115" t="s">
        <v>2407</v>
      </c>
      <c r="D979" s="115" t="s">
        <v>461</v>
      </c>
      <c r="E979" s="115" t="s">
        <v>2129</v>
      </c>
      <c r="F979" s="116">
        <v>90.543312951209003</v>
      </c>
      <c r="G979" s="116">
        <v>91.85771295120901</v>
      </c>
      <c r="H979" s="116">
        <v>20.47</v>
      </c>
      <c r="I979" s="113">
        <v>3574</v>
      </c>
      <c r="J979" s="115" t="s">
        <v>271</v>
      </c>
    </row>
    <row r="980" spans="1:10" x14ac:dyDescent="0.25">
      <c r="A980" s="113">
        <v>977</v>
      </c>
      <c r="B980" s="114" t="s">
        <v>1914</v>
      </c>
      <c r="C980" s="115" t="s">
        <v>1915</v>
      </c>
      <c r="D980" s="115" t="s">
        <v>451</v>
      </c>
      <c r="E980" s="115" t="s">
        <v>1916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1917</v>
      </c>
      <c r="C981" s="115" t="s">
        <v>1918</v>
      </c>
      <c r="D981" s="115" t="s">
        <v>451</v>
      </c>
      <c r="E981" s="115" t="s">
        <v>1916</v>
      </c>
      <c r="F981" s="116">
        <v>28000</v>
      </c>
      <c r="G981" s="116">
        <v>28000</v>
      </c>
      <c r="H981" s="116">
        <v>0</v>
      </c>
      <c r="I981" s="113">
        <v>0</v>
      </c>
      <c r="J981" s="115" t="s">
        <v>240</v>
      </c>
    </row>
    <row r="982" spans="1:10" x14ac:dyDescent="0.25">
      <c r="A982" s="113">
        <v>979</v>
      </c>
      <c r="B982" s="114" t="s">
        <v>2238</v>
      </c>
      <c r="C982" s="115" t="s">
        <v>2239</v>
      </c>
      <c r="D982" s="115" t="s">
        <v>461</v>
      </c>
      <c r="E982" s="115" t="s">
        <v>2240</v>
      </c>
      <c r="F982" s="116">
        <v>100.19865142578334</v>
      </c>
      <c r="G982" s="116">
        <v>104.81115142578335</v>
      </c>
      <c r="H982" s="116">
        <v>20.149999999999999</v>
      </c>
      <c r="I982" s="113">
        <v>998</v>
      </c>
      <c r="J982" s="115" t="s">
        <v>271</v>
      </c>
    </row>
    <row r="983" spans="1:10" x14ac:dyDescent="0.25">
      <c r="A983" s="113">
        <v>980</v>
      </c>
      <c r="B983" s="114" t="s">
        <v>2225</v>
      </c>
      <c r="C983" s="115" t="s">
        <v>2226</v>
      </c>
      <c r="D983" s="115" t="s">
        <v>461</v>
      </c>
      <c r="E983" s="115" t="s">
        <v>1919</v>
      </c>
      <c r="F983" s="116">
        <v>100</v>
      </c>
      <c r="G983" s="116">
        <v>100.0865</v>
      </c>
      <c r="H983" s="116">
        <v>0.35</v>
      </c>
      <c r="I983" s="113">
        <v>631</v>
      </c>
      <c r="J983" s="115" t="s">
        <v>271</v>
      </c>
    </row>
    <row r="984" spans="1:10" x14ac:dyDescent="0.25">
      <c r="A984" s="113">
        <v>981</v>
      </c>
      <c r="B984" s="114" t="s">
        <v>1920</v>
      </c>
      <c r="C984" s="115" t="s">
        <v>1921</v>
      </c>
      <c r="D984" s="115" t="s">
        <v>461</v>
      </c>
      <c r="E984" s="115" t="s">
        <v>1919</v>
      </c>
      <c r="F984" s="116">
        <v>100</v>
      </c>
      <c r="G984" s="116">
        <v>100.00369999999999</v>
      </c>
      <c r="H984" s="116">
        <v>0.02</v>
      </c>
      <c r="I984" s="113">
        <v>3094</v>
      </c>
      <c r="J984" s="115" t="s">
        <v>271</v>
      </c>
    </row>
    <row r="985" spans="1:10" x14ac:dyDescent="0.25">
      <c r="A985" s="113">
        <v>982</v>
      </c>
      <c r="B985" s="114" t="s">
        <v>1922</v>
      </c>
      <c r="C985" s="115" t="s">
        <v>1923</v>
      </c>
      <c r="D985" s="115" t="s">
        <v>461</v>
      </c>
      <c r="E985" s="115" t="s">
        <v>1919</v>
      </c>
      <c r="F985" s="116">
        <v>100</v>
      </c>
      <c r="G985" s="116">
        <v>100.00409999999999</v>
      </c>
      <c r="H985" s="116">
        <v>0.02</v>
      </c>
      <c r="I985" s="113">
        <v>3094</v>
      </c>
      <c r="J985" s="115" t="s">
        <v>271</v>
      </c>
    </row>
    <row r="986" spans="1:10" x14ac:dyDescent="0.25">
      <c r="A986" s="113">
        <v>983</v>
      </c>
      <c r="B986" s="114" t="s">
        <v>1924</v>
      </c>
      <c r="C986" s="115" t="s">
        <v>1925</v>
      </c>
      <c r="D986" s="115" t="s">
        <v>461</v>
      </c>
      <c r="E986" s="115" t="s">
        <v>1919</v>
      </c>
      <c r="F986" s="116">
        <v>100</v>
      </c>
      <c r="G986" s="116">
        <v>101.03360000000001</v>
      </c>
      <c r="H986" s="116">
        <v>6.08</v>
      </c>
      <c r="I986" s="113">
        <v>1709</v>
      </c>
      <c r="J986" s="115" t="s">
        <v>271</v>
      </c>
    </row>
    <row r="987" spans="1:10" x14ac:dyDescent="0.25">
      <c r="A987" s="113">
        <v>984</v>
      </c>
      <c r="B987" s="114" t="s">
        <v>1926</v>
      </c>
      <c r="C987" s="115" t="s">
        <v>1927</v>
      </c>
      <c r="D987" s="115" t="s">
        <v>461</v>
      </c>
      <c r="E987" s="115" t="s">
        <v>1919</v>
      </c>
      <c r="F987" s="116">
        <v>100</v>
      </c>
      <c r="G987" s="116">
        <v>105.8969</v>
      </c>
      <c r="H987" s="116">
        <v>7.08</v>
      </c>
      <c r="I987" s="113">
        <v>2191</v>
      </c>
      <c r="J987" s="115" t="s">
        <v>271</v>
      </c>
    </row>
    <row r="988" spans="1:10" x14ac:dyDescent="0.25">
      <c r="A988" s="113">
        <v>985</v>
      </c>
      <c r="B988" s="114" t="s">
        <v>2335</v>
      </c>
      <c r="C988" s="115" t="s">
        <v>2336</v>
      </c>
      <c r="D988" s="115" t="s">
        <v>461</v>
      </c>
      <c r="E988" s="115" t="s">
        <v>1919</v>
      </c>
      <c r="F988" s="116">
        <v>90.548353194396896</v>
      </c>
      <c r="G988" s="116">
        <v>92.469453194396891</v>
      </c>
      <c r="H988" s="116">
        <v>20.46</v>
      </c>
      <c r="I988" s="113">
        <v>3562</v>
      </c>
      <c r="J988" s="115" t="s">
        <v>271</v>
      </c>
    </row>
    <row r="989" spans="1:10" x14ac:dyDescent="0.25">
      <c r="A989" s="113">
        <v>986</v>
      </c>
      <c r="B989" s="114" t="s">
        <v>2408</v>
      </c>
      <c r="C989" s="115" t="s">
        <v>2409</v>
      </c>
      <c r="D989" s="115" t="s">
        <v>461</v>
      </c>
      <c r="E989" s="115" t="s">
        <v>1919</v>
      </c>
      <c r="F989" s="116">
        <v>90.543312951209003</v>
      </c>
      <c r="G989" s="116">
        <v>91.85771295120901</v>
      </c>
      <c r="H989" s="116">
        <v>20.47</v>
      </c>
      <c r="I989" s="113">
        <v>3574</v>
      </c>
      <c r="J989" s="115" t="s">
        <v>271</v>
      </c>
    </row>
    <row r="990" spans="1:10" x14ac:dyDescent="0.25">
      <c r="A990" s="113">
        <v>987</v>
      </c>
      <c r="B990" s="114" t="s">
        <v>1928</v>
      </c>
      <c r="C990" s="115" t="s">
        <v>1929</v>
      </c>
      <c r="D990" s="115" t="s">
        <v>461</v>
      </c>
      <c r="E990" s="115" t="s">
        <v>1919</v>
      </c>
      <c r="F990" s="116">
        <v>100</v>
      </c>
      <c r="G990" s="116">
        <v>100.2033</v>
      </c>
      <c r="H990" s="116">
        <v>6.09</v>
      </c>
      <c r="I990" s="113">
        <v>2118</v>
      </c>
      <c r="J990" s="115" t="s">
        <v>271</v>
      </c>
    </row>
    <row r="991" spans="1:10" x14ac:dyDescent="0.25">
      <c r="A991" s="113">
        <v>988</v>
      </c>
      <c r="B991" s="114" t="s">
        <v>1930</v>
      </c>
      <c r="C991" s="115" t="s">
        <v>1931</v>
      </c>
      <c r="D991" s="115" t="s">
        <v>461</v>
      </c>
      <c r="E991" s="115" t="s">
        <v>1919</v>
      </c>
      <c r="F991" s="116">
        <v>100</v>
      </c>
      <c r="G991" s="116">
        <v>105.1511</v>
      </c>
      <c r="H991" s="116">
        <v>6.08</v>
      </c>
      <c r="I991" s="113">
        <v>2546</v>
      </c>
      <c r="J991" s="115" t="s">
        <v>271</v>
      </c>
    </row>
    <row r="992" spans="1:10" x14ac:dyDescent="0.25">
      <c r="A992" s="113">
        <v>989</v>
      </c>
      <c r="B992" s="114" t="s">
        <v>1932</v>
      </c>
      <c r="C992" s="115" t="s">
        <v>1933</v>
      </c>
      <c r="D992" s="115" t="s">
        <v>461</v>
      </c>
      <c r="E992" s="115" t="s">
        <v>1919</v>
      </c>
      <c r="F992" s="116">
        <v>100</v>
      </c>
      <c r="G992" s="116">
        <v>105.1511</v>
      </c>
      <c r="H992" s="116">
        <v>6.08</v>
      </c>
      <c r="I992" s="113">
        <v>2546</v>
      </c>
      <c r="J992" s="115" t="s">
        <v>271</v>
      </c>
    </row>
    <row r="993" spans="1:10" x14ac:dyDescent="0.25">
      <c r="A993" s="113">
        <v>990</v>
      </c>
      <c r="B993" s="114" t="s">
        <v>1934</v>
      </c>
      <c r="C993" s="115" t="s">
        <v>1935</v>
      </c>
      <c r="D993" s="115" t="s">
        <v>461</v>
      </c>
      <c r="E993" s="115" t="s">
        <v>1919</v>
      </c>
      <c r="F993" s="116">
        <v>100</v>
      </c>
      <c r="G993" s="116">
        <v>104.0158</v>
      </c>
      <c r="H993" s="116">
        <v>6.08</v>
      </c>
      <c r="I993" s="113">
        <v>2613</v>
      </c>
      <c r="J993" s="115" t="s">
        <v>271</v>
      </c>
    </row>
    <row r="994" spans="1:10" x14ac:dyDescent="0.25">
      <c r="A994" s="113">
        <v>991</v>
      </c>
      <c r="B994" s="114" t="s">
        <v>1936</v>
      </c>
      <c r="C994" s="115" t="s">
        <v>1937</v>
      </c>
      <c r="D994" s="115" t="s">
        <v>451</v>
      </c>
      <c r="E994" s="115" t="s">
        <v>1938</v>
      </c>
      <c r="F994" s="116">
        <v>23578.67655</v>
      </c>
      <c r="G994" s="116">
        <v>23578.67655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1939</v>
      </c>
      <c r="C995" s="115" t="s">
        <v>1940</v>
      </c>
      <c r="D995" s="115" t="s">
        <v>761</v>
      </c>
      <c r="E995" s="115" t="s">
        <v>1941</v>
      </c>
      <c r="F995" s="116">
        <v>43734.685149999998</v>
      </c>
      <c r="G995" s="116">
        <v>43734.685149999998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1942</v>
      </c>
      <c r="C996" s="115" t="s">
        <v>1943</v>
      </c>
      <c r="D996" s="115" t="s">
        <v>761</v>
      </c>
      <c r="E996" s="115" t="s">
        <v>1941</v>
      </c>
      <c r="F996" s="116">
        <v>45698.905850000003</v>
      </c>
      <c r="G996" s="116">
        <v>45698.905850000003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1944</v>
      </c>
      <c r="C997" s="115" t="s">
        <v>1945</v>
      </c>
      <c r="D997" s="115" t="s">
        <v>451</v>
      </c>
      <c r="E997" s="115" t="s">
        <v>1946</v>
      </c>
      <c r="F997" s="116">
        <v>59469.859149999997</v>
      </c>
      <c r="G997" s="116">
        <v>59469.859149999997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1947</v>
      </c>
      <c r="C998" s="115" t="s">
        <v>1948</v>
      </c>
      <c r="D998" s="115" t="s">
        <v>451</v>
      </c>
      <c r="E998" s="115" t="s">
        <v>1949</v>
      </c>
      <c r="F998" s="116">
        <v>1000</v>
      </c>
      <c r="G998" s="116">
        <v>1000</v>
      </c>
      <c r="H998" s="116">
        <v>0</v>
      </c>
      <c r="I998" s="113">
        <v>0</v>
      </c>
      <c r="J998" s="115" t="s">
        <v>240</v>
      </c>
    </row>
    <row r="999" spans="1:10" x14ac:dyDescent="0.25">
      <c r="A999" s="113">
        <v>996</v>
      </c>
      <c r="B999" s="114" t="s">
        <v>1950</v>
      </c>
      <c r="C999" s="115" t="s">
        <v>1951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2819</v>
      </c>
      <c r="J999" s="115" t="s">
        <v>240</v>
      </c>
    </row>
    <row r="1000" spans="1:10" x14ac:dyDescent="0.25">
      <c r="A1000" s="113">
        <v>997</v>
      </c>
      <c r="B1000" s="114" t="s">
        <v>1953</v>
      </c>
      <c r="C1000" s="115" t="s">
        <v>1954</v>
      </c>
      <c r="D1000" s="115" t="s">
        <v>451</v>
      </c>
      <c r="E1000" s="115" t="s">
        <v>1952</v>
      </c>
      <c r="F1000" s="116">
        <v>0.01</v>
      </c>
      <c r="G1000" s="116">
        <v>0.01</v>
      </c>
      <c r="H1000" s="116">
        <v>0</v>
      </c>
      <c r="I1000" s="113">
        <v>2658</v>
      </c>
      <c r="J1000" s="115" t="s">
        <v>240</v>
      </c>
    </row>
    <row r="1001" spans="1:10" x14ac:dyDescent="0.25">
      <c r="A1001" s="113">
        <v>998</v>
      </c>
      <c r="B1001" s="114" t="s">
        <v>1955</v>
      </c>
      <c r="C1001" s="115" t="s">
        <v>1956</v>
      </c>
      <c r="D1001" s="115" t="s">
        <v>461</v>
      </c>
      <c r="E1001" s="115" t="s">
        <v>1957</v>
      </c>
      <c r="F1001" s="116">
        <v>100</v>
      </c>
      <c r="G1001" s="116">
        <v>100.43680000000001</v>
      </c>
      <c r="H1001" s="116">
        <v>4.24</v>
      </c>
      <c r="I1001" s="113">
        <v>263</v>
      </c>
      <c r="J1001" s="115" t="s">
        <v>271</v>
      </c>
    </row>
    <row r="1002" spans="1:10" x14ac:dyDescent="0.25">
      <c r="A1002" s="113">
        <v>999</v>
      </c>
      <c r="B1002" s="114" t="s">
        <v>1958</v>
      </c>
      <c r="C1002" s="115" t="s">
        <v>1959</v>
      </c>
      <c r="D1002" s="115" t="s">
        <v>461</v>
      </c>
      <c r="E1002" s="115" t="s">
        <v>1957</v>
      </c>
      <c r="F1002" s="116">
        <v>100</v>
      </c>
      <c r="G1002" s="116">
        <v>100.08459999999999</v>
      </c>
      <c r="H1002" s="116">
        <v>0.35</v>
      </c>
      <c r="I1002" s="113">
        <v>93</v>
      </c>
      <c r="J1002" s="115" t="s">
        <v>271</v>
      </c>
    </row>
    <row r="1003" spans="1:10" x14ac:dyDescent="0.25">
      <c r="A1003" s="113">
        <v>1000</v>
      </c>
      <c r="B1003" s="114" t="s">
        <v>1960</v>
      </c>
      <c r="C1003" s="115" t="s">
        <v>1961</v>
      </c>
      <c r="D1003" s="115" t="s">
        <v>461</v>
      </c>
      <c r="E1003" s="115" t="s">
        <v>1957</v>
      </c>
      <c r="F1003" s="116">
        <v>100</v>
      </c>
      <c r="G1003" s="116">
        <v>100.0963</v>
      </c>
      <c r="H1003" s="116">
        <v>0.35</v>
      </c>
      <c r="I1003" s="113">
        <v>261</v>
      </c>
      <c r="J1003" s="115" t="s">
        <v>271</v>
      </c>
    </row>
    <row r="1004" spans="1:10" x14ac:dyDescent="0.25">
      <c r="A1004" s="113">
        <v>1001</v>
      </c>
      <c r="B1004" s="114" t="s">
        <v>2149</v>
      </c>
      <c r="C1004" s="115" t="s">
        <v>2150</v>
      </c>
      <c r="D1004" s="115" t="s">
        <v>461</v>
      </c>
      <c r="E1004" s="115" t="s">
        <v>1957</v>
      </c>
      <c r="F1004" s="116">
        <v>100</v>
      </c>
      <c r="G1004" s="116">
        <v>100.12439999999999</v>
      </c>
      <c r="H1004" s="116">
        <v>0.35</v>
      </c>
      <c r="I1004" s="113">
        <v>592</v>
      </c>
      <c r="J1004" s="115" t="s">
        <v>271</v>
      </c>
    </row>
    <row r="1005" spans="1:10" x14ac:dyDescent="0.25">
      <c r="A1005" s="113">
        <v>1002</v>
      </c>
      <c r="B1005" s="114" t="s">
        <v>2325</v>
      </c>
      <c r="C1005" s="115" t="s">
        <v>2326</v>
      </c>
      <c r="D1005" s="115" t="s">
        <v>461</v>
      </c>
      <c r="E1005" s="115" t="s">
        <v>1957</v>
      </c>
      <c r="F1005" s="116">
        <v>100</v>
      </c>
      <c r="G1005" s="116">
        <v>100.0389</v>
      </c>
      <c r="H1005" s="116">
        <v>0.35</v>
      </c>
      <c r="I1005" s="113">
        <v>680</v>
      </c>
      <c r="J1005" s="115" t="s">
        <v>271</v>
      </c>
    </row>
    <row r="1006" spans="1:10" x14ac:dyDescent="0.25">
      <c r="A1006" s="113">
        <v>1003</v>
      </c>
      <c r="B1006" s="114" t="s">
        <v>1962</v>
      </c>
      <c r="C1006" s="115" t="s">
        <v>1963</v>
      </c>
      <c r="D1006" s="115" t="s">
        <v>461</v>
      </c>
      <c r="E1006" s="115" t="s">
        <v>1957</v>
      </c>
      <c r="F1006" s="116">
        <v>100</v>
      </c>
      <c r="G1006" s="116">
        <v>100.00369999999999</v>
      </c>
      <c r="H1006" s="116">
        <v>0.02</v>
      </c>
      <c r="I1006" s="113">
        <v>3094</v>
      </c>
      <c r="J1006" s="115" t="s">
        <v>271</v>
      </c>
    </row>
    <row r="1007" spans="1:10" x14ac:dyDescent="0.25">
      <c r="A1007" s="113">
        <v>1004</v>
      </c>
      <c r="B1007" s="114" t="s">
        <v>1964</v>
      </c>
      <c r="C1007" s="115" t="s">
        <v>1965</v>
      </c>
      <c r="D1007" s="115" t="s">
        <v>461</v>
      </c>
      <c r="E1007" s="115" t="s">
        <v>1957</v>
      </c>
      <c r="F1007" s="116">
        <v>100</v>
      </c>
      <c r="G1007" s="116">
        <v>101.03360000000001</v>
      </c>
      <c r="H1007" s="116">
        <v>6.08</v>
      </c>
      <c r="I1007" s="113">
        <v>1709</v>
      </c>
      <c r="J1007" s="115" t="s">
        <v>271</v>
      </c>
    </row>
    <row r="1008" spans="1:10" x14ac:dyDescent="0.25">
      <c r="A1008" s="113">
        <v>1005</v>
      </c>
      <c r="B1008" s="114" t="s">
        <v>1966</v>
      </c>
      <c r="C1008" s="115" t="s">
        <v>1967</v>
      </c>
      <c r="D1008" s="115" t="s">
        <v>461</v>
      </c>
      <c r="E1008" s="115" t="s">
        <v>1957</v>
      </c>
      <c r="F1008" s="116">
        <v>100</v>
      </c>
      <c r="G1008" s="116">
        <v>105.8969</v>
      </c>
      <c r="H1008" s="116">
        <v>7.08</v>
      </c>
      <c r="I1008" s="113">
        <v>2191</v>
      </c>
      <c r="J1008" s="115" t="s">
        <v>271</v>
      </c>
    </row>
    <row r="1009" spans="1:10" x14ac:dyDescent="0.25">
      <c r="A1009" s="113">
        <v>1006</v>
      </c>
      <c r="B1009" s="114" t="s">
        <v>2337</v>
      </c>
      <c r="C1009" s="115" t="s">
        <v>2338</v>
      </c>
      <c r="D1009" s="115" t="s">
        <v>461</v>
      </c>
      <c r="E1009" s="115" t="s">
        <v>1957</v>
      </c>
      <c r="F1009" s="116">
        <v>90.548353194396896</v>
      </c>
      <c r="G1009" s="116">
        <v>92.469453194396891</v>
      </c>
      <c r="H1009" s="116">
        <v>20.46</v>
      </c>
      <c r="I1009" s="113">
        <v>3562</v>
      </c>
      <c r="J1009" s="115" t="s">
        <v>271</v>
      </c>
    </row>
    <row r="1010" spans="1:10" x14ac:dyDescent="0.25">
      <c r="A1010" s="113">
        <v>1007</v>
      </c>
      <c r="B1010" s="114" t="s">
        <v>1968</v>
      </c>
      <c r="C1010" s="115" t="s">
        <v>1969</v>
      </c>
      <c r="D1010" s="115" t="s">
        <v>461</v>
      </c>
      <c r="E1010" s="115" t="s">
        <v>1957</v>
      </c>
      <c r="F1010" s="116">
        <v>100</v>
      </c>
      <c r="G1010" s="116">
        <v>100.2033</v>
      </c>
      <c r="H1010" s="116">
        <v>6.09</v>
      </c>
      <c r="I1010" s="113">
        <v>2118</v>
      </c>
      <c r="J1010" s="115" t="s">
        <v>271</v>
      </c>
    </row>
    <row r="1011" spans="1:10" x14ac:dyDescent="0.25">
      <c r="A1011" s="113">
        <v>1008</v>
      </c>
      <c r="B1011" s="114" t="s">
        <v>1970</v>
      </c>
      <c r="C1011" s="115" t="s">
        <v>1971</v>
      </c>
      <c r="D1011" s="115" t="s">
        <v>461</v>
      </c>
      <c r="E1011" s="115" t="s">
        <v>1957</v>
      </c>
      <c r="F1011" s="116">
        <v>100</v>
      </c>
      <c r="G1011" s="116">
        <v>105.1511</v>
      </c>
      <c r="H1011" s="116">
        <v>6.08</v>
      </c>
      <c r="I1011" s="113">
        <v>2546</v>
      </c>
      <c r="J1011" s="115" t="s">
        <v>271</v>
      </c>
    </row>
    <row r="1012" spans="1:10" x14ac:dyDescent="0.25">
      <c r="A1012" s="113">
        <v>1009</v>
      </c>
      <c r="B1012" s="114" t="s">
        <v>1972</v>
      </c>
      <c r="C1012" s="115" t="s">
        <v>1973</v>
      </c>
      <c r="D1012" s="115" t="s">
        <v>461</v>
      </c>
      <c r="E1012" s="115" t="s">
        <v>1957</v>
      </c>
      <c r="F1012" s="116">
        <v>100</v>
      </c>
      <c r="G1012" s="116">
        <v>105.1511</v>
      </c>
      <c r="H1012" s="116">
        <v>6.08</v>
      </c>
      <c r="I1012" s="113">
        <v>2546</v>
      </c>
      <c r="J1012" s="115" t="s">
        <v>271</v>
      </c>
    </row>
  </sheetData>
  <conditionalFormatting sqref="A4:A1012">
    <cfRule type="expression" dxfId="5" priority="9" stopIfTrue="1">
      <formula>A4&lt;&gt;""</formula>
    </cfRule>
  </conditionalFormatting>
  <conditionalFormatting sqref="A5:A1012">
    <cfRule type="expression" dxfId="4" priority="10" stopIfTrue="1">
      <formula>С4&lt;&gt;""</formula>
    </cfRule>
  </conditionalFormatting>
  <conditionalFormatting sqref="F4:I1012">
    <cfRule type="expression" dxfId="3" priority="1" stopIfTrue="1">
      <formula>F4&lt;&gt;""</formula>
    </cfRule>
  </conditionalFormatting>
  <conditionalFormatting sqref="G4:G1012">
    <cfRule type="expression" dxfId="2" priority="4" stopIfTrue="1">
      <formula>G&lt;&gt;""</formula>
    </cfRule>
  </conditionalFormatting>
  <conditionalFormatting sqref="H4:H1012">
    <cfRule type="expression" dxfId="1" priority="6" stopIfTrue="1">
      <formula>H&lt;&gt;""</formula>
    </cfRule>
  </conditionalFormatting>
  <conditionalFormatting sqref="I4:I101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26.08.25</vt:lpstr>
      <vt:lpstr>Риск цены за 26.08.25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2025-08-27T10:00:51Z</dcterms:modified>
</cp:coreProperties>
</file>