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2.08.2025\"/>
    </mc:Choice>
  </mc:AlternateContent>
  <xr:revisionPtr revIDLastSave="0" documentId="13_ncr:1_{0A20D025-DEDA-403F-B6E6-9A075FDE4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08.25" sheetId="2" r:id="rId2"/>
    <sheet name="Риск цены за 22.08.25" sheetId="4" r:id="rId3"/>
  </sheets>
  <definedNames>
    <definedName name="_xlnm._FilterDatabase" localSheetId="1" hidden="1">'KASE за 22.08.25'!#REF!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0" i="1" l="1"/>
  <c r="B89" i="1"/>
  <c r="B86" i="1"/>
  <c r="L68" i="1"/>
  <c r="M68" i="1" s="1"/>
  <c r="L69" i="1"/>
  <c r="M69" i="1" s="1"/>
  <c r="J71" i="1"/>
  <c r="I71" i="1"/>
  <c r="C71" i="1"/>
  <c r="C24" i="1"/>
  <c r="K61" i="1"/>
  <c r="J60" i="1"/>
  <c r="I60" i="1"/>
  <c r="D60" i="1"/>
  <c r="N60" i="1" s="1"/>
  <c r="J37" i="1"/>
  <c r="I37" i="1"/>
  <c r="J36" i="1"/>
  <c r="I36" i="1"/>
  <c r="J23" i="1"/>
  <c r="I23" i="1"/>
  <c r="O60" i="1" l="1"/>
  <c r="L71" i="1"/>
  <c r="M71" i="1"/>
  <c r="L60" i="1"/>
  <c r="B88" i="1"/>
  <c r="B84" i="1"/>
  <c r="G77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L29" i="1" s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L51" i="1" l="1"/>
  <c r="L55" i="1"/>
  <c r="C61" i="1"/>
  <c r="L58" i="1"/>
  <c r="B94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79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<sst xmlns="http://schemas.openxmlformats.org/spreadsheetml/2006/main" count="6455" uniqueCount="2822">
  <si>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</si>
  <si>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</si>
  <si>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</si>
  <si>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</si>
  <si>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</si>
  <si>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</si>
  <si>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</si>
  <si>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</si>
  <si>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</si>
  <si>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</si>
  <si>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</si>
  <si>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</si>
  <si>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</si>
  <si>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</si>
  <si>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</si>
  <si>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</si>
  <si>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</si>
  <si>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</si>
  <si>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</si>
  <si>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</si>
  <si>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</si>
  <si>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</si>
  <si>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</si>
  <si>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</si>
  <si>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</si>
  <si>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</si>
  <si>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</si>
  <si>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</si>
  <si>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</si>
  <si>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</si>
  <si>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</si>
  <si>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</si>
  <si>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</si>
  <si>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</si>
  <si>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</si>
  <si>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</si>
  <si>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</si>
  <si>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</si>
  <si>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</si>
  <si>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</si>
  <si>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</si>
  <si>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</si>
  <si>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</si>
  <si>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</si>
  <si>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</si>
  <si>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</si>
  <si>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</si>
  <si>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</si>
  <si>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</si>
  <si>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</si>
  <si>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</si>
  <si>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</si>
  <si>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</si>
  <si>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</si>
  <si>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</si>
  <si>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</si>
  <si>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</si>
  <si>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</si>
  <si>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</si>
  <si>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</si>
  <si>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</si>
  <si>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</si>
  <si>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</si>
  <si>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</si>
  <si>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</si>
  <si>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</si>
  <si>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</si>
  <si>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</si>
  <si>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</si>
  <si>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</si>
  <si>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</si>
  <si>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</si>
  <si>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</si>
  <si>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</si>
  <si>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</si>
  <si>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</si>
  <si>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</si>
  <si>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</si>
  <si>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</si>
  <si>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</si>
  <si>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</si>
  <si>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</si>
  <si>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</si>
  <si>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</si>
  <si>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</si>
  <si>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</si>
  <si>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</si>
  <si>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</si>
  <si>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</si>
  <si>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</si>
  <si>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</si>
  <si>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</si>
  <si>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</si>
  <si>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</si>
  <si>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</si>
  <si>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</si>
  <si>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</si>
  <si>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</si>
  <si>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</si>
  <si>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</si>
  <si>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</si>
  <si>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</si>
  <si>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</si>
  <si>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</si>
  <si>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</si>
  <si>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</si>
  <si>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</si>
  <si>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</si>
  <si>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</si>
  <si>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</si>
  <si>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</si>
  <si>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</si>
  <si>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</si>
  <si>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</si>
  <si>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</si>
  <si>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</si>
  <si>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</si>
  <si>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</si>
  <si>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</si>
  <si>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</si>
  <si>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</si>
  <si>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</si>
  <si>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</si>
  <si>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</si>
  <si>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</si>
  <si>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</si>
  <si>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</si>
  <si>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</si>
  <si>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</si>
  <si>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</si>
  <si>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</si>
  <si>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</si>
  <si>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</si>
  <si>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</si>
  <si>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</si>
  <si>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</si>
  <si>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</si>
  <si>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</si>
  <si>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</si>
  <si>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</si>
  <si>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</si>
  <si>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</si>
  <si>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</si>
  <si>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</si>
  <si>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</si>
  <si>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</si>
  <si>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</si>
  <si>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</si>
  <si>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</si>
  <si>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</si>
  <si>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</si>
  <si>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</si>
  <si>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</si>
  <si>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</si>
  <si>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</si>
  <si>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</si>
  <si>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</si>
  <si>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</si>
  <si>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</si>
  <si>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</si>
  <si>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</si>
  <si>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</si>
  <si>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</si>
  <si>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</si>
  <si>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</si>
  <si>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</si>
  <si>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</si>
  <si>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</si>
  <si>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</si>
  <si>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</si>
  <si>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</si>
  <si>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</si>
  <si>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</si>
  <si>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</si>
  <si>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</si>
  <si>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</si>
  <si>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</si>
  <si>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</si>
  <si>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</si>
  <si>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</si>
  <si>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</si>
  <si>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</si>
  <si>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</si>
  <si>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</si>
  <si>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</si>
  <si>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</si>
  <si>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</si>
  <si>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</si>
  <si>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</si>
  <si>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</si>
  <si>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</si>
  <si>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</si>
  <si>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</si>
  <si>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</si>
  <si>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</si>
  <si>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</si>
  <si>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</si>
  <si>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</si>
  <si>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</si>
  <si>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</si>
  <si>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</si>
  <si>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</si>
  <si>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</si>
  <si>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</si>
  <si>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</si>
  <si>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</si>
  <si>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</si>
  <si>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</si>
  <si>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</si>
  <si>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</si>
  <si>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</si>
  <si>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</si>
  <si>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</si>
  <si>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</si>
  <si>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</si>
  <si>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</si>
  <si>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</si>
  <si>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</si>
  <si>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</si>
  <si>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</si>
  <si>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</si>
  <si>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</si>
  <si>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</si>
  <si>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</si>
  <si>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</si>
  <si>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</si>
  <si>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</si>
  <si>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</si>
  <si>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</si>
  <si>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</si>
  <si>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</si>
  <si>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</si>
  <si>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</si>
  <si>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</si>
  <si>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</si>
  <si>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</si>
  <si>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</si>
  <si>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</si>
  <si>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</si>
  <si>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</si>
  <si>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</si>
  <si>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</si>
  <si>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</si>
  <si>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</si>
  <si>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</si>
  <si>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</si>
  <si>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</si>
  <si>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</si>
  <si>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</si>
  <si>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</si>
  <si>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</si>
  <si>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</si>
  <si>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</si>
  <si>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</si>
  <si>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</si>
  <si>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</si>
  <si>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</si>
  <si>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</si>
  <si>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</si>
  <si>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</si>
  <si>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</si>
  <si>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</si>
  <si>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</si>
  <si>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</si>
  <si>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</si>
  <si>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</si>
  <si>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</si>
  <si>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</si>
  <si>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</si>
  <si>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</si>
  <si>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</si>
  <si>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</si>
  <si>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</si>
  <si>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</si>
  <si>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</si>
  <si>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</si>
  <si>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</si>
  <si>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</si>
  <si>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</si>
  <si>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</si>
  <si>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</si>
  <si>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</si>
  <si>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</si>
  <si>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</si>
  <si>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</si>
  <si>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</si>
  <si>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</si>
  <si>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</si>
  <si>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</si>
  <si>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</si>
  <si>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</si>
  <si>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</si>
  <si>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</si>
  <si>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</si>
  <si>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</si>
  <si>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</si>
  <si>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</si>
  <si>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</si>
  <si>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</si>
  <si>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</si>
  <si>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</si>
  <si>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</si>
  <si>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</si>
  <si>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</si>
  <si>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</si>
  <si>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</si>
  <si>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</si>
  <si>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</si>
  <si>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</si>
  <si>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</si>
  <si>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</si>
  <si>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</si>
  <si>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</si>
  <si>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</si>
  <si>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</si>
  <si>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</si>
  <si>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</si>
  <si>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</si>
  <si>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</si>
  <si>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</si>
  <si>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</si>
  <si>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</si>
  <si>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</si>
  <si>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</si>
  <si>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</si>
  <si>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</si>
  <si>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</si>
  <si>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</si>
  <si>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</si>
  <si>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</si>
  <si>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</si>
  <si>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</si>
  <si>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</si>
  <si>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</si>
  <si>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</si>
  <si>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</si>
  <si>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</si>
  <si>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</si>
  <si>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</si>
  <si>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</si>
  <si>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</si>
  <si>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</si>
  <si>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</si>
  <si>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</si>
  <si>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</si>
  <si>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</si>
  <si>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</si>
  <si>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</si>
  <si>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</si>
  <si>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</si>
  <si>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</si>
  <si>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</si>
  <si>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</si>
  <si>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</si>
  <si>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</si>
  <si>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</si>
  <si>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</si>
  <si>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</si>
  <si>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</si>
  <si>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</si>
  <si>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</si>
  <si>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</si>
  <si>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</si>
  <si>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</si>
  <si>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</si>
  <si>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</si>
  <si>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</si>
  <si>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</si>
  <si>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</si>
  <si>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</si>
  <si>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</si>
  <si>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</si>
  <si>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</si>
  <si>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</si>
  <si>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</si>
  <si>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</si>
  <si>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</si>
  <si>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</si>
  <si>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</si>
  <si>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</si>
  <si>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</si>
  <si>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</si>
  <si>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</si>
  <si>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</si>
  <si>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</si>
  <si>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</si>
  <si>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</si>
  <si>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</si>
  <si>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</si>
  <si>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</si>
  <si>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</si>
  <si>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</si>
  <si>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</si>
  <si>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</si>
  <si>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</si>
  <si>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</si>
  <si>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</si>
  <si>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</si>
  <si>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</si>
  <si>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</si>
  <si>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</si>
  <si>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</si>
  <si>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</si>
  <si>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</si>
  <si>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</si>
  <si>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</si>
  <si>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</si>
  <si>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</si>
  <si>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</si>
  <si>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</si>
  <si>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</si>
  <si>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</si>
  <si>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</si>
  <si>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</si>
  <si>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</si>
  <si>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</si>
  <si>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</si>
  <si>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</si>
  <si>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</si>
  <si>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</si>
  <si>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</si>
  <si>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</si>
  <si>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</si>
  <si>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</si>
  <si>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</si>
  <si>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</si>
  <si>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</si>
  <si>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</si>
  <si>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</si>
  <si>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</si>
  <si>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</si>
  <si>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</si>
  <si>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</si>
  <si>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</si>
  <si>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</si>
  <si>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</si>
  <si>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</si>
  <si>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</si>
  <si>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</si>
  <si>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</si>
  <si>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</si>
  <si>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</si>
  <si>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</si>
  <si>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</si>
  <si>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</si>
  <si>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</si>
  <si>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</si>
  <si>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</si>
  <si>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</si>
  <si>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</si>
  <si>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</si>
  <si>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</si>
  <si>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</si>
  <si>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</si>
  <si>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</si>
  <si>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</si>
  <si>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</si>
  <si>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</si>
  <si>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</si>
  <si>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</si>
  <si>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</si>
  <si>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</si>
  <si>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</si>
  <si>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</si>
  <si>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</si>
  <si>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</si>
  <si>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</si>
  <si>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</si>
  <si>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</si>
  <si>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</si>
  <si>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</si>
  <si>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</si>
  <si>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</si>
  <si>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</si>
  <si>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</si>
  <si>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</si>
  <si>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</si>
  <si>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</si>
  <si>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</si>
  <si>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</si>
  <si>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</si>
  <si>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</si>
  <si>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</si>
  <si>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</si>
  <si>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</si>
  <si>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</si>
  <si>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</si>
  <si>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</si>
  <si>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</si>
  <si>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</si>
  <si>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</si>
  <si>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</si>
  <si>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</si>
  <si>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</si>
  <si>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</si>
  <si>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</si>
  <si>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</si>
  <si>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</si>
  <si>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</si>
  <si>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</si>
  <si>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</si>
  <si>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</si>
  <si>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</si>
  <si>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</si>
  <si>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</si>
  <si>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</si>
  <si>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</si>
  <si>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</si>
  <si>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</si>
  <si>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</si>
  <si>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</si>
  <si>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</si>
  <si>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</si>
  <si>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</si>
  <si>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</si>
  <si>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</si>
  <si>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</si>
  <si>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</si>
  <si>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</si>
  <si>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</si>
  <si>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</si>
  <si>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</si>
  <si>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</si>
  <si>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</si>
  <si>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</si>
  <si>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</si>
  <si>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</si>
  <si>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</si>
  <si>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</si>
  <si>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</si>
  <si>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</si>
  <si>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</si>
  <si>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</si>
  <si>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</si>
  <si>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</si>
  <si>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</si>
  <si>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</si>
  <si>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</si>
  <si>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</si>
  <si>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</si>
  <si>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</si>
  <si>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</si>
  <si>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</si>
  <si>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</si>
  <si>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</si>
  <si>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</si>
  <si>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</si>
  <si>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</si>
  <si>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</si>
  <si>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</si>
  <si>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</si>
  <si>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</si>
  <si>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</si>
  <si>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</si>
  <si>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</si>
  <si>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</si>
  <si>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</si>
  <si>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</si>
  <si>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</si>
  <si>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</si>
  <si>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</si>
  <si>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</si>
  <si>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</si>
  <si>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</si>
  <si>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</si>
  <si>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</si>
  <si>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</si>
  <si>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</si>
  <si>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</si>
  <si>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</si>
  <si>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</si>
  <si>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</si>
  <si>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</si>
  <si>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</si>
  <si>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</si>
  <si>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</si>
  <si>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</si>
  <si>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</si>
  <si>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</si>
  <si>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</si>
  <si>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</si>
  <si>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</si>
  <si>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</si>
  <si>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</si>
  <si>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</si>
  <si>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</si>
  <si>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</si>
  <si>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</si>
  <si>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</si>
  <si>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</si>
  <si>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</si>
  <si>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</si>
  <si>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</si>
  <si>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</si>
  <si>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</si>
  <si>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</si>
  <si>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</si>
  <si>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</si>
  <si>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</si>
  <si>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</si>
  <si>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</si>
  <si>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</si>
  <si>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</si>
  <si>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</si>
  <si>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</si>
  <si>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</si>
  <si>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</si>
  <si>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</si>
  <si>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</si>
  <si>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</si>
  <si>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</si>
  <si>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</si>
  <si>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</si>
  <si>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</si>
  <si>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</si>
  <si>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</si>
  <si>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</si>
  <si>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</si>
  <si>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</si>
  <si>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</si>
  <si>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</si>
  <si>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</si>
  <si>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</si>
  <si>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</si>
  <si>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</si>
  <si>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</si>
  <si>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</si>
  <si>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</si>
  <si>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</si>
  <si>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</si>
  <si>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</si>
  <si>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</si>
  <si>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</si>
  <si>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</si>
  <si>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</si>
  <si>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</si>
  <si>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</si>
  <si>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</si>
  <si>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</si>
  <si>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</si>
  <si>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</si>
  <si>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</si>
  <si>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</si>
  <si>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</si>
  <si>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</si>
  <si>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</si>
  <si>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</si>
  <si>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</si>
  <si>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</si>
  <si>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</si>
  <si>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</si>
  <si>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</si>
  <si>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</si>
  <si>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</si>
  <si>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</si>
  <si>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</si>
  <si>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</si>
  <si>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</si>
  <si>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</si>
  <si>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</si>
  <si>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</si>
  <si>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</si>
  <si>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</si>
  <si>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</si>
  <si>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</si>
  <si>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</si>
  <si>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</si>
  <si>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</si>
  <si>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</si>
  <si>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</si>
  <si>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</si>
  <si>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</si>
  <si>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</si>
  <si>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</si>
  <si>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</si>
  <si>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</si>
  <si>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</si>
  <si>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</si>
  <si>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</si>
  <si>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</si>
  <si>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</si>
  <si>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</si>
  <si>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</si>
  <si>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</si>
  <si>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</si>
  <si>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</si>
  <si>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</si>
  <si>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</si>
  <si>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</si>
  <si>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</si>
  <si>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</si>
  <si>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</si>
  <si>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</si>
  <si>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</si>
  <si>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</si>
  <si>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</si>
  <si>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</si>
  <si>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</si>
  <si>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</si>
  <si>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</si>
  <si>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</si>
  <si>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</si>
  <si>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</si>
  <si>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</si>
  <si>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</si>
  <si>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</si>
  <si>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</si>
  <si>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</si>
  <si>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</si>
  <si>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</si>
  <si>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</si>
  <si>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</si>
  <si>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</si>
  <si>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</si>
  <si>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</si>
  <si>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</si>
  <si>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</si>
  <si>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</si>
  <si>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</si>
  <si>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</si>
  <si>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</si>
  <si>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</si>
  <si>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</si>
  <si>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</si>
  <si>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</si>
  <si>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</si>
  <si>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</si>
  <si>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</si>
  <si>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</si>
  <si>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</si>
  <si>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</si>
  <si>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</si>
  <si>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</si>
  <si>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</si>
  <si>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</si>
  <si>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</si>
  <si>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</si>
  <si>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</si>
  <si>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</si>
  <si>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</si>
  <si>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</si>
  <si>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</si>
  <si>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</si>
  <si>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</si>
  <si>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</si>
  <si>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</si>
  <si>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</si>
  <si>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</si>
  <si>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</si>
  <si>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</si>
  <si>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</si>
  <si>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</si>
  <si>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</si>
  <si>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</si>
  <si>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</si>
  <si>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</si>
  <si>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</si>
  <si>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</si>
  <si>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</si>
  <si>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</si>
  <si>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</si>
  <si>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</si>
  <si>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</si>
  <si>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</si>
  <si>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</si>
  <si>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</si>
  <si>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</si>
  <si>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</si>
  <si>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</si>
  <si>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</si>
  <si>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</si>
  <si>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</si>
  <si>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</si>
  <si>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</si>
  <si>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</si>
  <si>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</si>
  <si>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</si>
  <si>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</si>
  <si>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</si>
  <si>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</si>
  <si>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</si>
  <si>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</si>
  <si>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</si>
  <si>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</si>
  <si>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</si>
  <si>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</si>
  <si>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</si>
  <si>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</si>
  <si>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</si>
  <si>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</si>
  <si>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</si>
  <si>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</si>
  <si>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</si>
  <si>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</si>
  <si>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</si>
  <si>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</si>
  <si>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</si>
  <si>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</si>
  <si>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</si>
  <si>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</si>
  <si>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</si>
  <si>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</si>
  <si>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</si>
  <si>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</si>
  <si>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</si>
  <si>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</si>
  <si>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</si>
  <si>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</si>
  <si>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</si>
  <si>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</si>
  <si>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</si>
  <si>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</si>
  <si>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</si>
  <si>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</si>
  <si>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</si>
  <si>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</si>
  <si>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</si>
  <si>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</si>
  <si>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</si>
  <si>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</si>
  <si>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</si>
  <si>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</si>
  <si>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</si>
  <si>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</si>
  <si>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</si>
  <si>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</si>
  <si>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</si>
  <si>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</si>
  <si>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</si>
  <si>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</si>
  <si>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</si>
  <si>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</si>
  <si>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</si>
  <si>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</si>
  <si>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</si>
  <si>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</si>
  <si>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</si>
  <si>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</si>
  <si>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</si>
  <si>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</si>
  <si>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</si>
  <si>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</si>
  <si>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</si>
  <si>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</si>
  <si>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</si>
  <si>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</si>
  <si>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</si>
  <si>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</si>
  <si>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</si>
  <si>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</si>
  <si>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</si>
  <si>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</si>
  <si>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</si>
  <si>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</si>
  <si>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</si>
  <si>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</si>
  <si>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</si>
  <si>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</si>
  <si>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</si>
  <si>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</si>
  <si>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</si>
  <si>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</si>
  <si>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</si>
  <si>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</si>
  <si>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</si>
  <si>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</si>
  <si>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</si>
  <si>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</si>
  <si>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</si>
  <si>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</si>
  <si>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</si>
  <si>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</si>
  <si>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</si>
  <si>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</si>
  <si>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</si>
  <si>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</si>
  <si>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</si>
  <si>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</si>
  <si>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</si>
  <si>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</si>
  <si>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</si>
  <si>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</si>
  <si>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</si>
  <si>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</si>
  <si>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</si>
  <si>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</si>
  <si>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</si>
  <si>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</si>
  <si>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</si>
  <si>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</si>
  <si>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</si>
  <si>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</si>
  <si>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</si>
  <si>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</si>
  <si>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</si>
  <si>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</si>
  <si>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</si>
  <si>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</si>
  <si>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</si>
  <si>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</si>
  <si>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</si>
  <si>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</si>
  <si>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</si>
  <si>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</si>
  <si>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</si>
  <si>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</si>
  <si>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</si>
  <si>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</si>
  <si>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</si>
  <si>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</si>
  <si>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</si>
  <si>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</si>
  <si>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</si>
  <si>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</si>
  <si>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</si>
  <si>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</si>
  <si>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</si>
  <si>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</si>
  <si>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</si>
  <si>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</si>
  <si>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</si>
  <si>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</si>
  <si>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</si>
  <si>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</si>
  <si>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</si>
  <si>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</si>
  <si>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</si>
  <si>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</si>
  <si>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</si>
  <si>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</si>
  <si>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</si>
  <si>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</si>
  <si>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</si>
  <si>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</si>
  <si>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</si>
  <si>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</si>
  <si>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</si>
  <si>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</si>
  <si>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</si>
  <si>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</si>
  <si>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</si>
  <si>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</si>
  <si>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</si>
  <si>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</si>
  <si>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</si>
  <si>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</si>
  <si>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</si>
  <si>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</si>
  <si>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</si>
  <si>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</si>
  <si>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</si>
  <si>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</si>
  <si>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</si>
  <si>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</si>
  <si>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</si>
  <si>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</si>
  <si>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</si>
  <si>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</si>
  <si>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</si>
  <si>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</si>
  <si>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</si>
  <si>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</si>
  <si>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</si>
  <si>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</si>
  <si>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</si>
  <si>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</si>
  <si>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</si>
  <si>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</si>
  <si>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</si>
  <si>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</si>
  <si>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</si>
  <si>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</si>
  <si>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</si>
  <si>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</si>
  <si>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</si>
  <si>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</si>
  <si>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</si>
  <si>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</si>
  <si>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</si>
  <si>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</si>
  <si>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</si>
  <si>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</si>
  <si>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</si>
  <si>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</si>
  <si>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</si>
  <si>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</si>
  <si>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</si>
  <si>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</si>
  <si>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</si>
  <si>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</si>
  <si>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</si>
  <si>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</si>
  <si>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</si>
  <si>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</si>
  <si>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</si>
  <si>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</si>
  <si>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</si>
  <si>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</si>
  <si>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</si>
  <si>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</si>
  <si>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</si>
  <si>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</si>
  <si>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</si>
  <si>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</si>
  <si>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</si>
  <si>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</si>
  <si>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</si>
  <si>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</si>
  <si>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</si>
  <si>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</si>
  <si>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</si>
  <si>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</si>
  <si>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</si>
  <si>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</si>
  <si>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</si>
  <si>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</si>
  <si>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</si>
  <si>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</si>
  <si>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</si>
  <si>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</si>
  <si>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</si>
  <si>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</si>
  <si>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</si>
  <si>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</si>
  <si>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</si>
  <si>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</si>
  <si>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</si>
  <si>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</si>
  <si>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</si>
  <si>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</si>
  <si>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</si>
  <si>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</si>
  <si>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</si>
  <si>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</si>
  <si>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</si>
  <si>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</si>
  <si>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</si>
  <si>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</si>
  <si>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</si>
  <si>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</si>
  <si>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</si>
  <si>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</si>
  <si>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</si>
  <si>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</si>
  <si>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</si>
  <si>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</si>
  <si>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</si>
  <si>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</si>
  <si>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</si>
  <si>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</si>
  <si>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</si>
  <si>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</si>
  <si>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</si>
  <si>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</si>
  <si>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</si>
  <si>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</si>
  <si>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</si>
  <si>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</si>
  <si>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</si>
  <si>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</si>
  <si>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</si>
  <si>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</si>
  <si>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</si>
  <si>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</si>
  <si>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</si>
  <si>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</si>
  <si>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</si>
  <si>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</si>
  <si>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</si>
  <si>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</si>
  <si>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</si>
  <si>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</si>
  <si>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</si>
  <si>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</si>
  <si>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</si>
  <si>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</si>
  <si>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</si>
  <si>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</si>
  <si>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</si>
  <si>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</si>
  <si>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</si>
  <si>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</si>
  <si>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</si>
  <si>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</si>
  <si>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</si>
  <si>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</si>
  <si>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</si>
  <si>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</si>
  <si>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</si>
  <si>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</si>
  <si>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</si>
  <si>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</si>
  <si>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</si>
  <si>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</si>
  <si>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</si>
  <si>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</si>
  <si>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</si>
  <si>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</si>
  <si>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</si>
  <si>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</si>
  <si>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</si>
  <si>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</si>
  <si>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</si>
  <si>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</si>
  <si>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</si>
  <si>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</si>
  <si>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</si>
  <si>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</si>
  <si>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</si>
  <si>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</si>
  <si>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</si>
  <si>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</si>
  <si>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</si>
  <si>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</si>
  <si>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</si>
  <si>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</si>
  <si>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</si>
  <si>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</si>
  <si>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</si>
  <si>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</si>
  <si>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</si>
  <si>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</si>
  <si>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</si>
  <si>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</si>
  <si>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</si>
  <si>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</si>
  <si>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</si>
  <si>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</si>
  <si>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</si>
  <si>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</si>
  <si>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</si>
  <si>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</si>
  <si>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</si>
  <si>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</si>
  <si>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</si>
  <si>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</si>
  <si>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</si>
  <si>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</si>
  <si>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</si>
  <si>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</si>
  <si>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</si>
  <si>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</si>
  <si>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</si>
  <si>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</si>
  <si>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</si>
  <si>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</si>
  <si>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</si>
  <si>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</si>
  <si>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</si>
  <si>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</si>
  <si>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</si>
  <si>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</si>
  <si>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</si>
  <si>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</si>
  <si>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</si>
  <si>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</si>
  <si>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</si>
  <si>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</si>
  <si>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</si>
  <si>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</si>
  <si>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</si>
  <si>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</si>
  <si>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</si>
  <si>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</si>
  <si>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</si>
  <si>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</si>
  <si>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</si>
  <si>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</si>
  <si>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</si>
  <si>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</si>
  <si>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</si>
  <si>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</si>
  <si>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</si>
  <si>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</si>
  <si>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</si>
  <si>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</si>
  <si>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</si>
  <si>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</si>
  <si>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</si>
  <si>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</si>
  <si>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</si>
  <si>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</si>
  <si>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</si>
  <si>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</si>
  <si>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</si>
  <si>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</si>
  <si>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</si>
  <si>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</si>
  <si>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</si>
  <si>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</si>
  <si>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</si>
  <si>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</si>
  <si>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</si>
  <si>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</si>
  <si>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</si>
  <si>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</si>
  <si>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</si>
  <si>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</si>
  <si>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</si>
  <si>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</si>
  <si>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</si>
  <si>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</si>
  <si>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</si>
  <si>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</si>
  <si>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</si>
  <si>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</si>
  <si>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</si>
  <si>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</si>
  <si>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</si>
  <si>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</si>
  <si>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</si>
  <si>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</si>
  <si>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</si>
  <si>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</si>
  <si>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</si>
  <si>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</si>
  <si>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</si>
  <si>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</si>
  <si>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</si>
  <si>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</si>
  <si>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</si>
  <si>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</si>
  <si>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</si>
  <si>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</si>
  <si>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</si>
  <si>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</si>
  <si>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</si>
  <si>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</si>
  <si>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</si>
  <si>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</si>
  <si>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</si>
  <si>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</si>
  <si>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</si>
  <si>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</si>
  <si>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</si>
  <si>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</si>
  <si>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</si>
  <si>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</si>
  <si>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</si>
  <si>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</si>
  <si>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</si>
  <si>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</si>
  <si>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</si>
  <si>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</si>
  <si>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</si>
  <si>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</si>
  <si>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</si>
  <si>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</si>
  <si>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</si>
  <si>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</si>
  <si>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</si>
  <si>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</si>
  <si>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</si>
  <si>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</si>
  <si>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</si>
  <si>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</si>
  <si>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</si>
  <si>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</si>
  <si>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</si>
  <si>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</si>
  <si>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</si>
  <si>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</si>
  <si>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</si>
  <si>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</si>
  <si>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</si>
  <si>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</si>
  <si>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</si>
  <si>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</si>
  <si>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</si>
  <si>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</si>
  <si>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</si>
  <si>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</si>
  <si>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</si>
  <si>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</si>
  <si>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</si>
  <si>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</si>
  <si>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</si>
  <si>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</si>
  <si>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</si>
  <si>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</si>
  <si>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</si>
  <si>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</si>
  <si>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</si>
  <si>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</si>
  <si>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</si>
  <si>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</si>
  <si>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</si>
  <si>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</si>
  <si>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</si>
  <si>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</si>
  <si>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</si>
  <si>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</si>
  <si>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</si>
  <si>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</si>
  <si>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</si>
  <si>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</si>
  <si>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</si>
  <si>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</si>
  <si>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</si>
  <si>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</si>
  <si>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</si>
  <si>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</si>
  <si>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</si>
  <si>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</si>
  <si>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</si>
  <si>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</si>
  <si>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</si>
  <si>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</si>
  <si>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</si>
  <si>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</si>
  <si>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</si>
  <si>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</si>
  <si>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</si>
  <si>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</si>
  <si>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</si>
  <si>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</si>
  <si>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</si>
  <si>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</si>
  <si>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</si>
  <si>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</si>
  <si>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</si>
  <si>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</si>
  <si>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</si>
  <si>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</si>
  <si>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</si>
  <si>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</si>
  <si>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</si>
  <si>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</si>
  <si>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</si>
  <si>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</si>
  <si>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</si>
  <si>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</si>
  <si>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</si>
  <si>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</si>
  <si>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</si>
  <si>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</si>
  <si>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</si>
  <si>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</si>
  <si>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</si>
  <si>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</si>
  <si>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</si>
  <si>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</si>
  <si>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</si>
  <si>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</si>
  <si>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</si>
  <si>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</si>
  <si>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</si>
  <si>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</si>
  <si>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</si>
  <si>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</si>
  <si>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</si>
  <si>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</si>
  <si>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</si>
  <si>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</si>
  <si>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</si>
  <si>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</si>
  <si>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</si>
  <si>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</si>
  <si>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</si>
  <si>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</si>
  <si>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</si>
  <si>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</si>
  <si>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</si>
  <si>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</si>
  <si>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</si>
  <si>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</si>
  <si>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</si>
  <si>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</si>
  <si>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</si>
  <si>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</si>
  <si>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</si>
  <si>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</si>
  <si>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</si>
  <si>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</si>
  <si>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</si>
  <si>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</si>
  <si>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</si>
  <si>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</si>
  <si>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</si>
  <si>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</si>
  <si>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</si>
  <si>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</si>
  <si>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</si>
  <si>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</si>
  <si>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</si>
  <si>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</si>
  <si>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</si>
  <si>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</si>
  <si>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</si>
  <si>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</si>
  <si>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</si>
  <si>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</si>
  <si>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</si>
  <si>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</si>
  <si>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</si>
  <si>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</si>
  <si>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</si>
  <si>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</si>
  <si>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</si>
  <si>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</si>
  <si>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</si>
  <si>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</si>
  <si>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</si>
  <si>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</si>
  <si>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</si>
  <si>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</si>
  <si>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</si>
  <si>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</si>
  <si>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</si>
  <si>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</si>
  <si>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</si>
  <si>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</si>
  <si>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</si>
  <si>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</si>
  <si>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</si>
  <si>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</si>
  <si>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</si>
  <si>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</si>
  <si>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</si>
  <si>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</si>
  <si>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</si>
  <si>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</si>
  <si>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</si>
  <si>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</si>
  <si>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</si>
  <si>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</si>
  <si>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</si>
  <si>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</si>
  <si>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</si>
  <si>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</si>
  <si>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</si>
  <si>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</si>
  <si>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</si>
  <si>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</si>
  <si>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</si>
  <si>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</si>
  <si>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</si>
  <si>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</si>
  <si>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</si>
  <si>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</si>
  <si>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</si>
  <si>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</si>
  <si>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</si>
  <si>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</si>
  <si>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</si>
  <si>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</si>
  <si>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</si>
  <si>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</si>
  <si>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</si>
  <si>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</si>
  <si>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</si>
  <si>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</si>
  <si>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</si>
  <si>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</si>
  <si>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</si>
  <si>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</si>
  <si>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</si>
  <si>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</si>
  <si>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</si>
  <si>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</si>
  <si>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</si>
  <si>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</si>
  <si>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</si>
  <si>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</si>
  <si>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</si>
  <si>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</si>
  <si>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</si>
  <si>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</si>
  <si>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</si>
  <si>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</si>
  <si>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</si>
  <si>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</si>
  <si>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</si>
  <si>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</si>
  <si>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</si>
  <si>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</si>
  <si>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</si>
  <si>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</si>
  <si>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</si>
  <si>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</si>
  <si>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</si>
  <si>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</si>
  <si>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</si>
  <si>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</si>
  <si>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</si>
  <si>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</si>
  <si>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</si>
  <si>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</si>
  <si>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</si>
  <si>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</si>
  <si>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</si>
  <si>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</si>
  <si>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</si>
  <si>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</si>
  <si>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</si>
  <si>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</si>
  <si>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</si>
  <si>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</si>
  <si>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</si>
  <si>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</si>
  <si>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</si>
  <si>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</si>
  <si>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</si>
  <si>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</si>
  <si>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</si>
  <si>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</si>
  <si>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</si>
  <si>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</si>
  <si>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</si>
  <si>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</si>
  <si>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</si>
  <si>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</si>
  <si>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</si>
  <si>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</si>
  <si>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</si>
  <si>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</si>
  <si>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</si>
  <si>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</si>
  <si>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</si>
  <si>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</si>
  <si>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</si>
  <si>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</si>
  <si>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</si>
  <si>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</si>
  <si>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</si>
  <si>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</si>
  <si>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</si>
  <si>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</si>
  <si>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</si>
  <si>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</si>
  <si>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</si>
  <si>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</si>
  <si>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</si>
  <si>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</si>
  <si>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</si>
  <si>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</si>
  <si>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</si>
  <si>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</si>
  <si>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</si>
  <si>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</si>
  <si>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</si>
  <si>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</si>
  <si>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</si>
  <si>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</si>
  <si>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</si>
  <si>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</si>
  <si>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</si>
  <si>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</si>
  <si>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</si>
  <si>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</si>
  <si>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</si>
  <si>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</si>
  <si>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</si>
  <si>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</si>
  <si>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</si>
  <si>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</si>
  <si>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</si>
  <si>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</si>
  <si>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</si>
  <si>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</si>
  <si>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</si>
  <si>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</si>
  <si>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</si>
  <si>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</si>
  <si>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</si>
  <si>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</si>
  <si>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</si>
  <si>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</si>
  <si>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</si>
  <si>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</si>
  <si>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</si>
  <si>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</si>
  <si>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</si>
  <si>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</si>
  <si>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</si>
  <si>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</si>
  <si>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</si>
  <si>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</si>
  <si>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</si>
  <si>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</si>
  <si>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</si>
  <si>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</si>
  <si>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</si>
  <si>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</si>
  <si>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</si>
  <si>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</si>
  <si>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</si>
  <si>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</si>
  <si>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</si>
  <si>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</si>
  <si>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</si>
  <si>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</si>
  <si>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</si>
  <si>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</si>
  <si>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</si>
  <si>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</si>
  <si>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</si>
  <si>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</si>
  <si>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</si>
  <si>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</si>
  <si>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</si>
  <si>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</si>
  <si>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</si>
  <si>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</si>
  <si>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</si>
  <si>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</si>
  <si>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</si>
  <si>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</si>
  <si>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</si>
  <si>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</si>
  <si>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</si>
  <si>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</si>
  <si>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</si>
  <si>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</si>
  <si>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</si>
  <si>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</si>
  <si>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</si>
  <si>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</si>
  <si>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</si>
  <si>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</si>
  <si>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</si>
  <si>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</si>
  <si>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</si>
  <si>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</si>
  <si>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</si>
  <si>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</si>
  <si>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</si>
  <si>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</si>
  <si>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</si>
  <si>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</si>
  <si>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</si>
  <si>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</si>
  <si>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</si>
  <si>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</si>
  <si>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</si>
  <si>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</si>
  <si>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</si>
  <si>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</si>
  <si>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</si>
  <si>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</si>
  <si>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</si>
  <si>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</si>
  <si>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</si>
  <si>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</si>
  <si>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</si>
  <si>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</si>
  <si>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</si>
  <si>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</si>
  <si>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</si>
  <si>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</si>
  <si>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</si>
  <si>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</si>
  <si>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</si>
  <si>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</si>
  <si>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</si>
  <si>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</si>
  <si>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</si>
  <si>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</si>
  <si>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</si>
  <si>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</si>
  <si>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</si>
  <si>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</si>
  <si>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</si>
  <si>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</si>
  <si>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</si>
  <si>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</si>
  <si>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</si>
  <si>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</si>
  <si>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</si>
  <si>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</si>
  <si>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</si>
  <si>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</si>
  <si>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</si>
  <si>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</si>
  <si>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</si>
  <si>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</si>
  <si>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</si>
  <si>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</si>
  <si>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</si>
  <si>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</si>
  <si>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</si>
  <si>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</si>
  <si>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</si>
  <si>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</si>
  <si>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</si>
  <si>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</si>
  <si>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</si>
  <si>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</si>
  <si>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</si>
  <si>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</si>
  <si>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</si>
  <si>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</si>
  <si>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</si>
  <si>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</si>
  <si>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</si>
  <si>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</si>
  <si>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</si>
  <si>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</si>
  <si>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</si>
  <si>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</si>
  <si>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</si>
  <si>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</si>
  <si>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</si>
  <si>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</si>
  <si>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</si>
  <si>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</si>
  <si>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</si>
  <si>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</si>
  <si>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</si>
  <si>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</si>
  <si>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</si>
  <si>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</si>
  <si>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</si>
  <si>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</si>
  <si>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</si>
  <si>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</si>
  <si>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</si>
  <si>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</si>
  <si>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</si>
  <si>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</si>
  <si>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</si>
  <si>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</si>
  <si>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</si>
  <si>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</si>
  <si>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</si>
  <si>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</si>
  <si>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</si>
  <si>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</si>
  <si>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</si>
  <si>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</si>
  <si>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</si>
  <si>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</si>
  <si>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</si>
  <si>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</si>
  <si>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</si>
  <si>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</si>
  <si>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</si>
  <si>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</si>
  <si>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</si>
  <si>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</si>
  <si>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</si>
  <si>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</si>
  <si>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</si>
  <si>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</si>
  <si>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</si>
  <si>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</si>
  <si>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</si>
  <si>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</si>
  <si>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</si>
  <si>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</si>
  <si>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</si>
  <si>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</si>
  <si>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</si>
  <si>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</si>
  <si>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</si>
  <si>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</si>
  <si>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</si>
  <si>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</si>
  <si>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</si>
  <si>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</si>
  <si>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</si>
  <si>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</si>
  <si>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</si>
  <si>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</si>
  <si>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</si>
  <si>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</si>
  <si>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</si>
  <si>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</si>
  <si>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</si>
  <si>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</si>
  <si>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</si>
  <si>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</si>
  <si>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</si>
  <si>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</si>
  <si>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</si>
  <si>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</si>
  <si>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</si>
  <si>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</si>
  <si>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</si>
  <si>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</si>
  <si>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</si>
  <si>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</si>
  <si>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</si>
  <si>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</si>
  <si>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</si>
  <si>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</si>
  <si>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</si>
  <si>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</si>
  <si>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</si>
  <si>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</si>
  <si>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</si>
  <si>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</si>
  <si>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</si>
  <si>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</si>
  <si>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</si>
  <si>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</si>
  <si>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</si>
  <si>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</si>
  <si>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</si>
  <si>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</si>
  <si>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</si>
  <si>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</si>
  <si>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</si>
  <si>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</si>
  <si>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</si>
  <si>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</si>
  <si>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</si>
  <si>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</si>
  <si>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</si>
  <si>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</si>
  <si>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</si>
  <si>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</si>
  <si>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</si>
  <si>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</si>
  <si>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</si>
  <si>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</si>
  <si>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</si>
  <si>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</si>
  <si>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</si>
  <si>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</si>
  <si>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</si>
  <si>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</si>
  <si>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</si>
  <si>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</si>
  <si>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</si>
  <si>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</si>
  <si>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</si>
  <si>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</si>
  <si>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</si>
  <si>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</si>
  <si>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</si>
  <si>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</si>
  <si>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</si>
  <si>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</si>
  <si>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</si>
  <si>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</si>
  <si>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</si>
  <si>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</si>
  <si>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</si>
  <si>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</si>
  <si>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</si>
  <si>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</si>
  <si>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</si>
  <si>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</si>
  <si>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</si>
  <si>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</si>
  <si>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</si>
  <si>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</si>
  <si>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</si>
  <si>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</si>
  <si>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</si>
  <si>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</si>
  <si>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</si>
  <si>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</si>
  <si>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</si>
  <si>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</si>
  <si>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</si>
  <si>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</si>
  <si>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</si>
  <si>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</si>
  <si>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</si>
  <si>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</si>
  <si>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</si>
  <si>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</si>
  <si>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</si>
  <si>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</si>
  <si>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</si>
  <si>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</si>
  <si>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</si>
  <si>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</si>
  <si>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</si>
  <si>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</si>
  <si>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</si>
  <si>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</si>
  <si>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</si>
  <si>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</si>
  <si>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</si>
  <si>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</si>
  <si>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</si>
  <si>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</si>
  <si>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</si>
  <si>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</si>
  <si>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</si>
  <si>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</si>
  <si>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</si>
  <si>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</si>
  <si>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</si>
  <si>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</si>
  <si>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</si>
  <si>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</si>
  <si>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</si>
  <si>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</si>
  <si>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</si>
  <si>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</si>
  <si>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</si>
  <si>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</si>
  <si>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</si>
  <si>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</si>
  <si>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</si>
  <si>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</si>
  <si>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</si>
  <si>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</si>
  <si>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</si>
  <si>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</si>
  <si>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</si>
  <si>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</si>
  <si>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</si>
  <si>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</si>
  <si>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</si>
  <si>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</si>
  <si>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</si>
  <si>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</si>
  <si>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</si>
  <si>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</si>
  <si>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</si>
  <si>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</si>
  <si>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</si>
  <si>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</si>
  <si>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</si>
  <si>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</si>
  <si>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</si>
  <si>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</si>
  <si>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</si>
  <si>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</si>
  <si>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</si>
  <si>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</si>
  <si>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</si>
  <si>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</si>
  <si>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</si>
  <si>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</si>
  <si>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</si>
  <si>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</si>
  <si>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</si>
  <si>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</si>
  <si>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</si>
  <si>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</si>
  <si>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</si>
  <si>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</si>
  <si>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</si>
  <si>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</si>
  <si>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</si>
  <si>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</si>
  <si>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</si>
  <si>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</si>
  <si>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</si>
  <si>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</si>
  <si>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</si>
  <si>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</si>
  <si>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</si>
  <si>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</si>
  <si>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</si>
  <si>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</si>
  <si>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</si>
  <si>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</si>
  <si>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</si>
  <si>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</si>
  <si>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</si>
  <si>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</si>
  <si>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</si>
  <si>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</si>
  <si>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</si>
  <si>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</si>
  <si>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</si>
  <si>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</si>
  <si>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</si>
  <si>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</si>
  <si>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</si>
  <si>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</si>
  <si>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</si>
  <si>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</si>
  <si>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</si>
  <si>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</si>
  <si>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</si>
  <si>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</si>
  <si>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</si>
  <si>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</si>
  <si>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</si>
  <si>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</si>
  <si>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</si>
  <si>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</si>
  <si>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</si>
  <si>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</si>
  <si>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</si>
  <si>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</si>
  <si>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</si>
  <si>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</si>
  <si>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</si>
  <si>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</si>
  <si>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</si>
  <si>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</si>
  <si>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</si>
  <si>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</si>
  <si>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</si>
  <si>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</si>
  <si>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</si>
  <si>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</si>
  <si>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</si>
  <si>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</si>
  <si>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</si>
  <si>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</si>
  <si>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</si>
  <si>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</si>
  <si>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</si>
  <si>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</si>
  <si>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</si>
  <si>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</si>
  <si>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</si>
  <si>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</si>
  <si>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</si>
  <si>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</si>
  <si>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</si>
  <si>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</si>
  <si>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</si>
  <si>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</si>
  <si>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</si>
  <si>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</si>
  <si>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</si>
  <si>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</si>
  <si>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</si>
  <si>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</si>
  <si>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</si>
  <si>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</si>
  <si>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</si>
  <si>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</si>
  <si>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</si>
  <si>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</si>
  <si>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</si>
  <si>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</si>
  <si>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</si>
  <si>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</si>
  <si>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</si>
  <si>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</si>
  <si>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</si>
  <si>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</si>
  <si>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</si>
  <si>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</si>
  <si>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</si>
  <si>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</si>
  <si>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</si>
  <si>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</si>
  <si>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</si>
  <si>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</si>
  <si>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</si>
  <si>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</si>
  <si>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</si>
  <si>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</si>
  <si>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</si>
  <si>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</si>
  <si>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</si>
  <si>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</si>
  <si>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</si>
  <si>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</si>
  <si>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</si>
  <si>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</si>
  <si>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</si>
  <si>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</si>
  <si>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</si>
  <si>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</si>
  <si>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</si>
  <si>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</si>
  <si>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</si>
  <si>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</si>
  <si>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</si>
  <si>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</si>
  <si>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</si>
  <si>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</si>
  <si>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</si>
  <si>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</si>
  <si>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</si>
  <si>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</si>
  <si>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</si>
  <si>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</si>
  <si>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</si>
  <si>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</si>
  <si>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</si>
  <si>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</si>
  <si>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</si>
  <si>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</si>
  <si>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</si>
  <si>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</si>
  <si>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</si>
  <si>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</si>
  <si>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</si>
  <si>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</si>
  <si>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</si>
  <si>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</si>
  <si>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</si>
  <si>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</si>
  <si>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</si>
  <si>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</si>
  <si>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</si>
  <si>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</si>
  <si>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</si>
  <si>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</si>
  <si>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</si>
  <si>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</si>
  <si>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</si>
  <si>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</si>
  <si>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</si>
  <si>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</si>
  <si>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</si>
  <si>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</si>
  <si>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</si>
  <si>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</si>
  <si>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</si>
  <si>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</si>
  <si>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</si>
  <si>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</si>
  <si>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</si>
  <si>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</si>
  <si>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</si>
  <si>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</si>
  <si>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</si>
  <si>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</si>
  <si>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</si>
  <si>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</si>
  <si>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</si>
  <si>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</si>
  <si>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</si>
  <si>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</si>
  <si>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</si>
  <si>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</si>
  <si>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</si>
  <si>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</si>
  <si>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</si>
  <si>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</si>
  <si>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</si>
  <si>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</si>
  <si>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</si>
  <si>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</si>
  <si>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</si>
  <si>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</si>
  <si>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</si>
  <si>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</si>
  <si>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</si>
  <si>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</si>
  <si>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</si>
  <si>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</si>
  <si>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</si>
  <si>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</si>
  <si>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</si>
  <si>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</si>
  <si>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</si>
  <si>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</si>
  <si>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</si>
  <si>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</si>
  <si>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</si>
  <si>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</si>
  <si>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</si>
  <si>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</si>
  <si>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</si>
  <si>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</si>
  <si>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</si>
  <si>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</si>
  <si>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</si>
  <si>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</si>
  <si>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</si>
  <si>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</si>
  <si>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</si>
  <si>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</si>
  <si>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</si>
  <si>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</si>
  <si>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</si>
  <si>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</si>
  <si>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</si>
  <si>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</si>
  <si>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</si>
  <si>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</si>
  <si>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</si>
  <si>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</si>
  <si>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</si>
  <si>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</si>
  <si>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</si>
  <si>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</si>
  <si>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</si>
  <si>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</si>
  <si>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</si>
  <si>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</si>
  <si>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</si>
  <si>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</si>
  <si>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</si>
  <si>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</si>
  <si>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</si>
  <si>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</si>
  <si>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</si>
  <si>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</si>
  <si>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</si>
  <si>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</si>
  <si>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</si>
  <si>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</si>
  <si>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</si>
  <si>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</si>
  <si>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</si>
  <si>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</si>
  <si>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</si>
  <si>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</si>
  <si>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</si>
  <si>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</si>
  <si>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</si>
  <si>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</si>
  <si>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</si>
  <si>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</si>
  <si>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</si>
  <si>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</si>
  <si>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</si>
  <si>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</si>
  <si>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</si>
  <si>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</si>
  <si>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</si>
  <si>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</si>
  <si>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</si>
  <si>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</si>
  <si>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</si>
  <si>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</si>
  <si>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</si>
  <si>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</si>
  <si>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</si>
  <si>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</si>
  <si>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</si>
  <si>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</si>
  <si>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</si>
  <si>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</si>
  <si>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</si>
  <si>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</si>
  <si>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</si>
  <si>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</si>
  <si>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</si>
  <si>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</si>
  <si>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</si>
  <si>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</si>
  <si>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</si>
  <si>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</si>
  <si>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</si>
  <si>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</si>
  <si>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</si>
  <si>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</si>
  <si>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</si>
  <si>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</si>
  <si>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</si>
  <si>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</si>
  <si>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</si>
  <si>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</si>
  <si>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</si>
  <si>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</si>
  <si>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</si>
  <si>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</si>
  <si>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</si>
  <si>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</si>
  <si>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</si>
  <si>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</si>
  <si>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</si>
  <si>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</si>
  <si>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</si>
  <si>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</si>
  <si>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</si>
  <si>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</si>
  <si>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</si>
  <si>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</si>
  <si>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</si>
  <si>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</si>
  <si>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</si>
  <si>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</si>
  <si>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</si>
  <si>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</si>
  <si>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</si>
  <si>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</si>
  <si>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</si>
  <si>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</si>
  <si>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</si>
  <si>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</si>
  <si>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</si>
  <si>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</si>
  <si>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</si>
  <si>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</si>
  <si>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</si>
  <si>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</si>
  <si>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</si>
  <si>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</si>
  <si>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</si>
  <si>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</si>
  <si>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</si>
  <si>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</si>
  <si>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</si>
  <si>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</si>
  <si>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</si>
  <si>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</si>
  <si>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</si>
  <si>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</si>
  <si>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</si>
  <si>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</si>
  <si>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</si>
  <si>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</si>
  <si>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</si>
  <si>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</si>
  <si>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</si>
  <si>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</si>
  <si>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</si>
  <si>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</si>
  <si>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</si>
  <si>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</si>
  <si>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</si>
  <si>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</si>
  <si>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</si>
  <si>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</si>
  <si>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</si>
  <si>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</si>
  <si>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</si>
  <si>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</si>
  <si>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</si>
  <si>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</si>
  <si>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</si>
  <si>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</si>
  <si>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</si>
  <si>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</si>
  <si>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</si>
  <si>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</si>
  <si>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</si>
  <si>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</si>
  <si>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</si>
  <si>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</si>
  <si>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</si>
  <si>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</si>
  <si>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</si>
  <si>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</si>
  <si>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</si>
  <si>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</si>
  <si>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</si>
  <si>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</si>
  <si>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</si>
  <si>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</si>
  <si>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</si>
  <si>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</si>
  <si>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</si>
  <si>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</si>
  <si>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</si>
  <si>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</si>
  <si>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</si>
  <si>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</si>
  <si>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</si>
  <si>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</si>
  <si>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</si>
  <si>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</si>
  <si>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</si>
  <si>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</si>
  <si>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</si>
  <si>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</si>
  <si>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</si>
  <si>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</si>
  <si>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</si>
  <si>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</si>
  <si>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</si>
  <si>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</si>
  <si>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</si>
  <si>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</si>
  <si>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</si>
  <si>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</si>
  <si>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</si>
  <si>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</si>
  <si>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</si>
  <si>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</si>
  <si>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</si>
  <si>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</si>
  <si>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</si>
  <si>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</si>
  <si>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</si>
  <si>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</si>
  <si>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</si>
  <si>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</si>
  <si>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</si>
  <si>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</si>
  <si>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</si>
  <si>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</si>
  <si>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</si>
  <si>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</si>
  <si>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</si>
  <si>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</si>
  <si>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</si>
  <si>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</si>
  <si>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</si>
  <si>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</si>
  <si>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</si>
  <si>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</si>
  <si>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</si>
  <si>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</si>
  <si>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</si>
  <si>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</si>
  <si>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</si>
  <si>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</si>
  <si>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</si>
  <si>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</si>
  <si>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</si>
  <si>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</si>
  <si>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</si>
  <si>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</si>
  <si>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</si>
  <si>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</si>
  <si>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</si>
  <si>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</si>
  <si>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</si>
  <si>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</si>
  <si>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</si>
  <si>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</si>
  <si>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</si>
  <si>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</si>
  <si>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</si>
  <si>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</si>
  <si>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</si>
  <si>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</si>
  <si>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</si>
  <si>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</si>
  <si>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</si>
  <si>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</si>
  <si>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</si>
  <si>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</si>
  <si>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</si>
  <si>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</si>
  <si>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</si>
  <si>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</si>
  <si>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</si>
  <si>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</si>
  <si>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</si>
  <si>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</si>
  <si>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</si>
  <si>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</si>
  <si>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</si>
  <si>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</si>
  <si>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</si>
  <si>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</si>
  <si>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</si>
  <si>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22,00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</si>
  <si>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</si>
  <si>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</si>
  <si>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</si>
  <si>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</si>
  <si>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</si>
  <si>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</si>
  <si>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</si>
  <si>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</si>
  <si>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21,46</t>
  </si>
  <si>
    <t>21,50</t>
  </si>
  <si>
    <t>11,30</t>
  </si>
  <si>
    <t>11,25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</si>
  <si>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</si>
  <si>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</si>
  <si>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</si>
  <si>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</si>
  <si>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</si>
  <si>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</si>
  <si>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</si>
  <si>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</si>
  <si>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16,73</t>
  </si>
  <si>
    <t>11,52</t>
  </si>
  <si>
    <t>11,80</t>
  </si>
  <si>
    <t>16,75</t>
  </si>
  <si>
    <t>16,76</t>
  </si>
  <si>
    <t>16,74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</si>
  <si>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</si>
  <si>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</si>
  <si>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</si>
  <si>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</si>
  <si>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</si>
  <si>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</si>
  <si>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</si>
  <si>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6,60</t>
  </si>
  <si>
    <t>4,94</t>
  </si>
  <si>
    <t>5,36</t>
  </si>
  <si>
    <t>22,55</t>
  </si>
  <si>
    <t>25,68</t>
  </si>
  <si>
    <t>Сейф-Ломбард</t>
  </si>
  <si>
    <t>15,87</t>
  </si>
  <si>
    <t>17,02</t>
  </si>
  <si>
    <t>17,37</t>
  </si>
  <si>
    <t>17,59</t>
  </si>
  <si>
    <t>67 (0)</t>
  </si>
  <si>
    <t>1 387 (4)</t>
  </si>
  <si>
    <t>18,29</t>
  </si>
  <si>
    <t>217 (1)</t>
  </si>
  <si>
    <t>5,25</t>
  </si>
  <si>
    <t>844 (2)</t>
  </si>
  <si>
    <t>5BCCIbe</t>
  </si>
  <si>
    <t>6BCCIrb</t>
  </si>
  <si>
    <t>7BIGDb5</t>
  </si>
  <si>
    <t>637 (2)</t>
  </si>
  <si>
    <t>8BRKZe18</t>
  </si>
  <si>
    <t>5,02</t>
  </si>
  <si>
    <t>1 665 (5)</t>
  </si>
  <si>
    <t>9BRKZe4</t>
  </si>
  <si>
    <t>6,01</t>
  </si>
  <si>
    <t>211 (1)</t>
  </si>
  <si>
    <t>10BTRKe1</t>
  </si>
  <si>
    <t>976 (3)</t>
  </si>
  <si>
    <t>11CCBN</t>
  </si>
  <si>
    <t>12CCBNp</t>
  </si>
  <si>
    <t>13CSECfe</t>
  </si>
  <si>
    <t>14CSECtf</t>
  </si>
  <si>
    <t>15EABRb40</t>
  </si>
  <si>
    <t>208 (1)</t>
  </si>
  <si>
    <t>16EABRb42</t>
  </si>
  <si>
    <t>917 (3)</t>
  </si>
  <si>
    <t>17EABRb53</t>
  </si>
  <si>
    <t>948 (3)</t>
  </si>
  <si>
    <t>18FFIN_or</t>
  </si>
  <si>
    <t>19FFINgw</t>
  </si>
  <si>
    <t>20FHJIag</t>
  </si>
  <si>
    <t>21FHJIpc</t>
  </si>
  <si>
    <t>22HCBNb13</t>
  </si>
  <si>
    <t>905 (3)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</si>
  <si>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</si>
  <si>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</si>
  <si>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</si>
  <si>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</si>
  <si>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</si>
  <si>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</si>
  <si>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</si>
  <si>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</si>
  <si>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</si>
  <si>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32KFUSb45</t>
  </si>
  <si>
    <t>17,31</t>
  </si>
  <si>
    <t>38 (0)</t>
  </si>
  <si>
    <t>33KMGZ</t>
  </si>
  <si>
    <t>34KMGZe12</t>
  </si>
  <si>
    <t>7 797 (22)</t>
  </si>
  <si>
    <t>35KMGZe14</t>
  </si>
  <si>
    <t>1 682 (5)</t>
  </si>
  <si>
    <t>36KMGZe15</t>
  </si>
  <si>
    <t>6,73</t>
  </si>
  <si>
    <t>8 342 (23)</t>
  </si>
  <si>
    <t>37KMGZe16</t>
  </si>
  <si>
    <t>2 752 (8)</t>
  </si>
  <si>
    <t>38KSPI</t>
  </si>
  <si>
    <t>39KSPId</t>
  </si>
  <si>
    <t>40KZAP</t>
  </si>
  <si>
    <t>41KZTCb3</t>
  </si>
  <si>
    <t>925 (3)</t>
  </si>
  <si>
    <t>42KZTK</t>
  </si>
  <si>
    <t>43KZTKp</t>
  </si>
  <si>
    <t>44KZTO</t>
  </si>
  <si>
    <t>45KZ_23_3504</t>
  </si>
  <si>
    <t>3 467 (10)</t>
  </si>
  <si>
    <t>46MFMCb2</t>
  </si>
  <si>
    <t>442 (1)</t>
  </si>
  <si>
    <t>47MFMOb10</t>
  </si>
  <si>
    <t>24,13</t>
  </si>
  <si>
    <t>440 (1)</t>
  </si>
  <si>
    <t>48MFMOb17</t>
  </si>
  <si>
    <t>20,88</t>
  </si>
  <si>
    <t>179 (0)</t>
  </si>
  <si>
    <t>49MFMOb25</t>
  </si>
  <si>
    <t>709 (2)</t>
  </si>
  <si>
    <t>50MFMOb26</t>
  </si>
  <si>
    <t>11,92</t>
  </si>
  <si>
    <t>624 (2)</t>
  </si>
  <si>
    <t>51MFMOb28</t>
  </si>
  <si>
    <t>658 (2)</t>
  </si>
  <si>
    <t>52MFOKb16</t>
  </si>
  <si>
    <t>24,21</t>
  </si>
  <si>
    <t>82 (0)</t>
  </si>
  <si>
    <t>53MFOKb18</t>
  </si>
  <si>
    <t>244 (1)</t>
  </si>
  <si>
    <t>54MFOKb19</t>
  </si>
  <si>
    <t>10,03</t>
  </si>
  <si>
    <t>566 (2)</t>
  </si>
  <si>
    <t>55MFOKb20</t>
  </si>
  <si>
    <t>713 (2)</t>
  </si>
  <si>
    <t>56MFOKb21</t>
  </si>
  <si>
    <t>20,37</t>
  </si>
  <si>
    <t>876 (2)</t>
  </si>
  <si>
    <t>57MFOKb22</t>
  </si>
  <si>
    <t>22,24</t>
  </si>
  <si>
    <t>419 (1)</t>
  </si>
  <si>
    <t>58MFOKb24</t>
  </si>
  <si>
    <t>920 (3)</t>
  </si>
  <si>
    <t>59MFOKb25</t>
  </si>
  <si>
    <t>21,48</t>
  </si>
  <si>
    <t>939 (3)</t>
  </si>
  <si>
    <t>60MFOKb26</t>
  </si>
  <si>
    <t>20,77</t>
  </si>
  <si>
    <t>1 018 (3)</t>
  </si>
  <si>
    <t>61MFRFb12</t>
  </si>
  <si>
    <t>197,17</t>
  </si>
  <si>
    <t>57 (0)</t>
  </si>
  <si>
    <t>62MFRFb13</t>
  </si>
  <si>
    <t>37,70</t>
  </si>
  <si>
    <t>673 (2)</t>
  </si>
  <si>
    <t>63MFRFb14</t>
  </si>
  <si>
    <t>39,99</t>
  </si>
  <si>
    <t>428 (1)</t>
  </si>
  <si>
    <t>64MFRFb16</t>
  </si>
  <si>
    <t>936 (3)</t>
  </si>
  <si>
    <t>65MFRFb18</t>
  </si>
  <si>
    <t>21,44</t>
  </si>
  <si>
    <t>690 (2)</t>
  </si>
  <si>
    <t>66MFRFb19</t>
  </si>
  <si>
    <t>22,04</t>
  </si>
  <si>
    <t>1 024 (3)</t>
  </si>
  <si>
    <t>67MFRFb21</t>
  </si>
  <si>
    <t>706 (2)</t>
  </si>
  <si>
    <t>68MFSLb11</t>
  </si>
  <si>
    <t>532 (1)</t>
  </si>
  <si>
    <t>69MKM012_0159</t>
  </si>
  <si>
    <t>15,00</t>
  </si>
  <si>
    <t>63 (0)</t>
  </si>
  <si>
    <t>70MKM012_0160</t>
  </si>
  <si>
    <t>15,66</t>
  </si>
  <si>
    <t>168 (0)</t>
  </si>
  <si>
    <t>71MKM012_0161</t>
  </si>
  <si>
    <t>16,13</t>
  </si>
  <si>
    <t>266 (1)</t>
  </si>
  <si>
    <t>72MOM048_0052</t>
  </si>
  <si>
    <t>15,77</t>
  </si>
  <si>
    <t>149 (0)</t>
  </si>
  <si>
    <t>73MOM048_0053</t>
  </si>
  <si>
    <t>302 (1)</t>
  </si>
  <si>
    <t>74MOM048_0054</t>
  </si>
  <si>
    <t>15,96</t>
  </si>
  <si>
    <t>384 (1)</t>
  </si>
  <si>
    <t>75MOM048_0056</t>
  </si>
  <si>
    <t>16,09</t>
  </si>
  <si>
    <t>1 425 (4)</t>
  </si>
  <si>
    <t>76MOM060_0052</t>
  </si>
  <si>
    <t>15,93</t>
  </si>
  <si>
    <t>342 (1)</t>
  </si>
  <si>
    <t>77MOM060_0054</t>
  </si>
  <si>
    <t>16,05</t>
  </si>
  <si>
    <t>806 (2)</t>
  </si>
  <si>
    <t>78MTC048_0001</t>
  </si>
  <si>
    <t>1 438 (4)</t>
  </si>
  <si>
    <t>79MTM048_0001</t>
  </si>
  <si>
    <t>377 (1)</t>
  </si>
  <si>
    <t>80MTM060_0001</t>
  </si>
  <si>
    <t>17,17</t>
  </si>
  <si>
    <t>772 (2)</t>
  </si>
  <si>
    <t>81MTM072_0001</t>
  </si>
  <si>
    <t>1 166 (3)</t>
  </si>
  <si>
    <t>82MTM084_0001</t>
  </si>
  <si>
    <t>1 631 (5)</t>
  </si>
  <si>
    <t>83MTM096_0001</t>
  </si>
  <si>
    <t>1 941 (5)</t>
  </si>
  <si>
    <t>84MUJ144_0005</t>
  </si>
  <si>
    <t>95 (0)</t>
  </si>
  <si>
    <t>85MUJ156_0004</t>
  </si>
  <si>
    <t>398 (1)</t>
  </si>
  <si>
    <t>86MUJ168_0004</t>
  </si>
  <si>
    <t>87MUJ168_0005</t>
  </si>
  <si>
    <t>366 (1)</t>
  </si>
  <si>
    <t>88MUJ180_0007</t>
  </si>
  <si>
    <t>66 (0)</t>
  </si>
  <si>
    <t>89MUJ180_0008</t>
  </si>
  <si>
    <t>1 191 (3)</t>
  </si>
  <si>
    <t>90MUJ192_0002</t>
  </si>
  <si>
    <t>91MUJ192_0003</t>
  </si>
  <si>
    <t>11,63</t>
  </si>
  <si>
    <t>276 (1)</t>
  </si>
  <si>
    <t>92MUJ192_0004</t>
  </si>
  <si>
    <t>1 622 (5)</t>
  </si>
  <si>
    <t>93MUJ204_0001</t>
  </si>
  <si>
    <t>94MUJ204_0002</t>
  </si>
  <si>
    <t>338 (1)</t>
  </si>
  <si>
    <t>95MUJ204_0003</t>
  </si>
  <si>
    <t>607 (2)</t>
  </si>
  <si>
    <t>96MUJ204_0004</t>
  </si>
  <si>
    <t>697 (2)</t>
  </si>
  <si>
    <t>97MUJ204_0005</t>
  </si>
  <si>
    <t>1 266 (4)</t>
  </si>
  <si>
    <t>98MUJ204_0006</t>
  </si>
  <si>
    <t>1 386 (4)</t>
  </si>
  <si>
    <t>99MUJ216_0001</t>
  </si>
  <si>
    <t>667 (2)</t>
  </si>
  <si>
    <t>100MUJ216_0002</t>
  </si>
  <si>
    <t>814 (2)</t>
  </si>
  <si>
    <t>101MUJ216_0003</t>
  </si>
  <si>
    <t>903 (3)</t>
  </si>
  <si>
    <t>102MUJ216_0004</t>
  </si>
  <si>
    <t>1 445 (4)</t>
  </si>
  <si>
    <t>103MUJ216_0005</t>
  </si>
  <si>
    <t>1 718 (5)</t>
  </si>
  <si>
    <t>104MUJ228_0001</t>
  </si>
  <si>
    <t>1 085 (3)</t>
  </si>
  <si>
    <t>105MUJ228_0002</t>
  </si>
  <si>
    <t>1 208 (3)</t>
  </si>
  <si>
    <t>106MUJ228_0003</t>
  </si>
  <si>
    <t>107MUJ228_0004</t>
  </si>
  <si>
    <t>1 596 (4)</t>
  </si>
  <si>
    <t>108MUJ228_0005</t>
  </si>
  <si>
    <t>1 837 (5)</t>
  </si>
  <si>
    <t>109MUJ228_0006</t>
  </si>
  <si>
    <t>2 195 (6)</t>
  </si>
  <si>
    <t>110MUJ240_0001</t>
  </si>
  <si>
    <t>2 287 (6)</t>
  </si>
  <si>
    <t>111MUM072_0013</t>
  </si>
  <si>
    <t>16,63</t>
  </si>
  <si>
    <t>627 (2)</t>
  </si>
  <si>
    <t>112MUM072_0014</t>
  </si>
  <si>
    <t>16,71</t>
  </si>
  <si>
    <t>1 271 (4)</t>
  </si>
  <si>
    <t>113MUM072_0015</t>
  </si>
  <si>
    <t>1 635 (5)</t>
  </si>
  <si>
    <t>114MUM084_0018</t>
  </si>
  <si>
    <t>950 (3)</t>
  </si>
  <si>
    <t>115MUM084_0019</t>
  </si>
  <si>
    <t>1 980 (6)</t>
  </si>
  <si>
    <t>116MUM084_0020</t>
  </si>
  <si>
    <t>2 354 (7)</t>
  </si>
  <si>
    <t>117MUM096_0011</t>
  </si>
  <si>
    <t>1 145 (3)</t>
  </si>
  <si>
    <t>118MUM096_0012</t>
  </si>
  <si>
    <t>1 416 (4)</t>
  </si>
  <si>
    <t>119MUM096_0013</t>
  </si>
  <si>
    <t>1 602 (4)</t>
  </si>
  <si>
    <t>120MUM096_0014</t>
  </si>
  <si>
    <t>2 060 (6)</t>
  </si>
  <si>
    <t>121MUM096_0015</t>
  </si>
  <si>
    <t>2 803 (8)</t>
  </si>
  <si>
    <t>122MUM108_0012</t>
  </si>
  <si>
    <t>16,51</t>
  </si>
  <si>
    <t>311 (1)</t>
  </si>
  <si>
    <t>123MUM108_0013</t>
  </si>
  <si>
    <t>1 299 (4)</t>
  </si>
  <si>
    <t>124MUM108_0014</t>
  </si>
  <si>
    <t>2 427 (7)</t>
  </si>
  <si>
    <t>125MUM108_0015</t>
  </si>
  <si>
    <t>3 074 (9)</t>
  </si>
  <si>
    <t>126MUM120_0017</t>
  </si>
  <si>
    <t>16,61</t>
  </si>
  <si>
    <t>554 (2)</t>
  </si>
  <si>
    <t>127MUM120_0018</t>
  </si>
  <si>
    <t>16,65</t>
  </si>
  <si>
    <t>671 (2)</t>
  </si>
  <si>
    <t>128MUM120_0019</t>
  </si>
  <si>
    <t>2 005 (6)</t>
  </si>
  <si>
    <t>129MUM120_0020</t>
  </si>
  <si>
    <t>16,78</t>
  </si>
  <si>
    <t>3 411 (9)</t>
  </si>
  <si>
    <t>130MUM132_0007</t>
  </si>
  <si>
    <t>2 494 (7)</t>
  </si>
  <si>
    <t>131MUM144_0009</t>
  </si>
  <si>
    <t>2 881 (8)</t>
  </si>
  <si>
    <t>132MUM156_0005</t>
  </si>
  <si>
    <t>16,66</t>
  </si>
  <si>
    <t>133MUM156_0006</t>
  </si>
  <si>
    <t>2 058 (6)</t>
  </si>
  <si>
    <t>134MUM156_0007</t>
  </si>
  <si>
    <t>3 055 (8)</t>
  </si>
  <si>
    <t>135MUM156_0008</t>
  </si>
  <si>
    <t>4 590 (13)</t>
  </si>
  <si>
    <t>136MUM168_0001</t>
  </si>
  <si>
    <t>16,01</t>
  </si>
  <si>
    <t>41 (0)</t>
  </si>
  <si>
    <t>137MUM168_0002</t>
  </si>
  <si>
    <t>16,24</t>
  </si>
  <si>
    <t>84 (0)</t>
  </si>
  <si>
    <t>138MUM168_0003</t>
  </si>
  <si>
    <t>2 394 (7)</t>
  </si>
  <si>
    <t>139MUM168_0005</t>
  </si>
  <si>
    <t>3 438 (10)</t>
  </si>
  <si>
    <t>140MUM180_0003</t>
  </si>
  <si>
    <t>92 (0)</t>
  </si>
  <si>
    <t>141MUM180_0004</t>
  </si>
  <si>
    <t>16,56</t>
  </si>
  <si>
    <t>356 (1)</t>
  </si>
  <si>
    <t>142MUM180_0005</t>
  </si>
  <si>
    <t>451 (1)</t>
  </si>
  <si>
    <t>143MUM180_0006</t>
  </si>
  <si>
    <t>575 (2)</t>
  </si>
  <si>
    <t>144MUM180_0007</t>
  </si>
  <si>
    <t>16,69</t>
  </si>
  <si>
    <t>746 (2)</t>
  </si>
  <si>
    <t>145MUM180_0008</t>
  </si>
  <si>
    <t>16,68</t>
  </si>
  <si>
    <t>782 (2)</t>
  </si>
  <si>
    <t>146MUM180_0009</t>
  </si>
  <si>
    <t>1 188 (3)</t>
  </si>
  <si>
    <t>147MUM180_0011</t>
  </si>
  <si>
    <t>1 431 (4)</t>
  </si>
  <si>
    <t>148MUM180_0012</t>
  </si>
  <si>
    <t>149MUM180_0013</t>
  </si>
  <si>
    <t>2 742 (8)</t>
  </si>
  <si>
    <t>150MUM180_0014</t>
  </si>
  <si>
    <t>2 761 (8)</t>
  </si>
  <si>
    <t>151MUM180_0015</t>
  </si>
  <si>
    <t>3 963 (11)</t>
  </si>
  <si>
    <t>152MUM180_0016</t>
  </si>
  <si>
    <t>4 116 (11)</t>
  </si>
  <si>
    <t>153MUM192_0001</t>
  </si>
  <si>
    <t>777 (2)</t>
  </si>
  <si>
    <t>154MUM192_0002</t>
  </si>
  <si>
    <t>956 (3)</t>
  </si>
  <si>
    <t>155MUM192_0003</t>
  </si>
  <si>
    <t>1 108 (3)</t>
  </si>
  <si>
    <t>156MUM216_0001</t>
  </si>
  <si>
    <t>3 938 (11)</t>
  </si>
  <si>
    <t>157MUM216_0002</t>
  </si>
  <si>
    <t>4 129 (11)</t>
  </si>
  <si>
    <t>158MUM240_0001</t>
  </si>
  <si>
    <t>2 402 (7)</t>
  </si>
  <si>
    <t>159MUM240_0002</t>
  </si>
  <si>
    <t>3 140 (9)</t>
  </si>
  <si>
    <t>160MUM240_0004</t>
  </si>
  <si>
    <t>3 397 (9)</t>
  </si>
  <si>
    <t>161MUM300_0001</t>
  </si>
  <si>
    <t>4 798 (13)</t>
  </si>
  <si>
    <t>162MUM300_0002</t>
  </si>
  <si>
    <t>5 013 (14)</t>
  </si>
  <si>
    <t>163MUM300_0003</t>
  </si>
  <si>
    <t>5 224 (15)</t>
  </si>
  <si>
    <t>164MUM360_0001</t>
  </si>
  <si>
    <t>6 874 (19)</t>
  </si>
  <si>
    <t>165MUX072_0003</t>
  </si>
  <si>
    <t>2 019 (6)</t>
  </si>
  <si>
    <t>166NCOMb3</t>
  </si>
  <si>
    <t>229 (1)</t>
  </si>
  <si>
    <t>167NCOMb6</t>
  </si>
  <si>
    <t>269 (1)</t>
  </si>
  <si>
    <t>168NTK028_2866</t>
  </si>
  <si>
    <t>14,68</t>
  </si>
  <si>
    <t>26 (0)</t>
  </si>
  <si>
    <t>169PRKRe1</t>
  </si>
  <si>
    <t>216 (1)</t>
  </si>
  <si>
    <t>170SKKZe1</t>
  </si>
  <si>
    <t>426 (1)</t>
  </si>
  <si>
    <t>Расчетная цена на 24.08.25</t>
  </si>
  <si>
    <t>Расчетная грязная цена 24.08.25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</si>
</sst>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303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RKZe4" TargetMode="External"/><Relationship Id="rId42" Type="http://schemas.openxmlformats.org/officeDocument/2006/relationships/hyperlink" Target="https://kase.kz/ru/listing/issuers/FFIN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32" Type="http://schemas.openxmlformats.org/officeDocument/2006/relationships/hyperlink" Target="https://kase.kz/ru/listing/issuers/CSEC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68_0004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84_0018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56_0008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FHJIag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1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TM072_0001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28_0006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32_0007" TargetMode="External"/><Relationship Id="rId12" Type="http://schemas.openxmlformats.org/officeDocument/2006/relationships/hyperlink" Target="https://kase.kz/ru/listing/issuers/ASKQ" TargetMode="External"/><Relationship Id="rId33" Type="http://schemas.openxmlformats.org/officeDocument/2006/relationships/hyperlink" Target="https://kase.kz/ru/investors/bonds/EABRb40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1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KT" TargetMode="External"/><Relationship Id="rId140" Type="http://schemas.openxmlformats.org/officeDocument/2006/relationships/hyperlink" Target="https://kase.kz/ru/listing/issuers/MFRF" TargetMode="External"/><Relationship Id="rId161" Type="http://schemas.openxmlformats.org/officeDocument/2006/relationships/hyperlink" Target="https://kase.kz/ru/investors/gsecs/MOM060_0052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1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OK" TargetMode="External"/><Relationship Id="rId151" Type="http://schemas.openxmlformats.org/officeDocument/2006/relationships/hyperlink" Target="https://kase.kz/ru/investors/gsecs/MKM012_0161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68_0005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1" Type="http://schemas.openxmlformats.org/officeDocument/2006/relationships/hyperlink" Target="https://kase.kz/ru/investors/gsecs/MUM096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3" TargetMode="External"/><Relationship Id="rId323" Type="http://schemas.openxmlformats.org/officeDocument/2006/relationships/hyperlink" Target="https://kase.kz/ru/investors/gsecs/MUM216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56_0004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1" Type="http://schemas.openxmlformats.org/officeDocument/2006/relationships/hyperlink" Target="https://kase.kz/ru/investors/gsecs/MUM084_0020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3" Type="http://schemas.openxmlformats.org/officeDocument/2006/relationships/hyperlink" Target="https://kase.kz/ru/investors/gsecs/MUM180_001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185" Type="http://schemas.openxmlformats.org/officeDocument/2006/relationships/hyperlink" Target="https://kase.kz/ru/investors/gsecs/MUJ180_0007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4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45893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2820</v>
      </c>
      <c r="J5" s="2" t="s">
        <v>2821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22.08.25'!$C$5:$F$162,4,0)</f>
        <v>85.328000000000003</v>
      </c>
      <c r="J6" s="32">
        <f>VLOOKUP(B6,'KASE за 22.08.25'!$C$5:$G$162,5,0)</f>
        <v>87.539299999999997</v>
      </c>
      <c r="K6" s="64">
        <v>39230625</v>
      </c>
      <c r="L6" s="29">
        <f>D6*I6/100+K6</f>
        <v>1532470625</v>
      </c>
      <c r="M6" s="33">
        <f t="shared" ref="M6:M49" si="0">L6/$L$61</f>
        <v>5.912948811944866E-2</v>
      </c>
      <c r="N6" s="13">
        <f>D6*E6%/360</f>
        <v>266875.00000000006</v>
      </c>
      <c r="O6" s="12">
        <f>K6+N6</f>
        <v>39497500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22.08.25'!$C$5:$F$162,4,0)</f>
        <v>87.174700000000001</v>
      </c>
      <c r="J7" s="32">
        <f>VLOOKUP(B7,'KASE за 22.08.25'!$C$5:$G$162,5,0)</f>
        <v>90.930300000000003</v>
      </c>
      <c r="K7" s="64">
        <v>74360000.00000006</v>
      </c>
      <c r="L7" s="29">
        <f>D7*I7/100+K7</f>
        <v>1774266650</v>
      </c>
      <c r="M7" s="33">
        <f t="shared" si="0"/>
        <v>6.8459047168952403E-2</v>
      </c>
      <c r="N7" s="13">
        <f t="shared" ref="N7:N15" si="1">D7*E7%/360</f>
        <v>563333.33333333337</v>
      </c>
      <c r="O7" s="12">
        <f t="shared" ref="O7:O41" si="2">K7+N7</f>
        <v>74923333.333333388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22.08.25'!$C$5:$F$162,4,0)</f>
        <v>85.156999999999996</v>
      </c>
      <c r="J8" s="32">
        <f>VLOOKUP(B8,'KASE за 22.08.25'!$C$5:$G$162,5,0)</f>
        <v>89.495900000000006</v>
      </c>
      <c r="K8" s="64">
        <v>60647400</v>
      </c>
      <c r="L8" s="29">
        <f>D8*I8/100+K8</f>
        <v>1234408909.5</v>
      </c>
      <c r="M8" s="33">
        <f t="shared" si="0"/>
        <v>4.7628950113690977E-2</v>
      </c>
      <c r="N8" s="13">
        <f>D8*E8%/360</f>
        <v>421162.5</v>
      </c>
      <c r="O8" s="12">
        <f t="shared" si="2"/>
        <v>61068562.5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22.08.25'!$C$5:$F$162,4,0)</f>
        <v>83.120900000000006</v>
      </c>
      <c r="J9" s="32">
        <f>VLOOKUP(B9,'KASE за 22.08.25'!$C$5:$G$162,5,0)</f>
        <v>83.824200000000005</v>
      </c>
      <c r="K9" s="64">
        <v>6415572.2222222257</v>
      </c>
      <c r="L9" s="29">
        <f>D9*I9/100+K9</f>
        <v>706293550.22222221</v>
      </c>
      <c r="M9" s="33">
        <f t="shared" si="0"/>
        <v>2.7251926011115618E-2</v>
      </c>
      <c r="N9" s="13">
        <f>D9*E9%/360</f>
        <v>246752.77777777781</v>
      </c>
      <c r="O9" s="12">
        <f>K9+N9</f>
        <v>6662325.0000000037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22.08.25'!$C$5:$F$162,4,0)</f>
        <v>77.587000000000003</v>
      </c>
      <c r="J10" s="32">
        <f>VLOOKUP(B10,'KASE за 22.08.25'!$C$5:$G$162,5,0)</f>
        <v>82.021699999999996</v>
      </c>
      <c r="K10" s="64">
        <v>65133194.444444552</v>
      </c>
      <c r="L10" s="29">
        <f t="shared" ref="L10:L15" si="3">D10*I10/100+K10</f>
        <v>1190144694.4444447</v>
      </c>
      <c r="M10" s="33">
        <f t="shared" si="0"/>
        <v>4.5921041110055634E-2</v>
      </c>
      <c r="N10" s="13">
        <f>D10*E10%/360</f>
        <v>414861.11111111112</v>
      </c>
      <c r="O10" s="12">
        <f t="shared" si="2"/>
        <v>65548055.555555664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22.08.25'!$C$5:$F$162,4,0)</f>
        <v>67.969300000000004</v>
      </c>
      <c r="J11" s="32">
        <f>VLOOKUP(B11,'KASE за 22.08.25'!$C$5:$G$162,5,0)</f>
        <v>70.9268</v>
      </c>
      <c r="K11" s="64">
        <v>58586666.666666761</v>
      </c>
      <c r="L11" s="29">
        <f t="shared" si="3"/>
        <v>1383988016.666667</v>
      </c>
      <c r="M11" s="33">
        <f t="shared" si="0"/>
        <v>5.3400373001571237E-2</v>
      </c>
      <c r="N11" s="13">
        <f t="shared" si="1"/>
        <v>457708.33333333326</v>
      </c>
      <c r="O11" s="12">
        <f t="shared" si="2"/>
        <v>59044375.000000097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22.08.25'!$C$5:$F$162,4,0)</f>
        <v>75.971400000000003</v>
      </c>
      <c r="J12" s="32">
        <f>VLOOKUP(B12,'KASE за 22.08.25'!$C$5:$G$162,5,0)</f>
        <v>76.740600000000001</v>
      </c>
      <c r="K12" s="64">
        <v>8134233.3333333302</v>
      </c>
      <c r="L12" s="29">
        <f>D12*I12/100+K12</f>
        <v>754173381.33333337</v>
      </c>
      <c r="M12" s="33">
        <f t="shared" si="0"/>
        <v>2.9099341458211483E-2</v>
      </c>
      <c r="N12" s="13">
        <f>D12*E12%/360</f>
        <v>290508.33333333331</v>
      </c>
      <c r="O12" s="12">
        <f t="shared" si="2"/>
        <v>8424741.6666666642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22.08.25'!$C$5:$F$162,4,0)</f>
        <v>75.971400000000003</v>
      </c>
      <c r="J13" s="32">
        <f>VLOOKUP(B13,'KASE за 22.08.25'!$C$5:$G$162,5,0)</f>
        <v>76.740600000000001</v>
      </c>
      <c r="K13" s="64">
        <v>2070833.3333333326</v>
      </c>
      <c r="L13" s="29">
        <f>D13*I13/100+K13</f>
        <v>191999333.33333334</v>
      </c>
      <c r="M13" s="33">
        <f t="shared" si="0"/>
        <v>7.4081826522941659E-3</v>
      </c>
      <c r="N13" s="13">
        <f>D13*E13%/360</f>
        <v>73958.333333333328</v>
      </c>
      <c r="O13" s="12">
        <f>K13+N13</f>
        <v>2144791.666666666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22.08.25'!$C$5:$F$173,4,0)</f>
        <v>61.446100000000001</v>
      </c>
      <c r="J14" s="32">
        <f>VLOOKUP(B14,'KASE за 22.08.25'!$C$5:$G$173,5,0)</f>
        <v>63.687800000000003</v>
      </c>
      <c r="K14" s="64">
        <v>44586750.000000007</v>
      </c>
      <c r="L14" s="29">
        <f t="shared" si="3"/>
        <v>1242785700</v>
      </c>
      <c r="M14" s="33">
        <f t="shared" si="0"/>
        <v>4.7952163705043738E-2</v>
      </c>
      <c r="N14" s="13">
        <f t="shared" si="1"/>
        <v>437125.00000000006</v>
      </c>
      <c r="O14" s="12">
        <f t="shared" si="2"/>
        <v>45023875.000000007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22.08.25'!$C$5:$F$173,4,0)</f>
        <v>59.9741</v>
      </c>
      <c r="J15" s="32">
        <f>VLOOKUP(B15,'KASE за 22.08.25'!$C$5:$G$173,5,0)</f>
        <v>64.524699999999996</v>
      </c>
      <c r="K15" s="64">
        <v>89610625</v>
      </c>
      <c r="L15" s="29">
        <f t="shared" si="3"/>
        <v>1259105575</v>
      </c>
      <c r="M15" s="33">
        <f t="shared" si="0"/>
        <v>4.85818565938868E-2</v>
      </c>
      <c r="N15" s="13">
        <f t="shared" si="1"/>
        <v>437125.00000000006</v>
      </c>
      <c r="O15" s="12">
        <f t="shared" si="2"/>
        <v>90047750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22.08.25'!$C$5:$F$174,4,0)</f>
        <v>56.6126</v>
      </c>
      <c r="J16" s="32">
        <f>VLOOKUP(B16,'KASE за 22.08.25'!$C$5:$G$174,5,0)</f>
        <v>58.415399999999998</v>
      </c>
      <c r="K16" s="64">
        <v>5719981.6666666754</v>
      </c>
      <c r="L16" s="29">
        <f t="shared" ref="L16:L30" si="4">D16*I16/100+K16</f>
        <v>182350727.5406667</v>
      </c>
      <c r="M16" s="33">
        <f t="shared" si="0"/>
        <v>7.0358968072805122E-3</v>
      </c>
      <c r="N16" s="13">
        <f>D16*E16%/360</f>
        <v>47666.513888888891</v>
      </c>
      <c r="O16" s="12">
        <f t="shared" si="2"/>
        <v>5767648.1805555644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22.08.25'!$C$5:$F$174,4,0)</f>
        <v>56.6126</v>
      </c>
      <c r="J17" s="32">
        <f>VLOOKUP(B17,'KASE за 22.08.25'!$C$5:$G$174,5,0)</f>
        <v>58.415399999999998</v>
      </c>
      <c r="K17" s="64">
        <v>9166666.6666666679</v>
      </c>
      <c r="L17" s="29">
        <f t="shared" si="4"/>
        <v>292229666.66666669</v>
      </c>
      <c r="M17" s="33">
        <f t="shared" si="0"/>
        <v>1.1275511792154001E-2</v>
      </c>
      <c r="N17" s="13">
        <f t="shared" ref="N17:N27" si="5">D17*E17%/360</f>
        <v>76388.888888888891</v>
      </c>
      <c r="O17" s="12">
        <f t="shared" si="2"/>
        <v>9243055.555555556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22.08.25'!$C$5:$F$174,4,0)</f>
        <v>56.6126</v>
      </c>
      <c r="J18" s="32">
        <f>VLOOKUP(B18,'KASE за 22.08.25'!$C$5:$G$174,5,0)</f>
        <v>58.415399999999998</v>
      </c>
      <c r="K18" s="64">
        <v>9166666.6666666679</v>
      </c>
      <c r="L18" s="29">
        <f>D18*I18/100+K18</f>
        <v>292229666.66666669</v>
      </c>
      <c r="M18" s="33">
        <f t="shared" si="0"/>
        <v>1.1275511792154001E-2</v>
      </c>
      <c r="N18" s="13">
        <f>D18*E18%/360</f>
        <v>76388.888888888891</v>
      </c>
      <c r="O18" s="12">
        <f t="shared" si="2"/>
        <v>9243055.555555556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22.08.25'!$C$5:$F$174,4,0)</f>
        <v>56.6126</v>
      </c>
      <c r="J19" s="32">
        <f>VLOOKUP(B19,'KASE за 22.08.25'!$C$5:$G$174,5,0)</f>
        <v>58.415399999999998</v>
      </c>
      <c r="K19" s="64">
        <v>5499999.9999999972</v>
      </c>
      <c r="L19" s="29">
        <f>D19*I19/100+K19</f>
        <v>175337800</v>
      </c>
      <c r="M19" s="33">
        <f t="shared" si="0"/>
        <v>6.7653070752923998E-3</v>
      </c>
      <c r="N19" s="13">
        <f>D19*E19%/360</f>
        <v>45833.333333333336</v>
      </c>
      <c r="O19" s="12">
        <f t="shared" si="2"/>
        <v>5545833.3333333302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22.08.25'!$C$5:$F$174,4,0)</f>
        <v>56.6126</v>
      </c>
      <c r="J20" s="32">
        <f>VLOOKUP(B20,'KASE за 22.08.25'!$C$5:$G$174,5,0)</f>
        <v>58.415399999999998</v>
      </c>
      <c r="K20" s="64">
        <v>5499999.9999999972</v>
      </c>
      <c r="L20" s="29">
        <f>D20*I20/100+K20</f>
        <v>175337800</v>
      </c>
      <c r="M20" s="33">
        <f t="shared" si="0"/>
        <v>6.7653070752923998E-3</v>
      </c>
      <c r="N20" s="13">
        <f>D20*E20%/360</f>
        <v>45833.333333333336</v>
      </c>
      <c r="O20" s="12">
        <f t="shared" si="2"/>
        <v>5545833.3333333302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22.08.25'!$C$5:$F$162,4,0)</f>
        <v>83.120900000000006</v>
      </c>
      <c r="J21" s="32">
        <f>VLOOKUP(B21,'KASE за 22.08.25'!$C$5:$G$162,5,0)</f>
        <v>83.824200000000005</v>
      </c>
      <c r="K21" s="64">
        <v>3809722.2222222243</v>
      </c>
      <c r="L21" s="29">
        <f t="shared" si="4"/>
        <v>419414222.22222221</v>
      </c>
      <c r="M21" s="33">
        <f t="shared" si="0"/>
        <v>1.6182853925840627E-2</v>
      </c>
      <c r="N21" s="13">
        <f>D21*E21%/360</f>
        <v>146527.77777777781</v>
      </c>
      <c r="O21" s="12">
        <f t="shared" si="2"/>
        <v>3956250.0000000023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22.08.25'!$C$5:$F$162,4,0)</f>
        <v>83.120900000000006</v>
      </c>
      <c r="J22" s="32">
        <f>VLOOKUP(B22,'KASE за 22.08.25'!$C$5:$G$162,5,0)</f>
        <v>83.824200000000005</v>
      </c>
      <c r="K22" s="64">
        <v>4216829.1388888871</v>
      </c>
      <c r="L22" s="29">
        <f t="shared" si="4"/>
        <v>464232826.0088889</v>
      </c>
      <c r="M22" s="33">
        <f t="shared" si="0"/>
        <v>1.7912153696355959E-2</v>
      </c>
      <c r="N22" s="13">
        <f t="shared" si="5"/>
        <v>162185.73611111112</v>
      </c>
      <c r="O22" s="12">
        <f t="shared" si="2"/>
        <v>4379014.8749999981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22.08.25'!$C$5:$F$174,4,0)</f>
        <v>76.322100000000006</v>
      </c>
      <c r="J23" s="32">
        <f>VLOOKUP(B23,'KASE за 22.08.25'!$C$5:$G$174,5,0)</f>
        <v>78.044300000000007</v>
      </c>
      <c r="K23" s="64">
        <v>11130962.49999998</v>
      </c>
      <c r="L23" s="29">
        <f t="shared" si="4"/>
        <v>496581495.65500009</v>
      </c>
      <c r="M23" s="33">
        <f t="shared" si="0"/>
        <v>1.9160308307815281E-2</v>
      </c>
      <c r="N23" s="13">
        <f t="shared" si="5"/>
        <v>88340.972222222219</v>
      </c>
      <c r="O23" s="12">
        <f t="shared" si="2"/>
        <v>11219303.472222202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22.08.25'!$C$5:$F$173,4,0)</f>
        <v>55.552199999999999</v>
      </c>
      <c r="J24" s="32">
        <f>VLOOKUP(B24,'KASE за 22.08.25'!$C$5:$G$173,5,0)</f>
        <v>56.178400000000003</v>
      </c>
      <c r="K24" s="64">
        <v>4702324.3027777765</v>
      </c>
      <c r="L24" s="29">
        <f>D24*I24/100+K24</f>
        <v>393059977.19477773</v>
      </c>
      <c r="M24" s="33">
        <f t="shared" si="0"/>
        <v>1.5165990703260216E-2</v>
      </c>
      <c r="N24" s="13">
        <f t="shared" si="5"/>
        <v>162149.11388888888</v>
      </c>
      <c r="O24" s="12">
        <f t="shared" si="2"/>
        <v>4864473.4166666651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22.08.25'!$C$5:$F$173,4,0)</f>
        <v>55.552199999999999</v>
      </c>
      <c r="J25" s="32">
        <f>VLOOKUP(B25,'KASE за 22.08.25'!$C$5:$G$173,5,0)</f>
        <v>56.178400000000003</v>
      </c>
      <c r="K25" s="64">
        <v>1910785.4708333318</v>
      </c>
      <c r="L25" s="29">
        <f>D25*I25/100+K25</f>
        <v>159719586.57683334</v>
      </c>
      <c r="M25" s="33">
        <f t="shared" si="0"/>
        <v>6.162687390460172E-3</v>
      </c>
      <c r="N25" s="13">
        <f>D25*E25%/360</f>
        <v>65889.15416666666</v>
      </c>
      <c r="O25" s="12">
        <f t="shared" si="2"/>
        <v>1976674.6249999984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22.08.25'!$C$5:$F$162,4,0)</f>
        <v>72.849599999999995</v>
      </c>
      <c r="J26" s="32">
        <f>VLOOKUP(B26,'KASE за 22.08.25'!$C$5:$G$162,5,0)</f>
        <v>77.073599999999999</v>
      </c>
      <c r="K26" s="64">
        <v>21333333.333332971</v>
      </c>
      <c r="L26" s="29">
        <f t="shared" si="4"/>
        <v>385581333.33333296</v>
      </c>
      <c r="M26" s="33">
        <f t="shared" si="0"/>
        <v>1.487743157779255E-2</v>
      </c>
      <c r="N26" s="13">
        <f t="shared" si="5"/>
        <v>106666.66666666667</v>
      </c>
      <c r="O26" s="12">
        <f t="shared" si="2"/>
        <v>21439999.999999639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22.08.25'!$C$5:$F$162,4,0)</f>
        <v>72.849599999999995</v>
      </c>
      <c r="J27" s="32">
        <f>VLOOKUP(B27,'KASE за 22.08.25'!$C$5:$G$162,5,0)</f>
        <v>77.073599999999999</v>
      </c>
      <c r="K27" s="64">
        <v>21333333.333332971</v>
      </c>
      <c r="L27" s="29">
        <f t="shared" si="4"/>
        <v>385581333.33333296</v>
      </c>
      <c r="M27" s="33">
        <f t="shared" si="0"/>
        <v>1.487743157779255E-2</v>
      </c>
      <c r="N27" s="13">
        <f t="shared" si="5"/>
        <v>106666.66666666667</v>
      </c>
      <c r="O27" s="12">
        <f t="shared" si="2"/>
        <v>21439999.999999639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22.08.25'!$C$5:$F$162,4,0)</f>
        <v>72.849599999999995</v>
      </c>
      <c r="J28" s="32">
        <f>VLOOKUP(B28,'KASE за 22.08.25'!$C$5:$G$162,5,0)</f>
        <v>77.073599999999999</v>
      </c>
      <c r="K28" s="64">
        <v>21333333.333332971</v>
      </c>
      <c r="L28" s="29">
        <f>D28*I28/100+K28</f>
        <v>385581333.33333296</v>
      </c>
      <c r="M28" s="33">
        <f t="shared" si="0"/>
        <v>1.487743157779255E-2</v>
      </c>
      <c r="N28" s="13">
        <f>D28*E28%/360</f>
        <v>106666.66666666667</v>
      </c>
      <c r="O28" s="12">
        <f t="shared" si="2"/>
        <v>21439999.999999639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22.08.25'!$C$4:$G$963,4,0)</f>
        <v>93.798683585553704</v>
      </c>
      <c r="J29" s="32">
        <f>VLOOKUP(B29,'Риск цены за 22.08.25'!$C$4:$G$963,5,0)</f>
        <v>107.66178358555371</v>
      </c>
      <c r="K29" s="64">
        <v>237022500.00000539</v>
      </c>
      <c r="L29" s="29">
        <f>D29*I29/100+K29</f>
        <v>1831600120.9544184</v>
      </c>
      <c r="M29" s="33">
        <f t="shared" si="0"/>
        <v>7.0671225813254995E-2</v>
      </c>
      <c r="N29" s="13">
        <f t="shared" ref="N29:N35" si="7">D29*E29%/360</f>
        <v>675277.77777777787</v>
      </c>
      <c r="O29" s="12">
        <f t="shared" si="2"/>
        <v>237697777.77778319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22.08.25'!$C$5:$F$162,4,0)</f>
        <v>83.468100000000007</v>
      </c>
      <c r="J30" s="32">
        <f>VLOOKUP(B30,'KASE за 22.08.25'!$C$5:$G$162,5,0)</f>
        <v>89.468100000000007</v>
      </c>
      <c r="K30" s="64">
        <v>30333333.33333309</v>
      </c>
      <c r="L30" s="29">
        <f t="shared" si="4"/>
        <v>447673833.33333308</v>
      </c>
      <c r="M30" s="33">
        <f t="shared" si="0"/>
        <v>1.7273234591019558E-2</v>
      </c>
      <c r="N30" s="13">
        <f t="shared" si="7"/>
        <v>166666.66666666666</v>
      </c>
      <c r="O30" s="12">
        <f t="shared" si="2"/>
        <v>30499999.999999758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22.08.25'!$C$5:$F$162,4,0)</f>
        <v>85.503900000000002</v>
      </c>
      <c r="J31" s="32">
        <f>VLOOKUP(B31,'KASE за 22.08.25'!$C$5:$G$162,5,0)</f>
        <v>91.003900000000002</v>
      </c>
      <c r="K31" s="64">
        <v>16700000</v>
      </c>
      <c r="L31" s="29">
        <f t="shared" ref="L31:L46" si="9">D31*I31/100+K31</f>
        <v>273211700</v>
      </c>
      <c r="M31" s="33">
        <f t="shared" si="0"/>
        <v>1.0541714604966326E-2</v>
      </c>
      <c r="N31" s="13">
        <f t="shared" si="7"/>
        <v>100000</v>
      </c>
      <c r="O31" s="12">
        <f t="shared" si="2"/>
        <v>16800000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22.08.25'!$C$5:$F$162,4,0)</f>
        <v>85.503900000000002</v>
      </c>
      <c r="J32" s="32">
        <f>VLOOKUP(B32,'KASE за 22.08.25'!$C$5:$G$162,5,0)</f>
        <v>91.003900000000002</v>
      </c>
      <c r="K32" s="64">
        <v>16064231</v>
      </c>
      <c r="L32" s="29">
        <f t="shared" si="9"/>
        <v>262810530.58100003</v>
      </c>
      <c r="M32" s="33">
        <f t="shared" si="0"/>
        <v>1.0140391529955259E-2</v>
      </c>
      <c r="N32" s="13">
        <f t="shared" si="7"/>
        <v>96193</v>
      </c>
      <c r="O32" s="12">
        <f t="shared" si="2"/>
        <v>16160424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22.08.25'!$C$4:$G$963,4,0)</f>
        <v>98.276195099272542</v>
      </c>
      <c r="J33" s="32">
        <f>VLOOKUP(B33,'Риск цены за 22.08.25'!$C$4:$G$963,5,0)</f>
        <v>101.51719509927254</v>
      </c>
      <c r="K33" s="64">
        <v>9954500</v>
      </c>
      <c r="L33" s="29">
        <f t="shared" si="9"/>
        <v>304783085.29781759</v>
      </c>
      <c r="M33" s="33">
        <f t="shared" si="0"/>
        <v>1.1759878151743505E-2</v>
      </c>
      <c r="N33" s="13">
        <f t="shared" si="7"/>
        <v>115750</v>
      </c>
      <c r="O33" s="12">
        <f t="shared" si="2"/>
        <v>10070250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22.08.25'!$C$5:$F$162,4,0)</f>
        <v>70.740700000000004</v>
      </c>
      <c r="J34" s="32">
        <f>VLOOKUP(B34,'KASE за 22.08.25'!$C$5:$G$162,5,0)</f>
        <v>73.132000000000005</v>
      </c>
      <c r="K34" s="64">
        <v>170675.55555555577</v>
      </c>
      <c r="L34" s="29">
        <f t="shared" si="9"/>
        <v>5122524.555555556</v>
      </c>
      <c r="M34" s="33">
        <f t="shared" si="0"/>
        <v>1.9764963184811866E-4</v>
      </c>
      <c r="N34" s="13">
        <f t="shared" si="7"/>
        <v>1641.1111111111109</v>
      </c>
      <c r="O34" s="12">
        <f t="shared" si="2"/>
        <v>172316.66666666689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22.08.25'!$C$5:$F$162,4,0)</f>
        <v>89.162700000000001</v>
      </c>
      <c r="J35" s="32">
        <f>VLOOKUP(B35,'KASE за 22.08.25'!$C$5:$G$162,5,0)</f>
        <v>92.779399999999995</v>
      </c>
      <c r="K35" s="64">
        <v>369444.44444444368</v>
      </c>
      <c r="L35" s="29">
        <f t="shared" si="9"/>
        <v>9285714.444444444</v>
      </c>
      <c r="M35" s="33">
        <f t="shared" si="0"/>
        <v>3.5828389331989357E-4</v>
      </c>
      <c r="N35" s="13">
        <f t="shared" si="7"/>
        <v>3888.8888888888896</v>
      </c>
      <c r="O35" s="12">
        <f t="shared" si="2"/>
        <v>373333.33333333256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22.08.25'!$C$5:$F$174,4,0)</f>
        <v>59.800400000000003</v>
      </c>
      <c r="J36" s="32">
        <f>VLOOKUP(B36,'KASE за 22.08.25'!$C$5:$G$174,5,0)</f>
        <v>64.416200000000003</v>
      </c>
      <c r="K36" s="64">
        <v>13992500</v>
      </c>
      <c r="L36" s="29">
        <f t="shared" si="9"/>
        <v>193393700</v>
      </c>
      <c r="M36" s="33">
        <f t="shared" si="0"/>
        <v>7.4619834794720577E-3</v>
      </c>
      <c r="N36" s="13">
        <f t="shared" ref="N36:N60" si="10">D36*E36%/360</f>
        <v>72500</v>
      </c>
      <c r="O36" s="12">
        <f t="shared" si="2"/>
        <v>14065000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22.08.25'!$C$5:$F$174,4,0)</f>
        <v>59.800400000000003</v>
      </c>
      <c r="J37" s="32">
        <f>VLOOKUP(B37,'KASE за 22.08.25'!$C$5:$G$174,5,0)</f>
        <v>64.416200000000003</v>
      </c>
      <c r="K37" s="64">
        <v>9328333.3333329763</v>
      </c>
      <c r="L37" s="29">
        <f t="shared" si="9"/>
        <v>128929133.33333297</v>
      </c>
      <c r="M37" s="33">
        <f t="shared" si="0"/>
        <v>4.9746556529813579E-3</v>
      </c>
      <c r="N37" s="13">
        <f t="shared" si="10"/>
        <v>48333.333333333336</v>
      </c>
      <c r="O37" s="12">
        <f t="shared" si="2"/>
        <v>9376666.6666663103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22.08.25'!$C$5:$F$162,4,0)</f>
        <v>82.659700000000001</v>
      </c>
      <c r="J38" s="32">
        <f>VLOOKUP(B38,'KASE за 22.08.25'!$C$5:$G$162,5,0)</f>
        <v>88.709699999999998</v>
      </c>
      <c r="K38" s="64">
        <v>16072222.222222419</v>
      </c>
      <c r="L38" s="29">
        <f t="shared" si="9"/>
        <v>233467233.22222242</v>
      </c>
      <c r="M38" s="33">
        <f t="shared" si="0"/>
        <v>9.0081974609424898E-3</v>
      </c>
      <c r="N38" s="13">
        <f t="shared" si="10"/>
        <v>80361.111111111109</v>
      </c>
      <c r="O38" s="12">
        <f t="shared" si="2"/>
        <v>16152583.333333531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22.08.25'!$C$5:$F$162,4,0)</f>
        <v>96.150899999999993</v>
      </c>
      <c r="J39" s="32">
        <f>VLOOKUP(B39,'KASE за 22.08.25'!$C$5:$G$162,5,0)</f>
        <v>103.3334</v>
      </c>
      <c r="K39" s="64">
        <v>24782175</v>
      </c>
      <c r="L39" s="29">
        <f t="shared" si="9"/>
        <v>352656743.99999994</v>
      </c>
      <c r="M39" s="33">
        <f t="shared" si="0"/>
        <v>1.3607055440029362E-2</v>
      </c>
      <c r="N39" s="13">
        <f t="shared" si="10"/>
        <v>144925</v>
      </c>
      <c r="O39" s="12">
        <f t="shared" si="2"/>
        <v>24927100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22.08.25'!$C$5:$F$162,4,0)</f>
        <v>85.350999999999999</v>
      </c>
      <c r="J40" s="32">
        <f>VLOOKUP(B40,'KASE за 22.08.25'!$C$5:$G$162,5,0)</f>
        <v>93.930599999999998</v>
      </c>
      <c r="K40" s="64">
        <v>7145751.4425000278</v>
      </c>
      <c r="L40" s="29">
        <f t="shared" si="9"/>
        <v>77754073.212500021</v>
      </c>
      <c r="M40" s="33">
        <f t="shared" si="0"/>
        <v>3.0000957103221873E-3</v>
      </c>
      <c r="N40" s="13">
        <f t="shared" si="10"/>
        <v>24059.769166666669</v>
      </c>
      <c r="O40" s="12">
        <f t="shared" si="2"/>
        <v>7169811.2116666948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22.08.25'!$C$5:$F$162,4,0)</f>
        <v>75.113799999999998</v>
      </c>
      <c r="J41" s="32">
        <f>VLOOKUP(B41,'KASE за 22.08.25'!$C$5:$G$162,5,0)</f>
        <v>75.305800000000005</v>
      </c>
      <c r="K41" s="110">
        <v>533866.66666666663</v>
      </c>
      <c r="L41" s="29">
        <f t="shared" si="9"/>
        <v>171417761.66666666</v>
      </c>
      <c r="M41" s="33">
        <f t="shared" si="0"/>
        <v>6.6140546752285374E-3</v>
      </c>
      <c r="N41" s="13">
        <f t="shared" si="10"/>
        <v>48533.333333333336</v>
      </c>
      <c r="O41" s="12">
        <f t="shared" si="2"/>
        <v>582400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22.08.25'!$C$5:$F$162,4,0)</f>
        <v>77.1434</v>
      </c>
      <c r="J42" s="32">
        <f>VLOOKUP(B42,'KASE за 22.08.25'!$C$5:$G$162,5,0)</f>
        <v>82.197400000000002</v>
      </c>
      <c r="K42" s="64">
        <v>25470555.555544317</v>
      </c>
      <c r="L42" s="29">
        <f t="shared" si="9"/>
        <v>411187555.55554432</v>
      </c>
      <c r="M42" s="33">
        <f t="shared" si="0"/>
        <v>1.586543277531776E-2</v>
      </c>
      <c r="N42" s="13">
        <f t="shared" si="10"/>
        <v>100277.77777777778</v>
      </c>
      <c r="O42" s="12">
        <f t="shared" ref="O42:O60" si="11">K42+N42</f>
        <v>25570833.333322093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22.08.25'!$C$5:$F$162,4,0)</f>
        <v>96.150899999999993</v>
      </c>
      <c r="J43" s="32">
        <f>VLOOKUP(B43,'KASE за 22.08.25'!$C$5:$G$162,5,0)</f>
        <v>103.3334</v>
      </c>
      <c r="K43" s="64">
        <v>18822825</v>
      </c>
      <c r="L43" s="29">
        <f t="shared" si="9"/>
        <v>267853656</v>
      </c>
      <c r="M43" s="33">
        <f t="shared" si="0"/>
        <v>1.0334977592280368E-2</v>
      </c>
      <c r="N43" s="13">
        <f t="shared" si="10"/>
        <v>110075</v>
      </c>
      <c r="O43" s="12">
        <f t="shared" si="11"/>
        <v>18932900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22.08.25'!$C$4:$G$963,4,0)</f>
        <v>99.871310780506477</v>
      </c>
      <c r="J44" s="32">
        <f>VLOOKUP(B44,'Риск цены за 22.08.25'!$C$4:$G$963,5,0)</f>
        <v>105.99461078050648</v>
      </c>
      <c r="K44" s="64">
        <v>12432222.222222244</v>
      </c>
      <c r="L44" s="29">
        <f t="shared" si="9"/>
        <v>212174843.78323519</v>
      </c>
      <c r="M44" s="33">
        <f t="shared" si="0"/>
        <v>8.1866429933863706E-3</v>
      </c>
      <c r="N44" s="13">
        <f t="shared" si="10"/>
        <v>92777.777777777766</v>
      </c>
      <c r="O44" s="12">
        <f t="shared" si="11"/>
        <v>12525000.000000022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22.08.25'!$C$5:$F$162,4,0)</f>
        <v>80.616600000000005</v>
      </c>
      <c r="J45" s="84">
        <f>VLOOKUP(B45,'KASE за 22.08.25'!$C$5:$G$162,5,0)</f>
        <v>85.077399999999997</v>
      </c>
      <c r="K45" s="106">
        <v>22451388.88888903</v>
      </c>
      <c r="L45" s="29">
        <f t="shared" si="9"/>
        <v>425534388.88888901</v>
      </c>
      <c r="M45" s="85">
        <f t="shared" si="0"/>
        <v>1.6418996998537841E-2</v>
      </c>
      <c r="N45" s="13">
        <f t="shared" si="10"/>
        <v>73611.111111111109</v>
      </c>
      <c r="O45" s="12">
        <f t="shared" si="11"/>
        <v>22525000.000000142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22.08.25'!$C$5:$F$162,4,0)</f>
        <v>82.659700000000001</v>
      </c>
      <c r="J46" s="84">
        <f>VLOOKUP(B46,'KASE за 22.08.25'!$C$5:$G$162,5,0)</f>
        <v>88.709699999999998</v>
      </c>
      <c r="K46" s="106">
        <v>45038888.88888903</v>
      </c>
      <c r="L46" s="74">
        <f t="shared" si="9"/>
        <v>654240877.88888907</v>
      </c>
      <c r="M46" s="85">
        <f t="shared" si="0"/>
        <v>2.5243503911462403E-2</v>
      </c>
      <c r="N46" s="13">
        <f t="shared" si="10"/>
        <v>225194.44444444444</v>
      </c>
      <c r="O46" s="12">
        <f t="shared" si="11"/>
        <v>45264083.333333477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22.08.25'!$C$5:$F$162,4,0)</f>
        <v>77.587000000000003</v>
      </c>
      <c r="J47" s="84">
        <f>VLOOKUP(B47,'KASE за 22.08.25'!$C$5:$G$162,5,0)</f>
        <v>82.021699999999996</v>
      </c>
      <c r="K47" s="64">
        <v>269516.66666666622</v>
      </c>
      <c r="L47" s="74">
        <f t="shared" ref="L47:L60" si="12">D47*I47/100+K47</f>
        <v>4924736.666666666</v>
      </c>
      <c r="M47" s="85">
        <f t="shared" si="0"/>
        <v>1.9001810114505774E-4</v>
      </c>
      <c r="N47" s="13">
        <f t="shared" si="10"/>
        <v>1716.6666666666667</v>
      </c>
      <c r="O47" s="12">
        <f t="shared" si="11"/>
        <v>271233.33333333291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22.08.25'!$C$5:$F$162,4,0)</f>
        <v>77.587000000000003</v>
      </c>
      <c r="J48" s="84">
        <f>VLOOKUP(B48,'KASE за 22.08.25'!$C$5:$G$162,5,0)</f>
        <v>82.021699999999996</v>
      </c>
      <c r="K48" s="106">
        <v>269516.66666666622</v>
      </c>
      <c r="L48" s="74">
        <f t="shared" si="12"/>
        <v>4924736.666666666</v>
      </c>
      <c r="M48" s="85">
        <f t="shared" si="0"/>
        <v>1.9001810114505774E-4</v>
      </c>
      <c r="N48" s="13">
        <f t="shared" si="10"/>
        <v>1716.6666666666667</v>
      </c>
      <c r="O48" s="12">
        <f t="shared" si="11"/>
        <v>271233.33333333291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25736111.111111168</v>
      </c>
      <c r="L49" s="74">
        <f t="shared" si="12"/>
        <v>525736111.11111116</v>
      </c>
      <c r="M49" s="85">
        <f t="shared" si="0"/>
        <v>2.0285222195309347E-2</v>
      </c>
      <c r="N49" s="13">
        <f t="shared" si="10"/>
        <v>236111.11111111112</v>
      </c>
      <c r="O49" s="12">
        <f t="shared" si="11"/>
        <v>25972222.22222228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22.08.25'!$C$5:$F$165,4,0)</f>
        <v>70.740700000000004</v>
      </c>
      <c r="J50" s="84">
        <f>VLOOKUP(B50,'KASE за 22.08.25'!$C$5:$G$165,5,0)</f>
        <v>73.132000000000005</v>
      </c>
      <c r="K50" s="108">
        <v>12191111.111111097</v>
      </c>
      <c r="L50" s="74">
        <f t="shared" si="12"/>
        <v>365894611.1111111</v>
      </c>
      <c r="M50" s="85">
        <f t="shared" ref="M50:M60" si="13">L50/$L$61</f>
        <v>1.4117830846294187E-2</v>
      </c>
      <c r="N50" s="13">
        <f t="shared" si="10"/>
        <v>117222.2222222222</v>
      </c>
      <c r="O50" s="12">
        <f t="shared" si="11"/>
        <v>12308333.333333319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22.08.25'!$C$5:$F$165,4,0)</f>
        <v>75.113799999999998</v>
      </c>
      <c r="J51" s="84">
        <f>VLOOKUP(B51,'KASE за 22.08.25'!$C$5:$G$165,5,0)</f>
        <v>75.305800000000005</v>
      </c>
      <c r="K51" s="111">
        <v>1173333.3333333333</v>
      </c>
      <c r="L51" s="74">
        <f t="shared" si="12"/>
        <v>376742333.33333331</v>
      </c>
      <c r="M51" s="85">
        <f t="shared" si="13"/>
        <v>1.4536383901601181E-2</v>
      </c>
      <c r="N51" s="13">
        <f t="shared" si="10"/>
        <v>106666.66666666667</v>
      </c>
      <c r="O51" s="12">
        <f t="shared" si="11"/>
        <v>1280000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22.08.25'!$C$5:$F$165,4,0)</f>
        <v>76.322100000000006</v>
      </c>
      <c r="J52" s="84">
        <f>VLOOKUP(B52,'KASE за 22.08.25'!$C$5:$G$165,5,0)</f>
        <v>78.044300000000007</v>
      </c>
      <c r="K52" s="108">
        <v>8749999.9999999739</v>
      </c>
      <c r="L52" s="74">
        <f t="shared" si="12"/>
        <v>390360500</v>
      </c>
      <c r="M52" s="85">
        <f t="shared" si="13"/>
        <v>1.5061832945118958E-2</v>
      </c>
      <c r="N52" s="13">
        <f t="shared" si="10"/>
        <v>69444.444444444438</v>
      </c>
      <c r="O52" s="12">
        <f t="shared" si="11"/>
        <v>8819444.444444418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22.08.25'!$C$5:$F$165,4,0)</f>
        <v>83.120900000000006</v>
      </c>
      <c r="J53" s="84">
        <f>VLOOKUP(B53,'KASE за 22.08.25'!$C$5:$G$165,5,0)</f>
        <v>83.824200000000005</v>
      </c>
      <c r="K53" s="108">
        <v>1523888.8888888885</v>
      </c>
      <c r="L53" s="74">
        <f t="shared" si="12"/>
        <v>167765688.88888893</v>
      </c>
      <c r="M53" s="85">
        <f t="shared" si="13"/>
        <v>6.4731415703362521E-3</v>
      </c>
      <c r="N53" s="13">
        <f t="shared" si="10"/>
        <v>58611.111111111124</v>
      </c>
      <c r="O53" s="12">
        <f t="shared" si="11"/>
        <v>1582499.9999999995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22.08.25'!$C$5:$F$165,4,0)</f>
        <v>85.503900000000002</v>
      </c>
      <c r="J54" s="84">
        <f>VLOOKUP(B54,'KASE за 22.08.25'!$C$5:$G$165,5,0)</f>
        <v>91.003900000000002</v>
      </c>
      <c r="K54" s="108">
        <v>27833333.333333407</v>
      </c>
      <c r="L54" s="74">
        <f>D54*I54/100+K54</f>
        <v>455352833.33333343</v>
      </c>
      <c r="M54" s="85">
        <f t="shared" si="13"/>
        <v>1.7569524341610545E-2</v>
      </c>
      <c r="N54" s="13">
        <f t="shared" si="10"/>
        <v>166666.66666666666</v>
      </c>
      <c r="O54" s="12">
        <f t="shared" si="11"/>
        <v>28000000.000000075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22.08.25'!$C$5:$F$165,4,0)</f>
        <v>85.503900000000002</v>
      </c>
      <c r="J55" s="84">
        <f>VLOOKUP(B55,'KASE за 22.08.25'!$C$5:$G$165,5,0)</f>
        <v>91.003900000000002</v>
      </c>
      <c r="K55" s="108">
        <v>27833333.333333407</v>
      </c>
      <c r="L55" s="74">
        <f t="shared" si="12"/>
        <v>455352833.33333343</v>
      </c>
      <c r="M55" s="85">
        <f t="shared" si="13"/>
        <v>1.7569524341610545E-2</v>
      </c>
      <c r="N55" s="13">
        <f t="shared" si="10"/>
        <v>166666.66666666666</v>
      </c>
      <c r="O55" s="12">
        <f t="shared" si="11"/>
        <v>28000000.000000075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22.08.25'!$C$5:$F$165,4,0)</f>
        <v>85.503900000000002</v>
      </c>
      <c r="J56" s="32">
        <f>VLOOKUP(B56,'KASE за 22.08.25'!$C$5:$G$165,5,0)</f>
        <v>91.003900000000002</v>
      </c>
      <c r="K56" s="107">
        <v>22902435.666666623</v>
      </c>
      <c r="L56" s="74">
        <f t="shared" si="12"/>
        <v>374683436.08566666</v>
      </c>
      <c r="M56" s="85">
        <f t="shared" si="13"/>
        <v>1.4456942548299502E-2</v>
      </c>
      <c r="N56" s="13">
        <f t="shared" si="10"/>
        <v>137140.33333333334</v>
      </c>
      <c r="O56" s="12">
        <f t="shared" si="11"/>
        <v>23039575.999999955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22.08.25'!$C$5:$F$174,4,0)</f>
        <v>90.158000000000001</v>
      </c>
      <c r="J57" s="32">
        <f>VLOOKUP(B57,'KASE за 22.08.25'!$C$5:$G$174,5,0)</f>
        <v>93.248699999999999</v>
      </c>
      <c r="K57" s="107">
        <v>7253250.1513888901</v>
      </c>
      <c r="L57" s="74">
        <f>D57*I57/100+K57</f>
        <v>213479757.77138889</v>
      </c>
      <c r="M57" s="85">
        <f t="shared" si="13"/>
        <v>8.236992340969744E-3</v>
      </c>
      <c r="N57" s="13">
        <f t="shared" si="10"/>
        <v>91813.29305555555</v>
      </c>
      <c r="O57" s="12">
        <f t="shared" si="11"/>
        <v>7345063.4444444459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22.08.25'!$C$5:$F$174,4,0)</f>
        <v>70.740700000000004</v>
      </c>
      <c r="J58" s="84">
        <f>VLOOKUP(B58,'KASE за 22.08.25'!$C$5:$G$174,5,0)</f>
        <v>73.132000000000005</v>
      </c>
      <c r="K58" s="108">
        <v>12191111.111111104</v>
      </c>
      <c r="L58" s="74">
        <f t="shared" si="12"/>
        <v>365894611.1111111</v>
      </c>
      <c r="M58" s="85">
        <f t="shared" si="13"/>
        <v>1.4117830846294187E-2</v>
      </c>
      <c r="N58" s="13">
        <f t="shared" si="10"/>
        <v>117222.2222222222</v>
      </c>
      <c r="O58" s="12">
        <f t="shared" si="11"/>
        <v>12308333.333333327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22.08.25'!$C$5:$F$174,4,0)</f>
        <v>90.158000000000001</v>
      </c>
      <c r="J59" s="84">
        <f>VLOOKUP(B59,'KASE за 22.08.25'!$C$5:$G$174,5,0)</f>
        <v>93.248699999999999</v>
      </c>
      <c r="K59" s="108">
        <v>15854861.111111106</v>
      </c>
      <c r="L59" s="74">
        <f t="shared" si="12"/>
        <v>466644861.1111111</v>
      </c>
      <c r="M59" s="85">
        <f t="shared" si="13"/>
        <v>1.8005220668468744E-2</v>
      </c>
      <c r="N59" s="13">
        <f t="shared" si="10"/>
        <v>200694.44444444444</v>
      </c>
      <c r="O59" s="12">
        <f t="shared" si="11"/>
        <v>16055555.55555555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22.08.25'!$C$5:$F$174,4,0)</f>
        <v>55.552199999999999</v>
      </c>
      <c r="J60" s="84">
        <f>VLOOKUP(B60,'KASE за 22.08.25'!$C$5:$G$174,5,0)</f>
        <v>56.178400000000003</v>
      </c>
      <c r="K60" s="108">
        <v>113279.11527777773</v>
      </c>
      <c r="L60" s="74">
        <f t="shared" si="12"/>
        <v>9468825.1172777768</v>
      </c>
      <c r="M60" s="85">
        <f t="shared" si="13"/>
        <v>3.6534911217447538E-4</v>
      </c>
      <c r="N60" s="13">
        <f t="shared" si="10"/>
        <v>3906.1763888888881</v>
      </c>
      <c r="O60" s="12">
        <f t="shared" si="11"/>
        <v>117185.29166666661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1244180333.788327</v>
      </c>
      <c r="L61" s="112">
        <f>SUM(L6:L60)</f>
        <v>25917197556.390568</v>
      </c>
      <c r="M61" s="109">
        <f>SUM(M6:M60)</f>
        <v>1.0000000000000002</v>
      </c>
    </row>
    <row r="62" spans="1:18" x14ac:dyDescent="0.25">
      <c r="J62" s="4"/>
      <c r="K62" s="101"/>
      <c r="L62" s="42"/>
      <c r="M62" s="8"/>
      <c r="N62" s="39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122"/>
      <c r="O63" s="8"/>
    </row>
    <row r="64" spans="1:18" ht="15.75" thickBot="1" x14ac:dyDescent="0.3">
      <c r="A64" s="36" t="s">
        <v>240</v>
      </c>
      <c r="B64" s="37">
        <v>276948.12</v>
      </c>
      <c r="K64" s="38"/>
      <c r="L64" s="44"/>
      <c r="M64" s="93"/>
      <c r="N64" s="123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146</v>
      </c>
      <c r="C68" s="57">
        <v>1749795</v>
      </c>
      <c r="D68" s="58" t="s">
        <v>240</v>
      </c>
      <c r="E68" s="46">
        <v>45891</v>
      </c>
      <c r="F68" s="46">
        <v>45894</v>
      </c>
      <c r="G68" s="59">
        <v>939.30600000000004</v>
      </c>
      <c r="H68" s="59">
        <v>940.50272731377095</v>
      </c>
      <c r="I68" s="57">
        <v>1643592942.27</v>
      </c>
      <c r="J68" s="57">
        <v>1645686969.74</v>
      </c>
      <c r="K68" s="60">
        <v>15.501000012293799</v>
      </c>
      <c r="L68" s="18">
        <f t="shared" ref="L68:L69" si="15">IF(($B$1-E68)=0,0,(J68-I68)/(F68-E68)*($B$1-E68))</f>
        <v>1396018.3133333523</v>
      </c>
      <c r="M68" s="18">
        <f t="shared" ref="M68:M69" si="16">IF((F68=$B$1),0,(I68+L68))</f>
        <v>1644988960.5833333</v>
      </c>
      <c r="N68" s="16"/>
    </row>
    <row r="69" spans="1:17" s="17" customFormat="1" ht="15" customHeight="1" x14ac:dyDescent="0.25">
      <c r="A69" s="55" t="s">
        <v>400</v>
      </c>
      <c r="B69" s="56" t="s">
        <v>146</v>
      </c>
      <c r="C69" s="57">
        <v>10650</v>
      </c>
      <c r="D69" s="58" t="s">
        <v>240</v>
      </c>
      <c r="E69" s="46">
        <v>45891</v>
      </c>
      <c r="F69" s="46">
        <v>45894</v>
      </c>
      <c r="G69" s="59">
        <v>939.30600000000004</v>
      </c>
      <c r="H69" s="59">
        <v>940.50272769953096</v>
      </c>
      <c r="I69" s="57">
        <v>10003608.9</v>
      </c>
      <c r="J69" s="57">
        <v>10016354.050000001</v>
      </c>
      <c r="K69" s="60">
        <v>15.501005008969001</v>
      </c>
      <c r="L69" s="18">
        <f t="shared" si="15"/>
        <v>8496.7666666669156</v>
      </c>
      <c r="M69" s="18">
        <f t="shared" si="16"/>
        <v>10012105.666666668</v>
      </c>
      <c r="N69" s="16"/>
    </row>
    <row r="70" spans="1:17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7" ht="15.75" thickBot="1" x14ac:dyDescent="0.3">
      <c r="A71" s="81" t="s">
        <v>14</v>
      </c>
      <c r="B71" s="70"/>
      <c r="C71" s="69">
        <f>SUM(C68:C69)</f>
        <v>1760445</v>
      </c>
      <c r="D71" s="80"/>
      <c r="E71" s="79"/>
      <c r="F71" s="80"/>
      <c r="G71" s="78"/>
      <c r="H71" s="80"/>
      <c r="I71" s="69">
        <f>SUM(I68:I69)</f>
        <v>1653596551.1700001</v>
      </c>
      <c r="J71" s="69">
        <f>SUM(J68:J69)</f>
        <v>1655703323.79</v>
      </c>
      <c r="K71" s="77"/>
      <c r="L71" s="69">
        <f>SUM(L68:L69)</f>
        <v>1404515.0800000192</v>
      </c>
      <c r="M71" s="69">
        <f>SUM(M68:M69)</f>
        <v>1655001066.25</v>
      </c>
      <c r="O71" s="8"/>
    </row>
    <row r="72" spans="1:17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7" ht="15.75" thickBot="1" x14ac:dyDescent="0.3">
      <c r="A74" s="5" t="s">
        <v>381</v>
      </c>
      <c r="L74" s="10"/>
      <c r="M74" s="11"/>
    </row>
    <row r="75" spans="1:17" ht="22.5" x14ac:dyDescent="0.25">
      <c r="A75" s="103" t="s">
        <v>16</v>
      </c>
      <c r="B75" s="103" t="s">
        <v>251</v>
      </c>
      <c r="C75" s="103" t="s">
        <v>245</v>
      </c>
      <c r="D75" s="103" t="s">
        <v>252</v>
      </c>
      <c r="E75" s="103" t="s">
        <v>244</v>
      </c>
      <c r="F75" s="103" t="s">
        <v>253</v>
      </c>
      <c r="G75" s="103" t="s">
        <v>254</v>
      </c>
      <c r="L75" s="10"/>
      <c r="M75" s="11"/>
    </row>
    <row r="76" spans="1:17" x14ac:dyDescent="0.25">
      <c r="A76" s="28"/>
      <c r="B76" s="28"/>
      <c r="C76" s="102"/>
      <c r="D76" s="31"/>
      <c r="E76" s="29"/>
      <c r="F76" s="29"/>
      <c r="G76" s="29"/>
      <c r="L76" s="10"/>
      <c r="M76" s="11"/>
    </row>
    <row r="77" spans="1:17" ht="15.75" x14ac:dyDescent="0.25">
      <c r="A77" s="9" t="s">
        <v>14</v>
      </c>
      <c r="B77" s="104"/>
      <c r="C77" s="104"/>
      <c r="D77" s="104"/>
      <c r="E77" s="104"/>
      <c r="F77" s="104"/>
      <c r="G77" s="105">
        <f>SUM(G76:G76)</f>
        <v>0</v>
      </c>
      <c r="L77" s="10"/>
      <c r="M77" s="11"/>
    </row>
    <row r="78" spans="1:17" ht="15.75" thickBot="1" x14ac:dyDescent="0.3">
      <c r="L78" s="10"/>
      <c r="M78" s="11"/>
    </row>
    <row r="79" spans="1:17" ht="15.75" thickBot="1" x14ac:dyDescent="0.3">
      <c r="A79" s="34" t="s">
        <v>255</v>
      </c>
      <c r="B79" s="35">
        <f>L61+B64+M71+G77</f>
        <v>27572475570.760567</v>
      </c>
      <c r="C79" s="8"/>
      <c r="D79" s="3"/>
      <c r="L79" s="10"/>
      <c r="M79" s="10"/>
    </row>
    <row r="80" spans="1:17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5"/>
    </row>
    <row r="83" spans="1:14" x14ac:dyDescent="0.25">
      <c r="A83" s="6" t="s">
        <v>379</v>
      </c>
      <c r="L83" s="13"/>
      <c r="N83"/>
    </row>
    <row r="84" spans="1:14" ht="15.75" x14ac:dyDescent="0.25">
      <c r="A84" s="20" t="s">
        <v>256</v>
      </c>
      <c r="B84" s="21">
        <f>4020961.36-4020961.36</f>
        <v>0</v>
      </c>
      <c r="K84" s="13"/>
      <c r="N84"/>
    </row>
    <row r="85" spans="1:14" ht="15.75" x14ac:dyDescent="0.25">
      <c r="A85" s="20" t="s">
        <v>257</v>
      </c>
      <c r="B85" s="22"/>
      <c r="K85" s="13"/>
      <c r="N85"/>
    </row>
    <row r="86" spans="1:14" ht="15.75" x14ac:dyDescent="0.25">
      <c r="A86" s="20" t="s">
        <v>258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</f>
        <v>60999.999999999942</v>
      </c>
      <c r="C86" s="8"/>
      <c r="F86" s="8"/>
      <c r="K86" s="13"/>
      <c r="N86"/>
    </row>
    <row r="87" spans="1:14" ht="15.75" x14ac:dyDescent="0.25">
      <c r="A87" s="20" t="s">
        <v>259</v>
      </c>
      <c r="B87" s="22"/>
      <c r="K87" s="13"/>
      <c r="N87"/>
    </row>
    <row r="88" spans="1:14" ht="15.75" x14ac:dyDescent="0.25">
      <c r="A88" s="24" t="s">
        <v>382</v>
      </c>
      <c r="B88" s="21">
        <f>365447.82+31954.05</f>
        <v>397401.87</v>
      </c>
      <c r="C88" s="8"/>
      <c r="D88" s="8"/>
      <c r="K88" s="13"/>
      <c r="N88"/>
    </row>
    <row r="89" spans="1:14" ht="15.75" x14ac:dyDescent="0.25">
      <c r="A89" s="20" t="s">
        <v>260</v>
      </c>
      <c r="B89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</f>
        <v>159242.97999999998</v>
      </c>
      <c r="K89" s="13"/>
      <c r="N89"/>
    </row>
    <row r="90" spans="1:14" ht="15.75" x14ac:dyDescent="0.25">
      <c r="A90" s="20" t="s">
        <v>261</v>
      </c>
      <c r="B90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</f>
        <v>103301.25000000001</v>
      </c>
      <c r="K90" s="13"/>
      <c r="N90"/>
    </row>
    <row r="91" spans="1:14" ht="15.75" x14ac:dyDescent="0.25">
      <c r="A91" s="20" t="s">
        <v>262</v>
      </c>
      <c r="B91" s="22"/>
      <c r="K91" s="13"/>
      <c r="N91"/>
    </row>
    <row r="92" spans="1:14" ht="17.25" customHeight="1" x14ac:dyDescent="0.25">
      <c r="A92" s="24" t="s">
        <v>263</v>
      </c>
      <c r="B92" s="22"/>
      <c r="K92" s="13"/>
      <c r="N92"/>
    </row>
    <row r="93" spans="1:14" ht="15.75" x14ac:dyDescent="0.25">
      <c r="A93" s="24" t="s">
        <v>264</v>
      </c>
      <c r="B93" s="22"/>
      <c r="K93" s="13"/>
      <c r="N93"/>
    </row>
    <row r="94" spans="1:14" ht="15.75" x14ac:dyDescent="0.25">
      <c r="A94" s="26" t="s">
        <v>380</v>
      </c>
      <c r="B94" s="25">
        <f>SUM(B84:B93)</f>
        <v>720946.09999999986</v>
      </c>
      <c r="L94" s="13"/>
      <c r="N94"/>
    </row>
    <row r="95" spans="1:14" x14ac:dyDescent="0.25">
      <c r="L95" s="13"/>
      <c r="N95"/>
    </row>
  </sheetData>
  <autoFilter ref="A67:T67" xr:uid="{00000000-0009-0000-0000-000000000000}"/>
  <conditionalFormatting sqref="F68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344</v>
      </c>
      <c r="C3" s="124" t="s">
        <v>0</v>
      </c>
      <c r="D3" s="124" t="s">
        <v>17</v>
      </c>
      <c r="E3" s="124" t="s">
        <v>339</v>
      </c>
      <c r="F3" s="124" t="s">
        <v>340</v>
      </c>
      <c r="G3" s="124" t="s">
        <v>341</v>
      </c>
      <c r="H3" s="124" t="s">
        <v>2106</v>
      </c>
      <c r="I3" s="124" t="s">
        <v>342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2351</v>
      </c>
      <c r="F5" s="62">
        <v>757.2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2313</v>
      </c>
      <c r="C6" s="62" t="s">
        <v>527</v>
      </c>
      <c r="D6" s="62" t="s">
        <v>2352</v>
      </c>
      <c r="E6" s="62" t="s">
        <v>2351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2314</v>
      </c>
      <c r="C7" s="62" t="s">
        <v>24</v>
      </c>
      <c r="D7" s="62" t="s">
        <v>19</v>
      </c>
      <c r="E7" s="62" t="s">
        <v>2353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2315</v>
      </c>
      <c r="C8" s="62" t="s">
        <v>437</v>
      </c>
      <c r="D8" s="62" t="s">
        <v>2354</v>
      </c>
      <c r="E8" s="62" t="s">
        <v>2355</v>
      </c>
      <c r="F8" s="62">
        <v>100.015</v>
      </c>
      <c r="G8" s="62">
        <v>101.2594</v>
      </c>
      <c r="H8" s="62" t="s">
        <v>2462</v>
      </c>
      <c r="I8" s="62" t="s">
        <v>2478</v>
      </c>
      <c r="J8" s="62" t="s">
        <v>271</v>
      </c>
    </row>
    <row r="9" spans="1:10" ht="15" x14ac:dyDescent="0.25">
      <c r="A9" s="40">
        <v>5</v>
      </c>
      <c r="B9" s="62" t="s">
        <v>2479</v>
      </c>
      <c r="C9" s="62" t="s">
        <v>27</v>
      </c>
      <c r="D9" s="62" t="s">
        <v>2356</v>
      </c>
      <c r="E9" s="62" t="s">
        <v>2357</v>
      </c>
      <c r="F9" s="63">
        <v>1462.91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2480</v>
      </c>
      <c r="C10" s="62" t="s">
        <v>743</v>
      </c>
      <c r="D10" s="62" t="s">
        <v>2356</v>
      </c>
      <c r="E10" s="62" t="s">
        <v>2357</v>
      </c>
      <c r="F10" s="62">
        <v>6.93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2481</v>
      </c>
      <c r="C11" s="62" t="s">
        <v>2228</v>
      </c>
      <c r="D11" s="62" t="s">
        <v>2354</v>
      </c>
      <c r="E11" s="62" t="s">
        <v>2241</v>
      </c>
      <c r="F11" s="62">
        <v>99.891099999999994</v>
      </c>
      <c r="G11" s="62">
        <v>104.3869</v>
      </c>
      <c r="H11" s="62" t="s">
        <v>2446</v>
      </c>
      <c r="I11" s="62" t="s">
        <v>2482</v>
      </c>
      <c r="J11" s="62" t="s">
        <v>271</v>
      </c>
    </row>
    <row r="12" spans="1:10" ht="15" x14ac:dyDescent="0.25">
      <c r="A12" s="40">
        <v>8</v>
      </c>
      <c r="B12" s="62" t="s">
        <v>2483</v>
      </c>
      <c r="C12" s="62" t="s">
        <v>2139</v>
      </c>
      <c r="D12" s="62" t="s">
        <v>2354</v>
      </c>
      <c r="E12" s="62" t="s">
        <v>2358</v>
      </c>
      <c r="F12" s="62">
        <v>102.4759</v>
      </c>
      <c r="G12" s="62">
        <v>104.5853</v>
      </c>
      <c r="H12" s="62" t="s">
        <v>2484</v>
      </c>
      <c r="I12" s="62" t="s">
        <v>2485</v>
      </c>
      <c r="J12" s="62" t="s">
        <v>271</v>
      </c>
    </row>
    <row r="13" spans="1:10" ht="15.75" customHeight="1" x14ac:dyDescent="0.25">
      <c r="A13" s="40">
        <v>9</v>
      </c>
      <c r="B13" s="62" t="s">
        <v>2486</v>
      </c>
      <c r="C13" s="62" t="s">
        <v>31</v>
      </c>
      <c r="D13" s="62" t="s">
        <v>2354</v>
      </c>
      <c r="E13" s="62" t="s">
        <v>2358</v>
      </c>
      <c r="F13" s="62">
        <v>99.9863</v>
      </c>
      <c r="G13" s="62">
        <v>102.4696</v>
      </c>
      <c r="H13" s="62" t="s">
        <v>2487</v>
      </c>
      <c r="I13" s="62" t="s">
        <v>2488</v>
      </c>
      <c r="J13" s="62" t="s">
        <v>271</v>
      </c>
    </row>
    <row r="14" spans="1:10" ht="15.75" customHeight="1" x14ac:dyDescent="0.25">
      <c r="A14" s="40">
        <v>10</v>
      </c>
      <c r="B14" s="62" t="s">
        <v>2489</v>
      </c>
      <c r="C14" s="62" t="s">
        <v>2207</v>
      </c>
      <c r="D14" s="62" t="s">
        <v>2354</v>
      </c>
      <c r="E14" s="62" t="s">
        <v>2359</v>
      </c>
      <c r="F14" s="62">
        <v>101.15900000000001</v>
      </c>
      <c r="G14" s="62">
        <v>102.7334</v>
      </c>
      <c r="H14" s="62" t="s">
        <v>2350</v>
      </c>
      <c r="I14" s="62" t="s">
        <v>2490</v>
      </c>
      <c r="J14" s="62" t="s">
        <v>271</v>
      </c>
    </row>
    <row r="15" spans="1:10" ht="15.75" customHeight="1" x14ac:dyDescent="0.25">
      <c r="A15" s="40">
        <v>11</v>
      </c>
      <c r="B15" s="62" t="s">
        <v>2491</v>
      </c>
      <c r="C15" s="62" t="s">
        <v>33</v>
      </c>
      <c r="D15" s="62" t="s">
        <v>19</v>
      </c>
      <c r="E15" s="62" t="s">
        <v>2360</v>
      </c>
      <c r="F15" s="63">
        <v>4443.37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2492</v>
      </c>
      <c r="C16" s="62" t="s">
        <v>36</v>
      </c>
      <c r="D16" s="62" t="s">
        <v>19</v>
      </c>
      <c r="E16" s="62" t="s">
        <v>2360</v>
      </c>
      <c r="F16" s="63">
        <v>6552.35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2493</v>
      </c>
      <c r="C17" s="62" t="s">
        <v>38</v>
      </c>
      <c r="D17" s="62" t="s">
        <v>2356</v>
      </c>
      <c r="E17" s="62" t="s">
        <v>237</v>
      </c>
      <c r="F17" s="63">
        <v>5890642.1699999999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2494</v>
      </c>
      <c r="C18" s="62" t="s">
        <v>41</v>
      </c>
      <c r="D18" s="62" t="s">
        <v>2356</v>
      </c>
      <c r="E18" s="62" t="s">
        <v>237</v>
      </c>
      <c r="F18" s="63">
        <v>1749791.82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2495</v>
      </c>
      <c r="C19" s="62" t="s">
        <v>44</v>
      </c>
      <c r="D19" s="62" t="s">
        <v>2361</v>
      </c>
      <c r="E19" s="62" t="s">
        <v>42</v>
      </c>
      <c r="F19" s="62">
        <v>99.756</v>
      </c>
      <c r="G19" s="62">
        <v>102.1711</v>
      </c>
      <c r="H19" s="62" t="s">
        <v>2447</v>
      </c>
      <c r="I19" s="62" t="s">
        <v>2496</v>
      </c>
      <c r="J19" s="62" t="s">
        <v>271</v>
      </c>
    </row>
    <row r="20" spans="1:10" ht="15" x14ac:dyDescent="0.25">
      <c r="A20" s="40">
        <v>16</v>
      </c>
      <c r="B20" s="62" t="s">
        <v>2497</v>
      </c>
      <c r="C20" s="62" t="s">
        <v>2052</v>
      </c>
      <c r="D20" s="62" t="s">
        <v>2361</v>
      </c>
      <c r="E20" s="62" t="s">
        <v>42</v>
      </c>
      <c r="F20" s="62">
        <v>100</v>
      </c>
      <c r="G20" s="62">
        <v>107.9247</v>
      </c>
      <c r="H20" s="62" t="s">
        <v>2434</v>
      </c>
      <c r="I20" s="62" t="s">
        <v>2498</v>
      </c>
      <c r="J20" s="62" t="s">
        <v>271</v>
      </c>
    </row>
    <row r="21" spans="1:10" ht="15" x14ac:dyDescent="0.25">
      <c r="A21" s="40">
        <v>17</v>
      </c>
      <c r="B21" s="62" t="s">
        <v>2499</v>
      </c>
      <c r="C21" s="62" t="s">
        <v>2103</v>
      </c>
      <c r="D21" s="62" t="s">
        <v>2361</v>
      </c>
      <c r="E21" s="62" t="s">
        <v>42</v>
      </c>
      <c r="F21" s="62">
        <v>100</v>
      </c>
      <c r="G21" s="62">
        <v>107.0959</v>
      </c>
      <c r="H21" s="62" t="s">
        <v>2426</v>
      </c>
      <c r="I21" s="62" t="s">
        <v>2500</v>
      </c>
      <c r="J21" s="62" t="s">
        <v>271</v>
      </c>
    </row>
    <row r="22" spans="1:10" ht="15" x14ac:dyDescent="0.25">
      <c r="A22" s="40">
        <v>18</v>
      </c>
      <c r="B22" s="62" t="s">
        <v>2501</v>
      </c>
      <c r="C22" s="62" t="s">
        <v>49</v>
      </c>
      <c r="D22" s="62" t="s">
        <v>2356</v>
      </c>
      <c r="E22" s="62" t="s">
        <v>2362</v>
      </c>
      <c r="F22" s="63">
        <v>89590.89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2502</v>
      </c>
      <c r="C23" s="62" t="s">
        <v>46</v>
      </c>
      <c r="D23" s="62" t="s">
        <v>2356</v>
      </c>
      <c r="E23" s="62" t="s">
        <v>2362</v>
      </c>
      <c r="F23" s="63">
        <v>5464.93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2503</v>
      </c>
      <c r="C24" s="62" t="s">
        <v>994</v>
      </c>
      <c r="D24" s="62" t="s">
        <v>2356</v>
      </c>
      <c r="E24" s="62" t="s">
        <v>2414</v>
      </c>
      <c r="F24" s="63">
        <v>1037.29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2504</v>
      </c>
      <c r="C25" s="62" t="s">
        <v>1000</v>
      </c>
      <c r="D25" s="62" t="s">
        <v>2356</v>
      </c>
      <c r="E25" s="62" t="s">
        <v>2414</v>
      </c>
      <c r="F25" s="63">
        <v>1162.17</v>
      </c>
      <c r="G25" s="62" t="s">
        <v>343</v>
      </c>
      <c r="H25" s="62" t="s">
        <v>343</v>
      </c>
      <c r="I25" s="62" t="s">
        <v>343</v>
      </c>
      <c r="J25" s="62" t="s">
        <v>2007</v>
      </c>
    </row>
    <row r="26" spans="1:10" ht="15" x14ac:dyDescent="0.25">
      <c r="A26" s="40">
        <v>22</v>
      </c>
      <c r="B26" s="62" t="s">
        <v>2505</v>
      </c>
      <c r="C26" s="62" t="s">
        <v>2060</v>
      </c>
      <c r="D26" s="62" t="s">
        <v>2354</v>
      </c>
      <c r="E26" s="62" t="s">
        <v>2363</v>
      </c>
      <c r="F26" s="62">
        <v>99.7928</v>
      </c>
      <c r="G26" s="62">
        <v>108.6157</v>
      </c>
      <c r="H26" s="62" t="s">
        <v>2415</v>
      </c>
      <c r="I26" s="62" t="s">
        <v>2506</v>
      </c>
      <c r="J26" s="62" t="s">
        <v>271</v>
      </c>
    </row>
    <row r="27" spans="1:10" ht="15" x14ac:dyDescent="0.25">
      <c r="A27" s="40">
        <v>23</v>
      </c>
      <c r="B27" s="62" t="s">
        <v>2507</v>
      </c>
      <c r="C27" s="62" t="s">
        <v>56</v>
      </c>
      <c r="D27" s="62" t="s">
        <v>2356</v>
      </c>
      <c r="E27" s="62" t="s">
        <v>2364</v>
      </c>
      <c r="F27" s="63">
        <v>53321.91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2508</v>
      </c>
      <c r="C28" s="62" t="s">
        <v>58</v>
      </c>
      <c r="D28" s="62" t="s">
        <v>2356</v>
      </c>
      <c r="E28" s="62" t="s">
        <v>2364</v>
      </c>
      <c r="F28" s="63">
        <v>74122.31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2509</v>
      </c>
      <c r="C29" s="62" t="s">
        <v>60</v>
      </c>
      <c r="D29" s="62" t="s">
        <v>2356</v>
      </c>
      <c r="E29" s="62" t="s">
        <v>2364</v>
      </c>
      <c r="F29" s="63">
        <v>73182.490000000005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2510</v>
      </c>
      <c r="C30" s="62" t="s">
        <v>62</v>
      </c>
      <c r="D30" s="62" t="s">
        <v>2356</v>
      </c>
      <c r="E30" s="62" t="s">
        <v>2364</v>
      </c>
      <c r="F30" s="63">
        <v>582293.39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2511</v>
      </c>
      <c r="C31" s="62" t="s">
        <v>64</v>
      </c>
      <c r="D31" s="62" t="s">
        <v>19</v>
      </c>
      <c r="E31" s="62" t="s">
        <v>2365</v>
      </c>
      <c r="F31" s="62">
        <v>366.73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2512</v>
      </c>
      <c r="C32" s="62" t="s">
        <v>370</v>
      </c>
      <c r="D32" s="62" t="s">
        <v>2352</v>
      </c>
      <c r="E32" s="62" t="s">
        <v>2365</v>
      </c>
      <c r="F32" s="62">
        <v>26.85</v>
      </c>
      <c r="G32" s="62" t="s">
        <v>343</v>
      </c>
      <c r="H32" s="62" t="s">
        <v>343</v>
      </c>
      <c r="I32" s="62" t="s">
        <v>343</v>
      </c>
      <c r="J32" s="62" t="s">
        <v>2007</v>
      </c>
    </row>
    <row r="33" spans="1:10" ht="15" x14ac:dyDescent="0.25">
      <c r="A33" s="40">
        <v>29</v>
      </c>
      <c r="B33" s="62" t="s">
        <v>2513</v>
      </c>
      <c r="C33" s="62" t="s">
        <v>67</v>
      </c>
      <c r="D33" s="62" t="s">
        <v>19</v>
      </c>
      <c r="E33" s="62" t="s">
        <v>2366</v>
      </c>
      <c r="F33" s="63">
        <v>9351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2514</v>
      </c>
      <c r="C34" s="62" t="s">
        <v>80</v>
      </c>
      <c r="D34" s="62" t="s">
        <v>19</v>
      </c>
      <c r="E34" s="62" t="s">
        <v>2367</v>
      </c>
      <c r="F34" s="63">
        <v>3385.5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2515</v>
      </c>
      <c r="C35" s="62" t="s">
        <v>83</v>
      </c>
      <c r="D35" s="62" t="s">
        <v>19</v>
      </c>
      <c r="E35" s="62" t="s">
        <v>2368</v>
      </c>
      <c r="F35" s="63">
        <v>1441.54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2516</v>
      </c>
      <c r="C36" s="62" t="s">
        <v>275</v>
      </c>
      <c r="D36" s="62" t="s">
        <v>2354</v>
      </c>
      <c r="E36" s="62" t="s">
        <v>2448</v>
      </c>
      <c r="F36" s="62">
        <v>99.9512</v>
      </c>
      <c r="G36" s="62">
        <v>106.92319999999999</v>
      </c>
      <c r="H36" s="62" t="s">
        <v>2517</v>
      </c>
      <c r="I36" s="62" t="s">
        <v>2518</v>
      </c>
      <c r="J36" s="62" t="s">
        <v>271</v>
      </c>
    </row>
    <row r="37" spans="1:10" ht="15" x14ac:dyDescent="0.25">
      <c r="A37" s="40">
        <v>33</v>
      </c>
      <c r="B37" s="62" t="s">
        <v>2519</v>
      </c>
      <c r="C37" s="62" t="s">
        <v>86</v>
      </c>
      <c r="D37" s="62" t="s">
        <v>19</v>
      </c>
      <c r="E37" s="62" t="s">
        <v>2369</v>
      </c>
      <c r="F37" s="63">
        <v>19862.599999999999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2520</v>
      </c>
      <c r="C38" s="62" t="s">
        <v>89</v>
      </c>
      <c r="D38" s="62" t="s">
        <v>2354</v>
      </c>
      <c r="E38" s="62" t="s">
        <v>2369</v>
      </c>
      <c r="F38" s="62">
        <v>90.271199999999993</v>
      </c>
      <c r="G38" s="62">
        <v>92.235799999999998</v>
      </c>
      <c r="H38" s="62" t="s">
        <v>2463</v>
      </c>
      <c r="I38" s="62" t="s">
        <v>2521</v>
      </c>
      <c r="J38" s="62" t="s">
        <v>271</v>
      </c>
    </row>
    <row r="39" spans="1:10" ht="15" x14ac:dyDescent="0.25">
      <c r="A39" s="40">
        <v>35</v>
      </c>
      <c r="B39" s="62" t="s">
        <v>2522</v>
      </c>
      <c r="C39" s="62" t="s">
        <v>91</v>
      </c>
      <c r="D39" s="62" t="s">
        <v>2354</v>
      </c>
      <c r="E39" s="62" t="s">
        <v>2369</v>
      </c>
      <c r="F39" s="62">
        <v>101.77509999999999</v>
      </c>
      <c r="G39" s="62">
        <v>103.5369</v>
      </c>
      <c r="H39" s="62" t="s">
        <v>2464</v>
      </c>
      <c r="I39" s="62" t="s">
        <v>2523</v>
      </c>
      <c r="J39" s="62" t="s">
        <v>271</v>
      </c>
    </row>
    <row r="40" spans="1:10" ht="15" x14ac:dyDescent="0.25">
      <c r="A40" s="40">
        <v>36</v>
      </c>
      <c r="B40" s="62" t="s">
        <v>2524</v>
      </c>
      <c r="C40" s="62" t="s">
        <v>93</v>
      </c>
      <c r="D40" s="62" t="s">
        <v>2354</v>
      </c>
      <c r="E40" s="62" t="s">
        <v>2369</v>
      </c>
      <c r="F40" s="62">
        <v>95.910499999999999</v>
      </c>
      <c r="G40" s="62">
        <v>98.000100000000003</v>
      </c>
      <c r="H40" s="62" t="s">
        <v>2525</v>
      </c>
      <c r="I40" s="62" t="s">
        <v>2526</v>
      </c>
      <c r="J40" s="62" t="s">
        <v>271</v>
      </c>
    </row>
    <row r="41" spans="1:10" ht="15" x14ac:dyDescent="0.25">
      <c r="A41" s="40">
        <v>37</v>
      </c>
      <c r="B41" s="62" t="s">
        <v>2527</v>
      </c>
      <c r="C41" s="62" t="s">
        <v>95</v>
      </c>
      <c r="D41" s="62" t="s">
        <v>2354</v>
      </c>
      <c r="E41" s="62" t="s">
        <v>2369</v>
      </c>
      <c r="F41" s="62">
        <v>88.462699999999998</v>
      </c>
      <c r="G41" s="62">
        <v>89.707099999999997</v>
      </c>
      <c r="H41" s="62" t="s">
        <v>2465</v>
      </c>
      <c r="I41" s="62" t="s">
        <v>2528</v>
      </c>
      <c r="J41" s="62" t="s">
        <v>271</v>
      </c>
    </row>
    <row r="42" spans="1:10" ht="15" x14ac:dyDescent="0.25">
      <c r="A42" s="40">
        <v>38</v>
      </c>
      <c r="B42" s="62" t="s">
        <v>2529</v>
      </c>
      <c r="C42" s="62" t="s">
        <v>97</v>
      </c>
      <c r="D42" s="62" t="s">
        <v>19</v>
      </c>
      <c r="E42" s="62" t="s">
        <v>2370</v>
      </c>
      <c r="F42" s="63">
        <v>50861.15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2530</v>
      </c>
      <c r="C43" s="62" t="s">
        <v>100</v>
      </c>
      <c r="D43" s="62" t="s">
        <v>2352</v>
      </c>
      <c r="E43" s="62" t="s">
        <v>2370</v>
      </c>
      <c r="F43" s="62">
        <v>94.99</v>
      </c>
      <c r="G43" s="62" t="s">
        <v>343</v>
      </c>
      <c r="H43" s="62" t="s">
        <v>343</v>
      </c>
      <c r="I43" s="62" t="s">
        <v>343</v>
      </c>
      <c r="J43" s="62" t="s">
        <v>2007</v>
      </c>
    </row>
    <row r="44" spans="1:10" ht="15" x14ac:dyDescent="0.25">
      <c r="A44" s="40">
        <v>40</v>
      </c>
      <c r="B44" s="62" t="s">
        <v>2531</v>
      </c>
      <c r="C44" s="62" t="s">
        <v>102</v>
      </c>
      <c r="D44" s="62" t="s">
        <v>19</v>
      </c>
      <c r="E44" s="62" t="s">
        <v>2371</v>
      </c>
      <c r="F44" s="63">
        <v>23808.3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2532</v>
      </c>
      <c r="C45" s="62" t="s">
        <v>2086</v>
      </c>
      <c r="D45" s="62" t="s">
        <v>2354</v>
      </c>
      <c r="E45" s="62" t="s">
        <v>2372</v>
      </c>
      <c r="F45" s="62">
        <v>102.8471</v>
      </c>
      <c r="G45" s="62">
        <v>112.3193</v>
      </c>
      <c r="H45" s="62" t="s">
        <v>2427</v>
      </c>
      <c r="I45" s="62" t="s">
        <v>2533</v>
      </c>
      <c r="J45" s="62" t="s">
        <v>271</v>
      </c>
    </row>
    <row r="46" spans="1:10" ht="15" x14ac:dyDescent="0.25">
      <c r="A46" s="40">
        <v>42</v>
      </c>
      <c r="B46" s="62" t="s">
        <v>2534</v>
      </c>
      <c r="C46" s="62" t="s">
        <v>104</v>
      </c>
      <c r="D46" s="62" t="s">
        <v>19</v>
      </c>
      <c r="E46" s="62" t="s">
        <v>2373</v>
      </c>
      <c r="F46" s="63">
        <v>41136.44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2535</v>
      </c>
      <c r="C47" s="62" t="s">
        <v>107</v>
      </c>
      <c r="D47" s="62" t="s">
        <v>19</v>
      </c>
      <c r="E47" s="62" t="s">
        <v>2373</v>
      </c>
      <c r="F47" s="63">
        <v>33868.980000000003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2536</v>
      </c>
      <c r="C48" s="62" t="s">
        <v>109</v>
      </c>
      <c r="D48" s="62" t="s">
        <v>19</v>
      </c>
      <c r="E48" s="62" t="s">
        <v>2374</v>
      </c>
      <c r="F48" s="62">
        <v>808.68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2537</v>
      </c>
      <c r="C49" s="62" t="s">
        <v>1267</v>
      </c>
      <c r="D49" s="62" t="s">
        <v>2375</v>
      </c>
      <c r="E49" s="62" t="s">
        <v>2376</v>
      </c>
      <c r="F49" s="62">
        <v>97.5</v>
      </c>
      <c r="G49" s="62">
        <v>99.241600000000005</v>
      </c>
      <c r="H49" s="62" t="s">
        <v>2300</v>
      </c>
      <c r="I49" s="62" t="s">
        <v>2538</v>
      </c>
      <c r="J49" s="62" t="s">
        <v>271</v>
      </c>
    </row>
    <row r="50" spans="1:10" ht="15" x14ac:dyDescent="0.25">
      <c r="A50" s="40">
        <v>46</v>
      </c>
      <c r="B50" s="62" t="s">
        <v>2539</v>
      </c>
      <c r="C50" s="62" t="s">
        <v>1398</v>
      </c>
      <c r="D50" s="62" t="s">
        <v>2354</v>
      </c>
      <c r="E50" s="62" t="s">
        <v>2386</v>
      </c>
      <c r="F50" s="62">
        <v>98.849000000000004</v>
      </c>
      <c r="G50" s="62">
        <v>103.6129</v>
      </c>
      <c r="H50" s="62" t="s">
        <v>2387</v>
      </c>
      <c r="I50" s="62" t="s">
        <v>2540</v>
      </c>
      <c r="J50" s="62" t="s">
        <v>271</v>
      </c>
    </row>
    <row r="51" spans="1:10" ht="15" x14ac:dyDescent="0.25">
      <c r="A51" s="40">
        <v>47</v>
      </c>
      <c r="B51" s="62" t="s">
        <v>2541</v>
      </c>
      <c r="C51" s="62" t="s">
        <v>427</v>
      </c>
      <c r="D51" s="62" t="s">
        <v>2354</v>
      </c>
      <c r="E51" s="62" t="s">
        <v>2377</v>
      </c>
      <c r="F51" s="62">
        <v>87.476200000000006</v>
      </c>
      <c r="G51" s="62">
        <v>87.8095</v>
      </c>
      <c r="H51" s="62" t="s">
        <v>2542</v>
      </c>
      <c r="I51" s="62" t="s">
        <v>2543</v>
      </c>
      <c r="J51" s="62" t="s">
        <v>271</v>
      </c>
    </row>
    <row r="52" spans="1:10" ht="15" x14ac:dyDescent="0.25">
      <c r="A52" s="40">
        <v>48</v>
      </c>
      <c r="B52" s="62" t="s">
        <v>2544</v>
      </c>
      <c r="C52" s="62" t="s">
        <v>2044</v>
      </c>
      <c r="D52" s="62" t="s">
        <v>2354</v>
      </c>
      <c r="E52" s="62" t="s">
        <v>2377</v>
      </c>
      <c r="F52" s="62">
        <v>95.840599999999995</v>
      </c>
      <c r="G52" s="62">
        <v>95.873900000000006</v>
      </c>
      <c r="H52" s="62" t="s">
        <v>2545</v>
      </c>
      <c r="I52" s="62" t="s">
        <v>2546</v>
      </c>
      <c r="J52" s="62" t="s">
        <v>271</v>
      </c>
    </row>
    <row r="53" spans="1:10" ht="15" x14ac:dyDescent="0.25">
      <c r="A53" s="40">
        <v>49</v>
      </c>
      <c r="B53" s="62" t="s">
        <v>2547</v>
      </c>
      <c r="C53" s="62" t="s">
        <v>2250</v>
      </c>
      <c r="D53" s="62" t="s">
        <v>2354</v>
      </c>
      <c r="E53" s="62" t="s">
        <v>2377</v>
      </c>
      <c r="F53" s="62">
        <v>99.998999999999995</v>
      </c>
      <c r="G53" s="62">
        <v>100.6712</v>
      </c>
      <c r="H53" s="62" t="s">
        <v>2429</v>
      </c>
      <c r="I53" s="62" t="s">
        <v>2548</v>
      </c>
      <c r="J53" s="62" t="s">
        <v>271</v>
      </c>
    </row>
    <row r="54" spans="1:10" ht="15" x14ac:dyDescent="0.25">
      <c r="A54" s="40">
        <v>50</v>
      </c>
      <c r="B54" s="62" t="s">
        <v>2549</v>
      </c>
      <c r="C54" s="62" t="s">
        <v>2189</v>
      </c>
      <c r="D54" s="62" t="s">
        <v>2354</v>
      </c>
      <c r="E54" s="62" t="s">
        <v>2377</v>
      </c>
      <c r="F54" s="62">
        <v>100.125</v>
      </c>
      <c r="G54" s="62">
        <v>100.325</v>
      </c>
      <c r="H54" s="62" t="s">
        <v>2550</v>
      </c>
      <c r="I54" s="62" t="s">
        <v>2551</v>
      </c>
      <c r="J54" s="62" t="s">
        <v>271</v>
      </c>
    </row>
    <row r="55" spans="1:10" ht="15" x14ac:dyDescent="0.25">
      <c r="A55" s="40">
        <v>51</v>
      </c>
      <c r="B55" s="62" t="s">
        <v>2552</v>
      </c>
      <c r="C55" s="62" t="s">
        <v>2254</v>
      </c>
      <c r="D55" s="62" t="s">
        <v>2354</v>
      </c>
      <c r="E55" s="62" t="s">
        <v>2377</v>
      </c>
      <c r="F55" s="62">
        <v>99.989099999999993</v>
      </c>
      <c r="G55" s="62">
        <v>100.0558</v>
      </c>
      <c r="H55" s="62" t="s">
        <v>2378</v>
      </c>
      <c r="I55" s="62" t="s">
        <v>2553</v>
      </c>
      <c r="J55" s="62" t="s">
        <v>271</v>
      </c>
    </row>
    <row r="56" spans="1:10" ht="15" x14ac:dyDescent="0.25">
      <c r="A56" s="40">
        <v>52</v>
      </c>
      <c r="B56" s="62" t="s">
        <v>2554</v>
      </c>
      <c r="C56" s="62" t="s">
        <v>114</v>
      </c>
      <c r="D56" s="62" t="s">
        <v>2354</v>
      </c>
      <c r="E56" s="62" t="s">
        <v>2379</v>
      </c>
      <c r="F56" s="62">
        <v>99.795000000000002</v>
      </c>
      <c r="G56" s="62">
        <v>100.3126</v>
      </c>
      <c r="H56" s="62" t="s">
        <v>2555</v>
      </c>
      <c r="I56" s="62" t="s">
        <v>2556</v>
      </c>
      <c r="J56" s="62" t="s">
        <v>271</v>
      </c>
    </row>
    <row r="57" spans="1:10" ht="15" x14ac:dyDescent="0.25">
      <c r="A57" s="40">
        <v>53</v>
      </c>
      <c r="B57" s="62" t="s">
        <v>2557</v>
      </c>
      <c r="C57" s="62" t="s">
        <v>116</v>
      </c>
      <c r="D57" s="62" t="s">
        <v>2354</v>
      </c>
      <c r="E57" s="62" t="s">
        <v>2379</v>
      </c>
      <c r="F57" s="62">
        <v>99.082899999999995</v>
      </c>
      <c r="G57" s="62">
        <v>100.5273</v>
      </c>
      <c r="H57" s="62" t="s">
        <v>2438</v>
      </c>
      <c r="I57" s="62" t="s">
        <v>2558</v>
      </c>
      <c r="J57" s="62" t="s">
        <v>271</v>
      </c>
    </row>
    <row r="58" spans="1:10" ht="15" x14ac:dyDescent="0.25">
      <c r="A58" s="40">
        <v>54</v>
      </c>
      <c r="B58" s="62" t="s">
        <v>2559</v>
      </c>
      <c r="C58" s="62" t="s">
        <v>1411</v>
      </c>
      <c r="D58" s="62" t="s">
        <v>2354</v>
      </c>
      <c r="E58" s="62" t="s">
        <v>2379</v>
      </c>
      <c r="F58" s="62">
        <v>99.962800000000001</v>
      </c>
      <c r="G58" s="62">
        <v>100.07389999999999</v>
      </c>
      <c r="H58" s="62" t="s">
        <v>2560</v>
      </c>
      <c r="I58" s="62" t="s">
        <v>2561</v>
      </c>
      <c r="J58" s="62" t="s">
        <v>271</v>
      </c>
    </row>
    <row r="59" spans="1:10" ht="15" x14ac:dyDescent="0.25">
      <c r="A59" s="40">
        <v>55</v>
      </c>
      <c r="B59" s="62" t="s">
        <v>2562</v>
      </c>
      <c r="C59" s="62" t="s">
        <v>357</v>
      </c>
      <c r="D59" s="62" t="s">
        <v>2354</v>
      </c>
      <c r="E59" s="62" t="s">
        <v>2379</v>
      </c>
      <c r="F59" s="62">
        <v>100.2039</v>
      </c>
      <c r="G59" s="62">
        <v>100.64490000000001</v>
      </c>
      <c r="H59" s="62" t="s">
        <v>2466</v>
      </c>
      <c r="I59" s="62" t="s">
        <v>2563</v>
      </c>
      <c r="J59" s="62" t="s">
        <v>271</v>
      </c>
    </row>
    <row r="60" spans="1:10" ht="15" x14ac:dyDescent="0.25">
      <c r="A60" s="40">
        <v>56</v>
      </c>
      <c r="B60" s="62" t="s">
        <v>2564</v>
      </c>
      <c r="C60" s="62" t="s">
        <v>1413</v>
      </c>
      <c r="D60" s="62" t="s">
        <v>2354</v>
      </c>
      <c r="E60" s="62" t="s">
        <v>2379</v>
      </c>
      <c r="F60" s="62">
        <v>97.391199999999998</v>
      </c>
      <c r="G60" s="62">
        <v>98.657899999999998</v>
      </c>
      <c r="H60" s="62" t="s">
        <v>2565</v>
      </c>
      <c r="I60" s="62" t="s">
        <v>2566</v>
      </c>
      <c r="J60" s="62" t="s">
        <v>271</v>
      </c>
    </row>
    <row r="61" spans="1:10" ht="15" x14ac:dyDescent="0.25">
      <c r="A61" s="40">
        <v>57</v>
      </c>
      <c r="B61" s="62" t="s">
        <v>2567</v>
      </c>
      <c r="C61" s="62" t="s">
        <v>390</v>
      </c>
      <c r="D61" s="62" t="s">
        <v>2354</v>
      </c>
      <c r="E61" s="62" t="s">
        <v>2379</v>
      </c>
      <c r="F61" s="62">
        <v>96.703699999999998</v>
      </c>
      <c r="G61" s="62">
        <v>96.756500000000003</v>
      </c>
      <c r="H61" s="62" t="s">
        <v>2568</v>
      </c>
      <c r="I61" s="62" t="s">
        <v>2569</v>
      </c>
      <c r="J61" s="62" t="s">
        <v>271</v>
      </c>
    </row>
    <row r="62" spans="1:10" ht="15" x14ac:dyDescent="0.25">
      <c r="A62" s="40">
        <v>58</v>
      </c>
      <c r="B62" s="62" t="s">
        <v>2570</v>
      </c>
      <c r="C62" s="62" t="s">
        <v>2074</v>
      </c>
      <c r="D62" s="62" t="s">
        <v>2354</v>
      </c>
      <c r="E62" s="62" t="s">
        <v>2379</v>
      </c>
      <c r="F62" s="62">
        <v>99.0946</v>
      </c>
      <c r="G62" s="62">
        <v>99.677899999999994</v>
      </c>
      <c r="H62" s="62" t="s">
        <v>2438</v>
      </c>
      <c r="I62" s="62" t="s">
        <v>2571</v>
      </c>
      <c r="J62" s="62" t="s">
        <v>271</v>
      </c>
    </row>
    <row r="63" spans="1:10" ht="15" x14ac:dyDescent="0.25">
      <c r="A63" s="40">
        <v>59</v>
      </c>
      <c r="B63" s="62" t="s">
        <v>2572</v>
      </c>
      <c r="C63" s="62" t="s">
        <v>2119</v>
      </c>
      <c r="D63" s="62" t="s">
        <v>2354</v>
      </c>
      <c r="E63" s="62" t="s">
        <v>2379</v>
      </c>
      <c r="F63" s="62">
        <v>102.02549999999999</v>
      </c>
      <c r="G63" s="62">
        <v>103.40049999999999</v>
      </c>
      <c r="H63" s="62" t="s">
        <v>2573</v>
      </c>
      <c r="I63" s="62" t="s">
        <v>2574</v>
      </c>
      <c r="J63" s="62" t="s">
        <v>271</v>
      </c>
    </row>
    <row r="64" spans="1:10" ht="15" x14ac:dyDescent="0.25">
      <c r="A64" s="40">
        <v>60</v>
      </c>
      <c r="B64" s="62" t="s">
        <v>2575</v>
      </c>
      <c r="C64" s="62" t="s">
        <v>2121</v>
      </c>
      <c r="D64" s="62" t="s">
        <v>2354</v>
      </c>
      <c r="E64" s="62" t="s">
        <v>2379</v>
      </c>
      <c r="F64" s="62">
        <v>101.8784</v>
      </c>
      <c r="G64" s="62">
        <v>101.9987</v>
      </c>
      <c r="H64" s="62" t="s">
        <v>2576</v>
      </c>
      <c r="I64" s="62" t="s">
        <v>2577</v>
      </c>
      <c r="J64" s="62" t="s">
        <v>271</v>
      </c>
    </row>
    <row r="65" spans="1:10" ht="15" x14ac:dyDescent="0.25">
      <c r="A65" s="40">
        <v>61</v>
      </c>
      <c r="B65" s="62" t="s">
        <v>2578</v>
      </c>
      <c r="C65" s="62" t="s">
        <v>385</v>
      </c>
      <c r="D65" s="62" t="s">
        <v>2354</v>
      </c>
      <c r="E65" s="62" t="s">
        <v>2380</v>
      </c>
      <c r="F65" s="62">
        <v>77.5595</v>
      </c>
      <c r="G65" s="62">
        <v>77.734499999999997</v>
      </c>
      <c r="H65" s="62" t="s">
        <v>2579</v>
      </c>
      <c r="I65" s="62" t="s">
        <v>2580</v>
      </c>
      <c r="J65" s="62" t="s">
        <v>271</v>
      </c>
    </row>
    <row r="66" spans="1:10" ht="15" x14ac:dyDescent="0.25">
      <c r="A66" s="40">
        <v>62</v>
      </c>
      <c r="B66" s="62" t="s">
        <v>2581</v>
      </c>
      <c r="C66" s="62" t="s">
        <v>402</v>
      </c>
      <c r="D66" s="62" t="s">
        <v>2354</v>
      </c>
      <c r="E66" s="62" t="s">
        <v>2380</v>
      </c>
      <c r="F66" s="62">
        <v>79.149600000000007</v>
      </c>
      <c r="G66" s="62">
        <v>80.188500000000005</v>
      </c>
      <c r="H66" s="62" t="s">
        <v>2582</v>
      </c>
      <c r="I66" s="62" t="s">
        <v>2583</v>
      </c>
      <c r="J66" s="62" t="s">
        <v>271</v>
      </c>
    </row>
    <row r="67" spans="1:10" ht="15" x14ac:dyDescent="0.25">
      <c r="A67" s="40">
        <v>63</v>
      </c>
      <c r="B67" s="62" t="s">
        <v>2584</v>
      </c>
      <c r="C67" s="62" t="s">
        <v>394</v>
      </c>
      <c r="D67" s="62" t="s">
        <v>2354</v>
      </c>
      <c r="E67" s="62" t="s">
        <v>2380</v>
      </c>
      <c r="F67" s="62">
        <v>82.256200000000007</v>
      </c>
      <c r="G67" s="62">
        <v>83.539500000000004</v>
      </c>
      <c r="H67" s="62" t="s">
        <v>2585</v>
      </c>
      <c r="I67" s="62" t="s">
        <v>2586</v>
      </c>
      <c r="J67" s="62" t="s">
        <v>271</v>
      </c>
    </row>
    <row r="68" spans="1:10" ht="15" x14ac:dyDescent="0.25">
      <c r="A68" s="40">
        <v>64</v>
      </c>
      <c r="B68" s="62" t="s">
        <v>2587</v>
      </c>
      <c r="C68" s="62" t="s">
        <v>2105</v>
      </c>
      <c r="D68" s="62" t="s">
        <v>2354</v>
      </c>
      <c r="E68" s="62" t="s">
        <v>2380</v>
      </c>
      <c r="F68" s="62">
        <v>91.180599999999998</v>
      </c>
      <c r="G68" s="62">
        <v>92.580600000000004</v>
      </c>
      <c r="H68" s="62" t="s">
        <v>2467</v>
      </c>
      <c r="I68" s="62" t="s">
        <v>2588</v>
      </c>
      <c r="J68" s="62" t="s">
        <v>271</v>
      </c>
    </row>
    <row r="69" spans="1:10" ht="15" x14ac:dyDescent="0.25">
      <c r="A69" s="40">
        <v>65</v>
      </c>
      <c r="B69" s="62" t="s">
        <v>2589</v>
      </c>
      <c r="C69" s="62" t="s">
        <v>2349</v>
      </c>
      <c r="D69" s="62" t="s">
        <v>2354</v>
      </c>
      <c r="E69" s="62" t="s">
        <v>2380</v>
      </c>
      <c r="F69" s="62">
        <v>100.8683</v>
      </c>
      <c r="G69" s="62">
        <v>100.8683</v>
      </c>
      <c r="H69" s="62" t="s">
        <v>2590</v>
      </c>
      <c r="I69" s="62" t="s">
        <v>2591</v>
      </c>
      <c r="J69" s="62" t="s">
        <v>271</v>
      </c>
    </row>
    <row r="70" spans="1:10" ht="15" x14ac:dyDescent="0.25">
      <c r="A70" s="40">
        <v>66</v>
      </c>
      <c r="B70" s="62" t="s">
        <v>2592</v>
      </c>
      <c r="C70" s="62" t="s">
        <v>2277</v>
      </c>
      <c r="D70" s="62" t="s">
        <v>2354</v>
      </c>
      <c r="E70" s="62" t="s">
        <v>2380</v>
      </c>
      <c r="F70" s="62">
        <v>97.827100000000002</v>
      </c>
      <c r="G70" s="62">
        <v>99.343800000000002</v>
      </c>
      <c r="H70" s="62" t="s">
        <v>2593</v>
      </c>
      <c r="I70" s="62" t="s">
        <v>2594</v>
      </c>
      <c r="J70" s="62" t="s">
        <v>271</v>
      </c>
    </row>
    <row r="71" spans="1:10" ht="15" x14ac:dyDescent="0.25">
      <c r="A71" s="40">
        <v>67</v>
      </c>
      <c r="B71" s="62" t="s">
        <v>2595</v>
      </c>
      <c r="C71" s="62" t="s">
        <v>2433</v>
      </c>
      <c r="D71" s="62" t="s">
        <v>2354</v>
      </c>
      <c r="E71" s="62" t="s">
        <v>2380</v>
      </c>
      <c r="F71" s="62">
        <v>99.995999999999995</v>
      </c>
      <c r="G71" s="62">
        <v>100.8516</v>
      </c>
      <c r="H71" s="62" t="s">
        <v>2429</v>
      </c>
      <c r="I71" s="62" t="s">
        <v>2596</v>
      </c>
      <c r="J71" s="62" t="s">
        <v>271</v>
      </c>
    </row>
    <row r="72" spans="1:10" ht="15" x14ac:dyDescent="0.25">
      <c r="A72" s="40">
        <v>68</v>
      </c>
      <c r="B72" s="62" t="s">
        <v>2597</v>
      </c>
      <c r="C72" s="62" t="s">
        <v>2437</v>
      </c>
      <c r="D72" s="62" t="s">
        <v>2354</v>
      </c>
      <c r="E72" s="62" t="s">
        <v>2468</v>
      </c>
      <c r="F72" s="62">
        <v>99.372299999999996</v>
      </c>
      <c r="G72" s="62">
        <v>99.838999999999999</v>
      </c>
      <c r="H72" s="62" t="s">
        <v>2439</v>
      </c>
      <c r="I72" s="62" t="s">
        <v>2598</v>
      </c>
      <c r="J72" s="62" t="s">
        <v>271</v>
      </c>
    </row>
    <row r="73" spans="1:10" ht="15" x14ac:dyDescent="0.25">
      <c r="A73" s="40">
        <v>69</v>
      </c>
      <c r="B73" s="62" t="s">
        <v>2599</v>
      </c>
      <c r="C73" s="62" t="s">
        <v>388</v>
      </c>
      <c r="D73" s="62" t="s">
        <v>2375</v>
      </c>
      <c r="E73" s="62" t="s">
        <v>2376</v>
      </c>
      <c r="F73" s="62">
        <v>97.476900000000001</v>
      </c>
      <c r="G73" s="62">
        <v>97.476900000000001</v>
      </c>
      <c r="H73" s="62" t="s">
        <v>2600</v>
      </c>
      <c r="I73" s="62" t="s">
        <v>2601</v>
      </c>
      <c r="J73" s="62" t="s">
        <v>271</v>
      </c>
    </row>
    <row r="74" spans="1:10" ht="15" x14ac:dyDescent="0.25">
      <c r="A74" s="40">
        <v>70</v>
      </c>
      <c r="B74" s="62" t="s">
        <v>2602</v>
      </c>
      <c r="C74" s="62" t="s">
        <v>2032</v>
      </c>
      <c r="D74" s="62" t="s">
        <v>2375</v>
      </c>
      <c r="E74" s="62" t="s">
        <v>2376</v>
      </c>
      <c r="F74" s="62">
        <v>93.277100000000004</v>
      </c>
      <c r="G74" s="62">
        <v>93.277100000000004</v>
      </c>
      <c r="H74" s="62" t="s">
        <v>2603</v>
      </c>
      <c r="I74" s="62" t="s">
        <v>2604</v>
      </c>
      <c r="J74" s="62" t="s">
        <v>271</v>
      </c>
    </row>
    <row r="75" spans="1:10" ht="15" x14ac:dyDescent="0.25">
      <c r="A75" s="40">
        <v>71</v>
      </c>
      <c r="B75" s="62" t="s">
        <v>2605</v>
      </c>
      <c r="C75" s="62" t="s">
        <v>2185</v>
      </c>
      <c r="D75" s="62" t="s">
        <v>2375</v>
      </c>
      <c r="E75" s="62" t="s">
        <v>2376</v>
      </c>
      <c r="F75" s="62">
        <v>89.479900000000001</v>
      </c>
      <c r="G75" s="62">
        <v>89.479900000000001</v>
      </c>
      <c r="H75" s="62" t="s">
        <v>2606</v>
      </c>
      <c r="I75" s="62" t="s">
        <v>2607</v>
      </c>
      <c r="J75" s="62" t="s">
        <v>271</v>
      </c>
    </row>
    <row r="76" spans="1:10" ht="15" x14ac:dyDescent="0.25">
      <c r="A76" s="40">
        <v>72</v>
      </c>
      <c r="B76" s="62" t="s">
        <v>2608</v>
      </c>
      <c r="C76" s="62" t="s">
        <v>4</v>
      </c>
      <c r="D76" s="62" t="s">
        <v>2375</v>
      </c>
      <c r="E76" s="62" t="s">
        <v>2376</v>
      </c>
      <c r="F76" s="62">
        <v>98.001300000000001</v>
      </c>
      <c r="G76" s="62">
        <v>98.920100000000005</v>
      </c>
      <c r="H76" s="62" t="s">
        <v>2609</v>
      </c>
      <c r="I76" s="62" t="s">
        <v>2610</v>
      </c>
      <c r="J76" s="62" t="s">
        <v>271</v>
      </c>
    </row>
    <row r="77" spans="1:10" ht="15" x14ac:dyDescent="0.25">
      <c r="A77" s="40">
        <v>73</v>
      </c>
      <c r="B77" s="62" t="s">
        <v>2611</v>
      </c>
      <c r="C77" s="62" t="s">
        <v>119</v>
      </c>
      <c r="D77" s="62" t="s">
        <v>2375</v>
      </c>
      <c r="E77" s="62" t="s">
        <v>2376</v>
      </c>
      <c r="F77" s="62">
        <v>98.337500000000006</v>
      </c>
      <c r="G77" s="62">
        <v>100.5528</v>
      </c>
      <c r="H77" s="62" t="s">
        <v>2469</v>
      </c>
      <c r="I77" s="62" t="s">
        <v>2612</v>
      </c>
      <c r="J77" s="62" t="s">
        <v>271</v>
      </c>
    </row>
    <row r="78" spans="1:10" ht="15" x14ac:dyDescent="0.25">
      <c r="A78" s="40">
        <v>74</v>
      </c>
      <c r="B78" s="62" t="s">
        <v>2613</v>
      </c>
      <c r="C78" s="62" t="s">
        <v>121</v>
      </c>
      <c r="D78" s="62" t="s">
        <v>2375</v>
      </c>
      <c r="E78" s="62" t="s">
        <v>2376</v>
      </c>
      <c r="F78" s="62">
        <v>98.021600000000007</v>
      </c>
      <c r="G78" s="62">
        <v>104.0449</v>
      </c>
      <c r="H78" s="62" t="s">
        <v>2614</v>
      </c>
      <c r="I78" s="62" t="s">
        <v>2615</v>
      </c>
      <c r="J78" s="62" t="s">
        <v>271</v>
      </c>
    </row>
    <row r="79" spans="1:10" ht="15" x14ac:dyDescent="0.25">
      <c r="A79" s="40">
        <v>75</v>
      </c>
      <c r="B79" s="62" t="s">
        <v>2616</v>
      </c>
      <c r="C79" s="62" t="s">
        <v>2421</v>
      </c>
      <c r="D79" s="62" t="s">
        <v>2375</v>
      </c>
      <c r="E79" s="62" t="s">
        <v>2376</v>
      </c>
      <c r="F79" s="62">
        <v>102.59099999999999</v>
      </c>
      <c r="G79" s="62">
        <v>103.2998</v>
      </c>
      <c r="H79" s="62" t="s">
        <v>2617</v>
      </c>
      <c r="I79" s="62" t="s">
        <v>2618</v>
      </c>
      <c r="J79" s="62" t="s">
        <v>271</v>
      </c>
    </row>
    <row r="80" spans="1:10" ht="15" x14ac:dyDescent="0.25">
      <c r="A80" s="40">
        <v>76</v>
      </c>
      <c r="B80" s="62" t="s">
        <v>2619</v>
      </c>
      <c r="C80" s="62" t="s">
        <v>123</v>
      </c>
      <c r="D80" s="62" t="s">
        <v>2375</v>
      </c>
      <c r="E80" s="62" t="s">
        <v>2376</v>
      </c>
      <c r="F80" s="62">
        <v>95.366600000000005</v>
      </c>
      <c r="G80" s="62">
        <v>95.891599999999997</v>
      </c>
      <c r="H80" s="62" t="s">
        <v>2620</v>
      </c>
      <c r="I80" s="62" t="s">
        <v>2621</v>
      </c>
      <c r="J80" s="62" t="s">
        <v>271</v>
      </c>
    </row>
    <row r="81" spans="1:10" ht="15" x14ac:dyDescent="0.25">
      <c r="A81" s="40">
        <v>77</v>
      </c>
      <c r="B81" s="62" t="s">
        <v>2622</v>
      </c>
      <c r="C81" s="62" t="s">
        <v>125</v>
      </c>
      <c r="D81" s="62" t="s">
        <v>2375</v>
      </c>
      <c r="E81" s="62" t="s">
        <v>2376</v>
      </c>
      <c r="F81" s="62">
        <v>98.658100000000005</v>
      </c>
      <c r="G81" s="62">
        <v>102.6662</v>
      </c>
      <c r="H81" s="62" t="s">
        <v>2623</v>
      </c>
      <c r="I81" s="62" t="s">
        <v>2624</v>
      </c>
      <c r="J81" s="62" t="s">
        <v>271</v>
      </c>
    </row>
    <row r="82" spans="1:10" ht="15" x14ac:dyDescent="0.25">
      <c r="A82" s="40">
        <v>78</v>
      </c>
      <c r="B82" s="62" t="s">
        <v>2625</v>
      </c>
      <c r="C82" s="62" t="s">
        <v>2388</v>
      </c>
      <c r="D82" s="62" t="s">
        <v>2375</v>
      </c>
      <c r="E82" s="62" t="s">
        <v>2376</v>
      </c>
      <c r="F82" s="62">
        <v>100</v>
      </c>
      <c r="G82" s="62">
        <v>101.04940000000001</v>
      </c>
      <c r="H82" s="62" t="s">
        <v>2435</v>
      </c>
      <c r="I82" s="62" t="s">
        <v>2626</v>
      </c>
      <c r="J82" s="62" t="s">
        <v>271</v>
      </c>
    </row>
    <row r="83" spans="1:10" ht="15" x14ac:dyDescent="0.25">
      <c r="A83" s="40">
        <v>79</v>
      </c>
      <c r="B83" s="62" t="s">
        <v>2627</v>
      </c>
      <c r="C83" s="62" t="s">
        <v>127</v>
      </c>
      <c r="D83" s="62" t="s">
        <v>2375</v>
      </c>
      <c r="E83" s="62" t="s">
        <v>2376</v>
      </c>
      <c r="F83" s="62">
        <v>100</v>
      </c>
      <c r="G83" s="62">
        <v>107.7217</v>
      </c>
      <c r="H83" s="62" t="s">
        <v>2470</v>
      </c>
      <c r="I83" s="62" t="s">
        <v>2628</v>
      </c>
      <c r="J83" s="62" t="s">
        <v>271</v>
      </c>
    </row>
    <row r="84" spans="1:10" ht="15" x14ac:dyDescent="0.25">
      <c r="A84" s="40">
        <v>80</v>
      </c>
      <c r="B84" s="62" t="s">
        <v>2629</v>
      </c>
      <c r="C84" s="62" t="s">
        <v>129</v>
      </c>
      <c r="D84" s="62" t="s">
        <v>2375</v>
      </c>
      <c r="E84" s="62" t="s">
        <v>2376</v>
      </c>
      <c r="F84" s="62">
        <v>100</v>
      </c>
      <c r="G84" s="62">
        <v>106.11839999999999</v>
      </c>
      <c r="H84" s="62" t="s">
        <v>2630</v>
      </c>
      <c r="I84" s="62" t="s">
        <v>2631</v>
      </c>
      <c r="J84" s="62" t="s">
        <v>271</v>
      </c>
    </row>
    <row r="85" spans="1:10" ht="15" x14ac:dyDescent="0.25">
      <c r="A85" s="40">
        <v>81</v>
      </c>
      <c r="B85" s="62" t="s">
        <v>2632</v>
      </c>
      <c r="C85" s="62" t="s">
        <v>131</v>
      </c>
      <c r="D85" s="62" t="s">
        <v>2375</v>
      </c>
      <c r="E85" s="62" t="s">
        <v>2376</v>
      </c>
      <c r="F85" s="62">
        <v>100</v>
      </c>
      <c r="G85" s="62">
        <v>104.5454</v>
      </c>
      <c r="H85" s="62" t="s">
        <v>2471</v>
      </c>
      <c r="I85" s="62" t="s">
        <v>2633</v>
      </c>
      <c r="J85" s="62" t="s">
        <v>271</v>
      </c>
    </row>
    <row r="86" spans="1:10" ht="15" x14ac:dyDescent="0.25">
      <c r="A86" s="40">
        <v>82</v>
      </c>
      <c r="B86" s="62" t="s">
        <v>2634</v>
      </c>
      <c r="C86" s="62" t="s">
        <v>133</v>
      </c>
      <c r="D86" s="62" t="s">
        <v>2375</v>
      </c>
      <c r="E86" s="62" t="s">
        <v>2376</v>
      </c>
      <c r="F86" s="62">
        <v>100</v>
      </c>
      <c r="G86" s="62">
        <v>108.2059</v>
      </c>
      <c r="H86" s="62" t="s">
        <v>2426</v>
      </c>
      <c r="I86" s="62" t="s">
        <v>2635</v>
      </c>
      <c r="J86" s="62" t="s">
        <v>271</v>
      </c>
    </row>
    <row r="87" spans="1:10" ht="15" x14ac:dyDescent="0.25">
      <c r="A87" s="40">
        <v>83</v>
      </c>
      <c r="B87" s="62" t="s">
        <v>2636</v>
      </c>
      <c r="C87" s="62" t="s">
        <v>135</v>
      </c>
      <c r="D87" s="62" t="s">
        <v>2375</v>
      </c>
      <c r="E87" s="62" t="s">
        <v>2376</v>
      </c>
      <c r="F87" s="62">
        <v>100</v>
      </c>
      <c r="G87" s="62">
        <v>101.9075</v>
      </c>
      <c r="H87" s="62" t="s">
        <v>2472</v>
      </c>
      <c r="I87" s="62" t="s">
        <v>2637</v>
      </c>
      <c r="J87" s="62" t="s">
        <v>271</v>
      </c>
    </row>
    <row r="88" spans="1:10" ht="15" x14ac:dyDescent="0.25">
      <c r="A88" s="40">
        <v>84</v>
      </c>
      <c r="B88" s="62" t="s">
        <v>2638</v>
      </c>
      <c r="C88" s="62" t="s">
        <v>286</v>
      </c>
      <c r="D88" s="62" t="s">
        <v>2375</v>
      </c>
      <c r="E88" s="62" t="s">
        <v>2376</v>
      </c>
      <c r="F88" s="62">
        <v>100</v>
      </c>
      <c r="G88" s="62">
        <v>108.6846</v>
      </c>
      <c r="H88" s="62" t="s">
        <v>2440</v>
      </c>
      <c r="I88" s="62" t="s">
        <v>2639</v>
      </c>
      <c r="J88" s="62" t="s">
        <v>271</v>
      </c>
    </row>
    <row r="89" spans="1:10" ht="15" x14ac:dyDescent="0.25">
      <c r="A89" s="40">
        <v>85</v>
      </c>
      <c r="B89" s="62" t="s">
        <v>2640</v>
      </c>
      <c r="C89" s="62" t="s">
        <v>288</v>
      </c>
      <c r="D89" s="62" t="s">
        <v>2375</v>
      </c>
      <c r="E89" s="62" t="s">
        <v>2376</v>
      </c>
      <c r="F89" s="62">
        <v>100</v>
      </c>
      <c r="G89" s="62">
        <v>110.5527</v>
      </c>
      <c r="H89" s="62" t="s">
        <v>2292</v>
      </c>
      <c r="I89" s="62" t="s">
        <v>2641</v>
      </c>
      <c r="J89" s="62" t="s">
        <v>271</v>
      </c>
    </row>
    <row r="90" spans="1:10" ht="15" x14ac:dyDescent="0.25">
      <c r="A90" s="40">
        <v>86</v>
      </c>
      <c r="B90" s="62" t="s">
        <v>2642</v>
      </c>
      <c r="C90" s="62" t="s">
        <v>290</v>
      </c>
      <c r="D90" s="62" t="s">
        <v>2375</v>
      </c>
      <c r="E90" s="62" t="s">
        <v>2376</v>
      </c>
      <c r="F90" s="62">
        <v>100</v>
      </c>
      <c r="G90" s="62">
        <v>104.68640000000001</v>
      </c>
      <c r="H90" s="62" t="s">
        <v>2451</v>
      </c>
      <c r="I90" s="62" t="s">
        <v>2476</v>
      </c>
      <c r="J90" s="62" t="s">
        <v>271</v>
      </c>
    </row>
    <row r="91" spans="1:10" ht="15" x14ac:dyDescent="0.25">
      <c r="A91" s="40">
        <v>87</v>
      </c>
      <c r="B91" s="62" t="s">
        <v>2643</v>
      </c>
      <c r="C91" s="62" t="s">
        <v>292</v>
      </c>
      <c r="D91" s="62" t="s">
        <v>2375</v>
      </c>
      <c r="E91" s="62" t="s">
        <v>2376</v>
      </c>
      <c r="F91" s="62">
        <v>100</v>
      </c>
      <c r="G91" s="62">
        <v>111.6014</v>
      </c>
      <c r="H91" s="62" t="s">
        <v>2412</v>
      </c>
      <c r="I91" s="62" t="s">
        <v>2644</v>
      </c>
      <c r="J91" s="62" t="s">
        <v>271</v>
      </c>
    </row>
    <row r="92" spans="1:10" ht="15" x14ac:dyDescent="0.25">
      <c r="A92" s="40">
        <v>88</v>
      </c>
      <c r="B92" s="62" t="s">
        <v>2645</v>
      </c>
      <c r="C92" s="62" t="s">
        <v>294</v>
      </c>
      <c r="D92" s="62" t="s">
        <v>2375</v>
      </c>
      <c r="E92" s="62" t="s">
        <v>2376</v>
      </c>
      <c r="F92" s="62">
        <v>100</v>
      </c>
      <c r="G92" s="62">
        <v>109.63500000000001</v>
      </c>
      <c r="H92" s="62" t="s">
        <v>2441</v>
      </c>
      <c r="I92" s="62" t="s">
        <v>2646</v>
      </c>
      <c r="J92" s="62" t="s">
        <v>271</v>
      </c>
    </row>
    <row r="93" spans="1:10" ht="15" x14ac:dyDescent="0.25">
      <c r="A93" s="40">
        <v>89</v>
      </c>
      <c r="B93" s="62" t="s">
        <v>2647</v>
      </c>
      <c r="C93" s="62" t="s">
        <v>296</v>
      </c>
      <c r="D93" s="62" t="s">
        <v>2375</v>
      </c>
      <c r="E93" s="62" t="s">
        <v>2376</v>
      </c>
      <c r="F93" s="62">
        <v>100</v>
      </c>
      <c r="G93" s="62">
        <v>108.2225</v>
      </c>
      <c r="H93" s="62" t="s">
        <v>2289</v>
      </c>
      <c r="I93" s="62" t="s">
        <v>2648</v>
      </c>
      <c r="J93" s="62" t="s">
        <v>271</v>
      </c>
    </row>
    <row r="94" spans="1:10" ht="15" x14ac:dyDescent="0.25">
      <c r="A94" s="40">
        <v>90</v>
      </c>
      <c r="B94" s="62" t="s">
        <v>2649</v>
      </c>
      <c r="C94" s="62" t="s">
        <v>298</v>
      </c>
      <c r="D94" s="62" t="s">
        <v>2375</v>
      </c>
      <c r="E94" s="62" t="s">
        <v>2376</v>
      </c>
      <c r="F94" s="62">
        <v>100</v>
      </c>
      <c r="G94" s="62">
        <v>109.6023</v>
      </c>
      <c r="H94" s="62" t="s">
        <v>2441</v>
      </c>
      <c r="I94" s="62" t="s">
        <v>2473</v>
      </c>
      <c r="J94" s="62" t="s">
        <v>271</v>
      </c>
    </row>
    <row r="95" spans="1:10" ht="15" x14ac:dyDescent="0.25">
      <c r="A95" s="40">
        <v>91</v>
      </c>
      <c r="B95" s="62" t="s">
        <v>2650</v>
      </c>
      <c r="C95" s="62" t="s">
        <v>300</v>
      </c>
      <c r="D95" s="62" t="s">
        <v>2375</v>
      </c>
      <c r="E95" s="62" t="s">
        <v>2376</v>
      </c>
      <c r="F95" s="62">
        <v>100</v>
      </c>
      <c r="G95" s="62">
        <v>102.7529</v>
      </c>
      <c r="H95" s="62" t="s">
        <v>2651</v>
      </c>
      <c r="I95" s="62" t="s">
        <v>2652</v>
      </c>
      <c r="J95" s="62" t="s">
        <v>271</v>
      </c>
    </row>
    <row r="96" spans="1:10" ht="15" x14ac:dyDescent="0.25">
      <c r="A96" s="40">
        <v>92</v>
      </c>
      <c r="B96" s="62" t="s">
        <v>2653</v>
      </c>
      <c r="C96" s="62" t="s">
        <v>302</v>
      </c>
      <c r="D96" s="62" t="s">
        <v>2375</v>
      </c>
      <c r="E96" s="62" t="s">
        <v>2376</v>
      </c>
      <c r="F96" s="62">
        <v>100</v>
      </c>
      <c r="G96" s="62">
        <v>105.878</v>
      </c>
      <c r="H96" s="62" t="s">
        <v>2290</v>
      </c>
      <c r="I96" s="62" t="s">
        <v>2654</v>
      </c>
      <c r="J96" s="62" t="s">
        <v>271</v>
      </c>
    </row>
    <row r="97" spans="1:10" ht="15" x14ac:dyDescent="0.25">
      <c r="A97" s="40">
        <v>93</v>
      </c>
      <c r="B97" s="62" t="s">
        <v>2655</v>
      </c>
      <c r="C97" s="62" t="s">
        <v>304</v>
      </c>
      <c r="D97" s="62" t="s">
        <v>2375</v>
      </c>
      <c r="E97" s="62" t="s">
        <v>2376</v>
      </c>
      <c r="F97" s="62">
        <v>100</v>
      </c>
      <c r="G97" s="62">
        <v>102.7529</v>
      </c>
      <c r="H97" s="62" t="s">
        <v>2651</v>
      </c>
      <c r="I97" s="62" t="s">
        <v>2652</v>
      </c>
      <c r="J97" s="62" t="s">
        <v>271</v>
      </c>
    </row>
    <row r="98" spans="1:10" ht="15" x14ac:dyDescent="0.25">
      <c r="A98" s="40">
        <v>94</v>
      </c>
      <c r="B98" s="62" t="s">
        <v>2656</v>
      </c>
      <c r="C98" s="62" t="s">
        <v>306</v>
      </c>
      <c r="D98" s="62" t="s">
        <v>2375</v>
      </c>
      <c r="E98" s="62" t="s">
        <v>2376</v>
      </c>
      <c r="F98" s="62">
        <v>100</v>
      </c>
      <c r="G98" s="62">
        <v>100.721</v>
      </c>
      <c r="H98" s="62" t="s">
        <v>2291</v>
      </c>
      <c r="I98" s="62" t="s">
        <v>2657</v>
      </c>
      <c r="J98" s="62" t="s">
        <v>271</v>
      </c>
    </row>
    <row r="99" spans="1:10" ht="15" x14ac:dyDescent="0.25">
      <c r="A99" s="40">
        <v>95</v>
      </c>
      <c r="B99" s="62" t="s">
        <v>2658</v>
      </c>
      <c r="C99" s="62" t="s">
        <v>308</v>
      </c>
      <c r="D99" s="62" t="s">
        <v>2375</v>
      </c>
      <c r="E99" s="62" t="s">
        <v>2376</v>
      </c>
      <c r="F99" s="62">
        <v>100</v>
      </c>
      <c r="G99" s="62">
        <v>103.7033</v>
      </c>
      <c r="H99" s="62" t="s">
        <v>2442</v>
      </c>
      <c r="I99" s="62" t="s">
        <v>2659</v>
      </c>
      <c r="J99" s="62" t="s">
        <v>271</v>
      </c>
    </row>
    <row r="100" spans="1:10" ht="15" x14ac:dyDescent="0.25">
      <c r="A100" s="40">
        <v>96</v>
      </c>
      <c r="B100" s="62" t="s">
        <v>2660</v>
      </c>
      <c r="C100" s="62" t="s">
        <v>310</v>
      </c>
      <c r="D100" s="62" t="s">
        <v>2375</v>
      </c>
      <c r="E100" s="62" t="s">
        <v>2376</v>
      </c>
      <c r="F100" s="62">
        <v>100</v>
      </c>
      <c r="G100" s="62">
        <v>100.7538</v>
      </c>
      <c r="H100" s="62" t="s">
        <v>2294</v>
      </c>
      <c r="I100" s="62" t="s">
        <v>2661</v>
      </c>
      <c r="J100" s="62" t="s">
        <v>271</v>
      </c>
    </row>
    <row r="101" spans="1:10" ht="15" x14ac:dyDescent="0.25">
      <c r="A101" s="40">
        <v>97</v>
      </c>
      <c r="B101" s="62" t="s">
        <v>2662</v>
      </c>
      <c r="C101" s="62" t="s">
        <v>312</v>
      </c>
      <c r="D101" s="62" t="s">
        <v>2375</v>
      </c>
      <c r="E101" s="62" t="s">
        <v>2376</v>
      </c>
      <c r="F101" s="62">
        <v>100</v>
      </c>
      <c r="G101" s="62">
        <v>105.7024</v>
      </c>
      <c r="H101" s="62" t="s">
        <v>2292</v>
      </c>
      <c r="I101" s="62" t="s">
        <v>2663</v>
      </c>
      <c r="J101" s="62" t="s">
        <v>271</v>
      </c>
    </row>
    <row r="102" spans="1:10" ht="15" x14ac:dyDescent="0.25">
      <c r="A102" s="40">
        <v>98</v>
      </c>
      <c r="B102" s="62" t="s">
        <v>2664</v>
      </c>
      <c r="C102" s="62" t="s">
        <v>314</v>
      </c>
      <c r="D102" s="62" t="s">
        <v>2375</v>
      </c>
      <c r="E102" s="62" t="s">
        <v>2376</v>
      </c>
      <c r="F102" s="62">
        <v>100</v>
      </c>
      <c r="G102" s="62">
        <v>101.7697</v>
      </c>
      <c r="H102" s="62" t="s">
        <v>2293</v>
      </c>
      <c r="I102" s="62" t="s">
        <v>2665</v>
      </c>
      <c r="J102" s="62" t="s">
        <v>271</v>
      </c>
    </row>
    <row r="103" spans="1:10" ht="15" x14ac:dyDescent="0.25">
      <c r="A103" s="40">
        <v>99</v>
      </c>
      <c r="B103" s="62" t="s">
        <v>2666</v>
      </c>
      <c r="C103" s="62" t="s">
        <v>316</v>
      </c>
      <c r="D103" s="62" t="s">
        <v>2375</v>
      </c>
      <c r="E103" s="62" t="s">
        <v>2376</v>
      </c>
      <c r="F103" s="62">
        <v>100</v>
      </c>
      <c r="G103" s="62">
        <v>101.73690000000001</v>
      </c>
      <c r="H103" s="62" t="s">
        <v>2291</v>
      </c>
      <c r="I103" s="62" t="s">
        <v>2667</v>
      </c>
      <c r="J103" s="62" t="s">
        <v>271</v>
      </c>
    </row>
    <row r="104" spans="1:10" ht="15" x14ac:dyDescent="0.25">
      <c r="A104" s="40">
        <v>100</v>
      </c>
      <c r="B104" s="62" t="s">
        <v>2668</v>
      </c>
      <c r="C104" s="62" t="s">
        <v>318</v>
      </c>
      <c r="D104" s="62" t="s">
        <v>2375</v>
      </c>
      <c r="E104" s="62" t="s">
        <v>2376</v>
      </c>
      <c r="F104" s="62">
        <v>100</v>
      </c>
      <c r="G104" s="62">
        <v>108.7174</v>
      </c>
      <c r="H104" s="62" t="s">
        <v>2413</v>
      </c>
      <c r="I104" s="62" t="s">
        <v>2669</v>
      </c>
      <c r="J104" s="62" t="s">
        <v>271</v>
      </c>
    </row>
    <row r="105" spans="1:10" ht="15" x14ac:dyDescent="0.25">
      <c r="A105" s="40">
        <v>101</v>
      </c>
      <c r="B105" s="62" t="s">
        <v>2670</v>
      </c>
      <c r="C105" s="62" t="s">
        <v>320</v>
      </c>
      <c r="D105" s="62" t="s">
        <v>2375</v>
      </c>
      <c r="E105" s="62" t="s">
        <v>2376</v>
      </c>
      <c r="F105" s="62">
        <v>100</v>
      </c>
      <c r="G105" s="62">
        <v>105.80070000000001</v>
      </c>
      <c r="H105" s="62" t="s">
        <v>2288</v>
      </c>
      <c r="I105" s="62" t="s">
        <v>2671</v>
      </c>
      <c r="J105" s="62" t="s">
        <v>271</v>
      </c>
    </row>
    <row r="106" spans="1:10" ht="15" x14ac:dyDescent="0.25">
      <c r="A106" s="40">
        <v>102</v>
      </c>
      <c r="B106" s="62" t="s">
        <v>2672</v>
      </c>
      <c r="C106" s="62" t="s">
        <v>322</v>
      </c>
      <c r="D106" s="62" t="s">
        <v>2375</v>
      </c>
      <c r="E106" s="62" t="s">
        <v>2376</v>
      </c>
      <c r="F106" s="62">
        <v>100</v>
      </c>
      <c r="G106" s="62">
        <v>111.6341</v>
      </c>
      <c r="H106" s="62" t="s">
        <v>2452</v>
      </c>
      <c r="I106" s="62" t="s">
        <v>2673</v>
      </c>
      <c r="J106" s="62" t="s">
        <v>271</v>
      </c>
    </row>
    <row r="107" spans="1:10" ht="15" x14ac:dyDescent="0.25">
      <c r="A107" s="40">
        <v>103</v>
      </c>
      <c r="B107" s="62" t="s">
        <v>2674</v>
      </c>
      <c r="C107" s="62" t="s">
        <v>324</v>
      </c>
      <c r="D107" s="62" t="s">
        <v>2375</v>
      </c>
      <c r="E107" s="62" t="s">
        <v>2376</v>
      </c>
      <c r="F107" s="62">
        <v>100</v>
      </c>
      <c r="G107" s="62">
        <v>102.68729999999999</v>
      </c>
      <c r="H107" s="62" t="s">
        <v>2293</v>
      </c>
      <c r="I107" s="62" t="s">
        <v>2675</v>
      </c>
      <c r="J107" s="62" t="s">
        <v>271</v>
      </c>
    </row>
    <row r="108" spans="1:10" ht="15" x14ac:dyDescent="0.25">
      <c r="A108" s="40">
        <v>104</v>
      </c>
      <c r="B108" s="62" t="s">
        <v>2676</v>
      </c>
      <c r="C108" s="62" t="s">
        <v>326</v>
      </c>
      <c r="D108" s="62" t="s">
        <v>2375</v>
      </c>
      <c r="E108" s="62" t="s">
        <v>2376</v>
      </c>
      <c r="F108" s="62">
        <v>100</v>
      </c>
      <c r="G108" s="62">
        <v>111.6341</v>
      </c>
      <c r="H108" s="62" t="s">
        <v>2452</v>
      </c>
      <c r="I108" s="62" t="s">
        <v>2677</v>
      </c>
      <c r="J108" s="62" t="s">
        <v>271</v>
      </c>
    </row>
    <row r="109" spans="1:10" ht="15" x14ac:dyDescent="0.25">
      <c r="A109" s="40">
        <v>105</v>
      </c>
      <c r="B109" s="62" t="s">
        <v>2678</v>
      </c>
      <c r="C109" s="62" t="s">
        <v>328</v>
      </c>
      <c r="D109" s="62" t="s">
        <v>2375</v>
      </c>
      <c r="E109" s="62" t="s">
        <v>2376</v>
      </c>
      <c r="F109" s="62">
        <v>100</v>
      </c>
      <c r="G109" s="62">
        <v>107.6032</v>
      </c>
      <c r="H109" s="62" t="s">
        <v>2292</v>
      </c>
      <c r="I109" s="62" t="s">
        <v>2679</v>
      </c>
      <c r="J109" s="62" t="s">
        <v>271</v>
      </c>
    </row>
    <row r="110" spans="1:10" ht="15" x14ac:dyDescent="0.25">
      <c r="A110" s="40">
        <v>106</v>
      </c>
      <c r="B110" s="62" t="s">
        <v>2680</v>
      </c>
      <c r="C110" s="62" t="s">
        <v>330</v>
      </c>
      <c r="D110" s="62" t="s">
        <v>2375</v>
      </c>
      <c r="E110" s="62" t="s">
        <v>2376</v>
      </c>
      <c r="F110" s="62">
        <v>100</v>
      </c>
      <c r="G110" s="62">
        <v>101.73690000000001</v>
      </c>
      <c r="H110" s="62" t="s">
        <v>2293</v>
      </c>
      <c r="I110" s="62" t="s">
        <v>2474</v>
      </c>
      <c r="J110" s="62" t="s">
        <v>271</v>
      </c>
    </row>
    <row r="111" spans="1:10" ht="15" x14ac:dyDescent="0.25">
      <c r="A111" s="40">
        <v>107</v>
      </c>
      <c r="B111" s="62" t="s">
        <v>2681</v>
      </c>
      <c r="C111" s="62" t="s">
        <v>332</v>
      </c>
      <c r="D111" s="62" t="s">
        <v>2375</v>
      </c>
      <c r="E111" s="62" t="s">
        <v>2376</v>
      </c>
      <c r="F111" s="62">
        <v>100</v>
      </c>
      <c r="G111" s="62">
        <v>106.6855</v>
      </c>
      <c r="H111" s="62" t="s">
        <v>2291</v>
      </c>
      <c r="I111" s="62" t="s">
        <v>2682</v>
      </c>
      <c r="J111" s="62" t="s">
        <v>271</v>
      </c>
    </row>
    <row r="112" spans="1:10" ht="15" x14ac:dyDescent="0.25">
      <c r="A112" s="40">
        <v>108</v>
      </c>
      <c r="B112" s="62" t="s">
        <v>2683</v>
      </c>
      <c r="C112" s="62" t="s">
        <v>334</v>
      </c>
      <c r="D112" s="62" t="s">
        <v>2375</v>
      </c>
      <c r="E112" s="62" t="s">
        <v>2376</v>
      </c>
      <c r="F112" s="62">
        <v>100</v>
      </c>
      <c r="G112" s="62">
        <v>110.58540000000001</v>
      </c>
      <c r="H112" s="62" t="s">
        <v>2294</v>
      </c>
      <c r="I112" s="62" t="s">
        <v>2684</v>
      </c>
      <c r="J112" s="62" t="s">
        <v>271</v>
      </c>
    </row>
    <row r="113" spans="1:10" ht="15" x14ac:dyDescent="0.25">
      <c r="A113" s="40">
        <v>109</v>
      </c>
      <c r="B113" s="62" t="s">
        <v>2685</v>
      </c>
      <c r="C113" s="62" t="s">
        <v>336</v>
      </c>
      <c r="D113" s="62" t="s">
        <v>2375</v>
      </c>
      <c r="E113" s="62" t="s">
        <v>2376</v>
      </c>
      <c r="F113" s="62">
        <v>100</v>
      </c>
      <c r="G113" s="62">
        <v>110.651</v>
      </c>
      <c r="H113" s="62" t="s">
        <v>2294</v>
      </c>
      <c r="I113" s="62" t="s">
        <v>2686</v>
      </c>
      <c r="J113" s="62" t="s">
        <v>271</v>
      </c>
    </row>
    <row r="114" spans="1:10" ht="15" x14ac:dyDescent="0.25">
      <c r="A114" s="40">
        <v>110</v>
      </c>
      <c r="B114" s="62" t="s">
        <v>2687</v>
      </c>
      <c r="C114" s="62" t="s">
        <v>338</v>
      </c>
      <c r="D114" s="62" t="s">
        <v>2375</v>
      </c>
      <c r="E114" s="62" t="s">
        <v>2376</v>
      </c>
      <c r="F114" s="62">
        <v>100</v>
      </c>
      <c r="G114" s="62">
        <v>107.63590000000001</v>
      </c>
      <c r="H114" s="62" t="s">
        <v>2295</v>
      </c>
      <c r="I114" s="62" t="s">
        <v>2688</v>
      </c>
      <c r="J114" s="62" t="s">
        <v>271</v>
      </c>
    </row>
    <row r="115" spans="1:10" ht="15" x14ac:dyDescent="0.25">
      <c r="A115" s="40">
        <v>111</v>
      </c>
      <c r="B115" s="62" t="s">
        <v>2689</v>
      </c>
      <c r="C115" s="62" t="s">
        <v>137</v>
      </c>
      <c r="D115" s="62" t="s">
        <v>2375</v>
      </c>
      <c r="E115" s="62" t="s">
        <v>2376</v>
      </c>
      <c r="F115" s="62">
        <v>91.042900000000003</v>
      </c>
      <c r="G115" s="62">
        <v>93.729600000000005</v>
      </c>
      <c r="H115" s="62" t="s">
        <v>2690</v>
      </c>
      <c r="I115" s="62" t="s">
        <v>2691</v>
      </c>
      <c r="J115" s="62" t="s">
        <v>271</v>
      </c>
    </row>
    <row r="116" spans="1:10" ht="15" x14ac:dyDescent="0.25">
      <c r="A116" s="40">
        <v>112</v>
      </c>
      <c r="B116" s="62" t="s">
        <v>2692</v>
      </c>
      <c r="C116" s="62" t="s">
        <v>139</v>
      </c>
      <c r="D116" s="62" t="s">
        <v>2375</v>
      </c>
      <c r="E116" s="62" t="s">
        <v>2376</v>
      </c>
      <c r="F116" s="62">
        <v>96.150899999999993</v>
      </c>
      <c r="G116" s="62">
        <v>103.3334</v>
      </c>
      <c r="H116" s="62" t="s">
        <v>2693</v>
      </c>
      <c r="I116" s="62" t="s">
        <v>2694</v>
      </c>
      <c r="J116" s="62" t="s">
        <v>271</v>
      </c>
    </row>
    <row r="117" spans="1:10" ht="15" x14ac:dyDescent="0.25">
      <c r="A117" s="40">
        <v>113</v>
      </c>
      <c r="B117" s="62" t="s">
        <v>2695</v>
      </c>
      <c r="C117" s="62" t="s">
        <v>141</v>
      </c>
      <c r="D117" s="62" t="s">
        <v>2375</v>
      </c>
      <c r="E117" s="62" t="s">
        <v>2376</v>
      </c>
      <c r="F117" s="62">
        <v>85.503900000000002</v>
      </c>
      <c r="G117" s="62">
        <v>91.003900000000002</v>
      </c>
      <c r="H117" s="62" t="s">
        <v>2450</v>
      </c>
      <c r="I117" s="62" t="s">
        <v>2696</v>
      </c>
      <c r="J117" s="62" t="s">
        <v>271</v>
      </c>
    </row>
    <row r="118" spans="1:10" ht="15" x14ac:dyDescent="0.25">
      <c r="A118" s="40">
        <v>114</v>
      </c>
      <c r="B118" s="62" t="s">
        <v>2697</v>
      </c>
      <c r="C118" s="62" t="s">
        <v>6</v>
      </c>
      <c r="D118" s="62" t="s">
        <v>2375</v>
      </c>
      <c r="E118" s="62" t="s">
        <v>2376</v>
      </c>
      <c r="F118" s="62">
        <v>87.174700000000001</v>
      </c>
      <c r="G118" s="62">
        <v>90.930300000000003</v>
      </c>
      <c r="H118" s="62" t="s">
        <v>2693</v>
      </c>
      <c r="I118" s="62" t="s">
        <v>2698</v>
      </c>
      <c r="J118" s="62" t="s">
        <v>271</v>
      </c>
    </row>
    <row r="119" spans="1:10" ht="15" x14ac:dyDescent="0.25">
      <c r="A119" s="40">
        <v>115</v>
      </c>
      <c r="B119" s="62" t="s">
        <v>2699</v>
      </c>
      <c r="C119" s="62" t="s">
        <v>144</v>
      </c>
      <c r="D119" s="62" t="s">
        <v>2375</v>
      </c>
      <c r="E119" s="62" t="s">
        <v>2376</v>
      </c>
      <c r="F119" s="62">
        <v>83.468100000000007</v>
      </c>
      <c r="G119" s="62">
        <v>89.468100000000007</v>
      </c>
      <c r="H119" s="62" t="s">
        <v>2454</v>
      </c>
      <c r="I119" s="62" t="s">
        <v>2700</v>
      </c>
      <c r="J119" s="62" t="s">
        <v>271</v>
      </c>
    </row>
    <row r="120" spans="1:10" ht="15" x14ac:dyDescent="0.25">
      <c r="A120" s="40">
        <v>116</v>
      </c>
      <c r="B120" s="62" t="s">
        <v>2701</v>
      </c>
      <c r="C120" s="62" t="s">
        <v>2066</v>
      </c>
      <c r="D120" s="62" t="s">
        <v>2375</v>
      </c>
      <c r="E120" s="62" t="s">
        <v>2376</v>
      </c>
      <c r="F120" s="62">
        <v>91.561300000000003</v>
      </c>
      <c r="G120" s="62">
        <v>98.293499999999995</v>
      </c>
      <c r="H120" s="62" t="s">
        <v>2453</v>
      </c>
      <c r="I120" s="62" t="s">
        <v>2702</v>
      </c>
      <c r="J120" s="62" t="s">
        <v>271</v>
      </c>
    </row>
    <row r="121" spans="1:10" ht="15" x14ac:dyDescent="0.25">
      <c r="A121" s="40">
        <v>117</v>
      </c>
      <c r="B121" s="62" t="s">
        <v>2703</v>
      </c>
      <c r="C121" s="62" t="s">
        <v>146</v>
      </c>
      <c r="D121" s="62" t="s">
        <v>2375</v>
      </c>
      <c r="E121" s="62" t="s">
        <v>2376</v>
      </c>
      <c r="F121" s="62">
        <v>85.350999999999999</v>
      </c>
      <c r="G121" s="62">
        <v>93.930599999999998</v>
      </c>
      <c r="H121" s="62" t="s">
        <v>2449</v>
      </c>
      <c r="I121" s="62" t="s">
        <v>2704</v>
      </c>
      <c r="J121" s="62" t="s">
        <v>271</v>
      </c>
    </row>
    <row r="122" spans="1:10" ht="15" x14ac:dyDescent="0.25">
      <c r="A122" s="40">
        <v>118</v>
      </c>
      <c r="B122" s="62" t="s">
        <v>2705</v>
      </c>
      <c r="C122" s="62" t="s">
        <v>8</v>
      </c>
      <c r="D122" s="62" t="s">
        <v>2375</v>
      </c>
      <c r="E122" s="62" t="s">
        <v>2376</v>
      </c>
      <c r="F122" s="62">
        <v>83.120900000000006</v>
      </c>
      <c r="G122" s="62">
        <v>83.824200000000005</v>
      </c>
      <c r="H122" s="62" t="s">
        <v>2450</v>
      </c>
      <c r="I122" s="62" t="s">
        <v>2706</v>
      </c>
      <c r="J122" s="62" t="s">
        <v>271</v>
      </c>
    </row>
    <row r="123" spans="1:10" ht="15" x14ac:dyDescent="0.25">
      <c r="A123" s="40">
        <v>119</v>
      </c>
      <c r="B123" s="62" t="s">
        <v>2707</v>
      </c>
      <c r="C123" s="62" t="s">
        <v>149</v>
      </c>
      <c r="D123" s="62" t="s">
        <v>2375</v>
      </c>
      <c r="E123" s="62" t="s">
        <v>2376</v>
      </c>
      <c r="F123" s="62">
        <v>82.659700000000001</v>
      </c>
      <c r="G123" s="62">
        <v>88.709699999999998</v>
      </c>
      <c r="H123" s="62" t="s">
        <v>2454</v>
      </c>
      <c r="I123" s="62" t="s">
        <v>2708</v>
      </c>
      <c r="J123" s="62" t="s">
        <v>271</v>
      </c>
    </row>
    <row r="124" spans="1:10" ht="15" x14ac:dyDescent="0.25">
      <c r="A124" s="40">
        <v>120</v>
      </c>
      <c r="B124" s="62" t="s">
        <v>2709</v>
      </c>
      <c r="C124" s="62" t="s">
        <v>151</v>
      </c>
      <c r="D124" s="62" t="s">
        <v>2375</v>
      </c>
      <c r="E124" s="62" t="s">
        <v>2376</v>
      </c>
      <c r="F124" s="62">
        <v>90.170500000000004</v>
      </c>
      <c r="G124" s="62">
        <v>94.059399999999997</v>
      </c>
      <c r="H124" s="62" t="s">
        <v>2455</v>
      </c>
      <c r="I124" s="62" t="s">
        <v>2710</v>
      </c>
      <c r="J124" s="62" t="s">
        <v>271</v>
      </c>
    </row>
    <row r="125" spans="1:10" ht="15" x14ac:dyDescent="0.25">
      <c r="A125" s="40">
        <v>121</v>
      </c>
      <c r="B125" s="62" t="s">
        <v>2711</v>
      </c>
      <c r="C125" s="62" t="s">
        <v>2243</v>
      </c>
      <c r="D125" s="62" t="s">
        <v>2375</v>
      </c>
      <c r="E125" s="62" t="s">
        <v>2376</v>
      </c>
      <c r="F125" s="62">
        <v>90.158000000000001</v>
      </c>
      <c r="G125" s="62">
        <v>93.248699999999999</v>
      </c>
      <c r="H125" s="62" t="s">
        <v>2454</v>
      </c>
      <c r="I125" s="62" t="s">
        <v>2712</v>
      </c>
      <c r="J125" s="62" t="s">
        <v>271</v>
      </c>
    </row>
    <row r="126" spans="1:10" ht="15" x14ac:dyDescent="0.25">
      <c r="A126" s="40">
        <v>122</v>
      </c>
      <c r="B126" s="62" t="s">
        <v>2713</v>
      </c>
      <c r="C126" s="62" t="s">
        <v>153</v>
      </c>
      <c r="D126" s="62" t="s">
        <v>2375</v>
      </c>
      <c r="E126" s="62" t="s">
        <v>2376</v>
      </c>
      <c r="F126" s="62">
        <v>94.372100000000003</v>
      </c>
      <c r="G126" s="62">
        <v>95.610699999999994</v>
      </c>
      <c r="H126" s="62" t="s">
        <v>2714</v>
      </c>
      <c r="I126" s="62" t="s">
        <v>2715</v>
      </c>
      <c r="J126" s="62" t="s">
        <v>271</v>
      </c>
    </row>
    <row r="127" spans="1:10" ht="15" x14ac:dyDescent="0.25">
      <c r="A127" s="40">
        <v>123</v>
      </c>
      <c r="B127" s="62" t="s">
        <v>2716</v>
      </c>
      <c r="C127" s="62" t="s">
        <v>7</v>
      </c>
      <c r="D127" s="62" t="s">
        <v>2375</v>
      </c>
      <c r="E127" s="62" t="s">
        <v>2376</v>
      </c>
      <c r="F127" s="62">
        <v>85.156999999999996</v>
      </c>
      <c r="G127" s="62">
        <v>89.495900000000006</v>
      </c>
      <c r="H127" s="62" t="s">
        <v>2450</v>
      </c>
      <c r="I127" s="62" t="s">
        <v>2717</v>
      </c>
      <c r="J127" s="62" t="s">
        <v>271</v>
      </c>
    </row>
    <row r="128" spans="1:10" ht="15" x14ac:dyDescent="0.25">
      <c r="A128" s="40">
        <v>124</v>
      </c>
      <c r="B128" s="62" t="s">
        <v>2718</v>
      </c>
      <c r="C128" s="62" t="s">
        <v>156</v>
      </c>
      <c r="D128" s="62" t="s">
        <v>2375</v>
      </c>
      <c r="E128" s="62" t="s">
        <v>2376</v>
      </c>
      <c r="F128" s="62">
        <v>89.162700000000001</v>
      </c>
      <c r="G128" s="62">
        <v>92.779399999999995</v>
      </c>
      <c r="H128" s="62" t="s">
        <v>2453</v>
      </c>
      <c r="I128" s="62" t="s">
        <v>2719</v>
      </c>
      <c r="J128" s="62" t="s">
        <v>271</v>
      </c>
    </row>
    <row r="129" spans="1:10" ht="15" x14ac:dyDescent="0.25">
      <c r="A129" s="40">
        <v>125</v>
      </c>
      <c r="B129" s="62" t="s">
        <v>2720</v>
      </c>
      <c r="C129" s="62" t="s">
        <v>2068</v>
      </c>
      <c r="D129" s="62" t="s">
        <v>2375</v>
      </c>
      <c r="E129" s="62" t="s">
        <v>2376</v>
      </c>
      <c r="F129" s="62">
        <v>89.858999999999995</v>
      </c>
      <c r="G129" s="62">
        <v>96.545100000000005</v>
      </c>
      <c r="H129" s="62" t="s">
        <v>2453</v>
      </c>
      <c r="I129" s="62" t="s">
        <v>2721</v>
      </c>
      <c r="J129" s="62" t="s">
        <v>271</v>
      </c>
    </row>
    <row r="130" spans="1:10" ht="15" x14ac:dyDescent="0.25">
      <c r="A130" s="40">
        <v>126</v>
      </c>
      <c r="B130" s="62" t="s">
        <v>2722</v>
      </c>
      <c r="C130" s="62" t="s">
        <v>158</v>
      </c>
      <c r="D130" s="62" t="s">
        <v>2375</v>
      </c>
      <c r="E130" s="62" t="s">
        <v>2376</v>
      </c>
      <c r="F130" s="62">
        <v>90.180499999999995</v>
      </c>
      <c r="G130" s="62">
        <v>94.330500000000001</v>
      </c>
      <c r="H130" s="62" t="s">
        <v>2723</v>
      </c>
      <c r="I130" s="62" t="s">
        <v>2724</v>
      </c>
      <c r="J130" s="62" t="s">
        <v>271</v>
      </c>
    </row>
    <row r="131" spans="1:10" ht="15" x14ac:dyDescent="0.25">
      <c r="A131" s="40">
        <v>127</v>
      </c>
      <c r="B131" s="62" t="s">
        <v>2725</v>
      </c>
      <c r="C131" s="62" t="s">
        <v>160</v>
      </c>
      <c r="D131" s="62" t="s">
        <v>2375</v>
      </c>
      <c r="E131" s="62" t="s">
        <v>2376</v>
      </c>
      <c r="F131" s="62">
        <v>88.450299999999999</v>
      </c>
      <c r="G131" s="62">
        <v>89.675299999999993</v>
      </c>
      <c r="H131" s="62" t="s">
        <v>2726</v>
      </c>
      <c r="I131" s="62" t="s">
        <v>2727</v>
      </c>
      <c r="J131" s="62" t="s">
        <v>271</v>
      </c>
    </row>
    <row r="132" spans="1:10" ht="15" x14ac:dyDescent="0.25">
      <c r="A132" s="40">
        <v>128</v>
      </c>
      <c r="B132" s="62" t="s">
        <v>2728</v>
      </c>
      <c r="C132" s="62" t="s">
        <v>9</v>
      </c>
      <c r="D132" s="62" t="s">
        <v>2375</v>
      </c>
      <c r="E132" s="62" t="s">
        <v>2376</v>
      </c>
      <c r="F132" s="62">
        <v>77.587000000000003</v>
      </c>
      <c r="G132" s="62">
        <v>82.021699999999996</v>
      </c>
      <c r="H132" s="62" t="s">
        <v>2455</v>
      </c>
      <c r="I132" s="62" t="s">
        <v>2729</v>
      </c>
      <c r="J132" s="62" t="s">
        <v>271</v>
      </c>
    </row>
    <row r="133" spans="1:10" ht="15" x14ac:dyDescent="0.25">
      <c r="A133" s="40">
        <v>129</v>
      </c>
      <c r="B133" s="62" t="s">
        <v>2730</v>
      </c>
      <c r="C133" s="62" t="s">
        <v>2041</v>
      </c>
      <c r="D133" s="62" t="s">
        <v>2375</v>
      </c>
      <c r="E133" s="62" t="s">
        <v>2376</v>
      </c>
      <c r="F133" s="62">
        <v>86.991100000000003</v>
      </c>
      <c r="G133" s="62">
        <v>94.341099999999997</v>
      </c>
      <c r="H133" s="62" t="s">
        <v>2731</v>
      </c>
      <c r="I133" s="62" t="s">
        <v>2732</v>
      </c>
      <c r="J133" s="62" t="s">
        <v>271</v>
      </c>
    </row>
    <row r="134" spans="1:10" ht="15" x14ac:dyDescent="0.25">
      <c r="A134" s="40">
        <v>130</v>
      </c>
      <c r="B134" s="62" t="s">
        <v>2733</v>
      </c>
      <c r="C134" s="62" t="s">
        <v>11</v>
      </c>
      <c r="D134" s="62" t="s">
        <v>2375</v>
      </c>
      <c r="E134" s="62" t="s">
        <v>2376</v>
      </c>
      <c r="F134" s="62">
        <v>75.971400000000003</v>
      </c>
      <c r="G134" s="62">
        <v>76.740600000000001</v>
      </c>
      <c r="H134" s="62" t="s">
        <v>2453</v>
      </c>
      <c r="I134" s="62" t="s">
        <v>2734</v>
      </c>
      <c r="J134" s="62" t="s">
        <v>271</v>
      </c>
    </row>
    <row r="135" spans="1:10" ht="15" x14ac:dyDescent="0.25">
      <c r="A135" s="40">
        <v>131</v>
      </c>
      <c r="B135" s="62" t="s">
        <v>2735</v>
      </c>
      <c r="C135" s="62" t="s">
        <v>164</v>
      </c>
      <c r="D135" s="62" t="s">
        <v>2375</v>
      </c>
      <c r="E135" s="62" t="s">
        <v>2376</v>
      </c>
      <c r="F135" s="62">
        <v>74.251099999999994</v>
      </c>
      <c r="G135" s="62">
        <v>84.9114</v>
      </c>
      <c r="H135" s="62" t="s">
        <v>2454</v>
      </c>
      <c r="I135" s="62" t="s">
        <v>2736</v>
      </c>
      <c r="J135" s="62" t="s">
        <v>271</v>
      </c>
    </row>
    <row r="136" spans="1:10" ht="15" x14ac:dyDescent="0.25">
      <c r="A136" s="40">
        <v>132</v>
      </c>
      <c r="B136" s="62" t="s">
        <v>2737</v>
      </c>
      <c r="C136" s="62" t="s">
        <v>166</v>
      </c>
      <c r="D136" s="62" t="s">
        <v>2375</v>
      </c>
      <c r="E136" s="62" t="s">
        <v>2376</v>
      </c>
      <c r="F136" s="62">
        <v>86.383399999999995</v>
      </c>
      <c r="G136" s="62">
        <v>87.669899999999998</v>
      </c>
      <c r="H136" s="62" t="s">
        <v>2738</v>
      </c>
      <c r="I136" s="62" t="s">
        <v>2553</v>
      </c>
      <c r="J136" s="62" t="s">
        <v>271</v>
      </c>
    </row>
    <row r="137" spans="1:10" ht="15" x14ac:dyDescent="0.25">
      <c r="A137" s="40">
        <v>133</v>
      </c>
      <c r="B137" s="62" t="s">
        <v>2739</v>
      </c>
      <c r="C137" s="62" t="s">
        <v>168</v>
      </c>
      <c r="D137" s="62" t="s">
        <v>2375</v>
      </c>
      <c r="E137" s="62" t="s">
        <v>2376</v>
      </c>
      <c r="F137" s="62">
        <v>70.740700000000004</v>
      </c>
      <c r="G137" s="62">
        <v>73.132000000000005</v>
      </c>
      <c r="H137" s="62" t="s">
        <v>2453</v>
      </c>
      <c r="I137" s="62" t="s">
        <v>2740</v>
      </c>
      <c r="J137" s="62" t="s">
        <v>271</v>
      </c>
    </row>
    <row r="138" spans="1:10" ht="15" x14ac:dyDescent="0.25">
      <c r="A138" s="40">
        <v>134</v>
      </c>
      <c r="B138" s="62" t="s">
        <v>2741</v>
      </c>
      <c r="C138" s="62" t="s">
        <v>170</v>
      </c>
      <c r="D138" s="62" t="s">
        <v>2375</v>
      </c>
      <c r="E138" s="62" t="s">
        <v>2376</v>
      </c>
      <c r="F138" s="62">
        <v>70.768000000000001</v>
      </c>
      <c r="G138" s="62">
        <v>75.968599999999995</v>
      </c>
      <c r="H138" s="62" t="s">
        <v>2731</v>
      </c>
      <c r="I138" s="62" t="s">
        <v>2742</v>
      </c>
      <c r="J138" s="62" t="s">
        <v>271</v>
      </c>
    </row>
    <row r="139" spans="1:10" ht="15" x14ac:dyDescent="0.25">
      <c r="A139" s="40">
        <v>135</v>
      </c>
      <c r="B139" s="62" t="s">
        <v>2743</v>
      </c>
      <c r="C139" s="62" t="s">
        <v>2215</v>
      </c>
      <c r="D139" s="62" t="s">
        <v>2375</v>
      </c>
      <c r="E139" s="62" t="s">
        <v>2376</v>
      </c>
      <c r="F139" s="62">
        <v>86.120999999999995</v>
      </c>
      <c r="G139" s="62">
        <v>89.646000000000001</v>
      </c>
      <c r="H139" s="62" t="s">
        <v>2454</v>
      </c>
      <c r="I139" s="62" t="s">
        <v>2744</v>
      </c>
      <c r="J139" s="62" t="s">
        <v>271</v>
      </c>
    </row>
    <row r="140" spans="1:10" ht="15" x14ac:dyDescent="0.25">
      <c r="A140" s="40">
        <v>136</v>
      </c>
      <c r="B140" s="62" t="s">
        <v>2745</v>
      </c>
      <c r="C140" s="62" t="s">
        <v>172</v>
      </c>
      <c r="D140" s="62" t="s">
        <v>2375</v>
      </c>
      <c r="E140" s="62" t="s">
        <v>2376</v>
      </c>
      <c r="F140" s="62">
        <v>98.822900000000004</v>
      </c>
      <c r="G140" s="62">
        <v>103.38639999999999</v>
      </c>
      <c r="H140" s="62" t="s">
        <v>2746</v>
      </c>
      <c r="I140" s="62" t="s">
        <v>2747</v>
      </c>
      <c r="J140" s="62" t="s">
        <v>271</v>
      </c>
    </row>
    <row r="141" spans="1:10" ht="15" x14ac:dyDescent="0.25">
      <c r="A141" s="40">
        <v>137</v>
      </c>
      <c r="B141" s="62" t="s">
        <v>2748</v>
      </c>
      <c r="C141" s="62" t="s">
        <v>174</v>
      </c>
      <c r="D141" s="62" t="s">
        <v>2375</v>
      </c>
      <c r="E141" s="62" t="s">
        <v>2376</v>
      </c>
      <c r="F141" s="62">
        <v>97.544200000000004</v>
      </c>
      <c r="G141" s="62">
        <v>101.3775</v>
      </c>
      <c r="H141" s="62" t="s">
        <v>2749</v>
      </c>
      <c r="I141" s="62" t="s">
        <v>2750</v>
      </c>
      <c r="J141" s="62" t="s">
        <v>271</v>
      </c>
    </row>
    <row r="142" spans="1:10" ht="15" x14ac:dyDescent="0.25">
      <c r="A142" s="40">
        <v>138</v>
      </c>
      <c r="B142" s="62" t="s">
        <v>2751</v>
      </c>
      <c r="C142" s="62" t="s">
        <v>10</v>
      </c>
      <c r="D142" s="62" t="s">
        <v>2375</v>
      </c>
      <c r="E142" s="62" t="s">
        <v>2376</v>
      </c>
      <c r="F142" s="62">
        <v>67.969300000000004</v>
      </c>
      <c r="G142" s="62">
        <v>70.9268</v>
      </c>
      <c r="H142" s="62" t="s">
        <v>2454</v>
      </c>
      <c r="I142" s="62" t="s">
        <v>2752</v>
      </c>
      <c r="J142" s="62" t="s">
        <v>271</v>
      </c>
    </row>
    <row r="143" spans="1:10" ht="15" x14ac:dyDescent="0.25">
      <c r="A143" s="40">
        <v>139</v>
      </c>
      <c r="B143" s="62" t="s">
        <v>2753</v>
      </c>
      <c r="C143" s="62" t="s">
        <v>177</v>
      </c>
      <c r="D143" s="62" t="s">
        <v>2375</v>
      </c>
      <c r="E143" s="62" t="s">
        <v>2376</v>
      </c>
      <c r="F143" s="62">
        <v>69.8142</v>
      </c>
      <c r="G143" s="62">
        <v>74.426699999999997</v>
      </c>
      <c r="H143" s="62" t="s">
        <v>2454</v>
      </c>
      <c r="I143" s="62" t="s">
        <v>2754</v>
      </c>
      <c r="J143" s="62" t="s">
        <v>271</v>
      </c>
    </row>
    <row r="144" spans="1:10" ht="15" x14ac:dyDescent="0.25">
      <c r="A144" s="40">
        <v>140</v>
      </c>
      <c r="B144" s="62" t="s">
        <v>2755</v>
      </c>
      <c r="C144" s="62" t="s">
        <v>179</v>
      </c>
      <c r="D144" s="62" t="s">
        <v>2375</v>
      </c>
      <c r="E144" s="62" t="s">
        <v>2376</v>
      </c>
      <c r="F144" s="62">
        <v>97.447999999999993</v>
      </c>
      <c r="G144" s="62">
        <v>101.6169</v>
      </c>
      <c r="H144" s="62" t="s">
        <v>2749</v>
      </c>
      <c r="I144" s="62" t="s">
        <v>2756</v>
      </c>
      <c r="J144" s="62" t="s">
        <v>271</v>
      </c>
    </row>
    <row r="145" spans="1:10" ht="15" x14ac:dyDescent="0.25">
      <c r="A145" s="40">
        <v>141</v>
      </c>
      <c r="B145" s="62" t="s">
        <v>2757</v>
      </c>
      <c r="C145" s="62" t="s">
        <v>181</v>
      </c>
      <c r="D145" s="62" t="s">
        <v>2375</v>
      </c>
      <c r="E145" s="62" t="s">
        <v>2376</v>
      </c>
      <c r="F145" s="62">
        <v>90.604100000000003</v>
      </c>
      <c r="G145" s="62">
        <v>90.665199999999999</v>
      </c>
      <c r="H145" s="62" t="s">
        <v>2758</v>
      </c>
      <c r="I145" s="62" t="s">
        <v>2759</v>
      </c>
      <c r="J145" s="62" t="s">
        <v>271</v>
      </c>
    </row>
    <row r="146" spans="1:10" ht="15" x14ac:dyDescent="0.25">
      <c r="A146" s="40">
        <v>142</v>
      </c>
      <c r="B146" s="62" t="s">
        <v>2760</v>
      </c>
      <c r="C146" s="62" t="s">
        <v>183</v>
      </c>
      <c r="D146" s="62" t="s">
        <v>2375</v>
      </c>
      <c r="E146" s="62" t="s">
        <v>2376</v>
      </c>
      <c r="F146" s="62">
        <v>87.6661</v>
      </c>
      <c r="G146" s="62">
        <v>91.402199999999993</v>
      </c>
      <c r="H146" s="62" t="s">
        <v>2690</v>
      </c>
      <c r="I146" s="62" t="s">
        <v>2761</v>
      </c>
      <c r="J146" s="62" t="s">
        <v>271</v>
      </c>
    </row>
    <row r="147" spans="1:10" ht="15" x14ac:dyDescent="0.25">
      <c r="A147" s="40">
        <v>143</v>
      </c>
      <c r="B147" s="62" t="s">
        <v>2762</v>
      </c>
      <c r="C147" s="62" t="s">
        <v>5</v>
      </c>
      <c r="D147" s="62" t="s">
        <v>2375</v>
      </c>
      <c r="E147" s="62" t="s">
        <v>2376</v>
      </c>
      <c r="F147" s="62">
        <v>85.328000000000003</v>
      </c>
      <c r="G147" s="62">
        <v>87.539299999999997</v>
      </c>
      <c r="H147" s="62" t="s">
        <v>2723</v>
      </c>
      <c r="I147" s="62" t="s">
        <v>2763</v>
      </c>
      <c r="J147" s="62" t="s">
        <v>271</v>
      </c>
    </row>
    <row r="148" spans="1:10" ht="15" x14ac:dyDescent="0.25">
      <c r="A148" s="40">
        <v>144</v>
      </c>
      <c r="B148" s="62" t="s">
        <v>2764</v>
      </c>
      <c r="C148" s="62" t="s">
        <v>186</v>
      </c>
      <c r="D148" s="62" t="s">
        <v>2375</v>
      </c>
      <c r="E148" s="62" t="s">
        <v>2376</v>
      </c>
      <c r="F148" s="62">
        <v>81.5976</v>
      </c>
      <c r="G148" s="62">
        <v>86.691100000000006</v>
      </c>
      <c r="H148" s="62" t="s">
        <v>2765</v>
      </c>
      <c r="I148" s="62" t="s">
        <v>2766</v>
      </c>
      <c r="J148" s="62" t="s">
        <v>271</v>
      </c>
    </row>
    <row r="149" spans="1:10" ht="15" x14ac:dyDescent="0.25">
      <c r="A149" s="40">
        <v>145</v>
      </c>
      <c r="B149" s="62" t="s">
        <v>2767</v>
      </c>
      <c r="C149" s="62" t="s">
        <v>188</v>
      </c>
      <c r="D149" s="62" t="s">
        <v>2375</v>
      </c>
      <c r="E149" s="62" t="s">
        <v>2376</v>
      </c>
      <c r="F149" s="62">
        <v>82.546599999999998</v>
      </c>
      <c r="G149" s="62">
        <v>87.927199999999999</v>
      </c>
      <c r="H149" s="62" t="s">
        <v>2768</v>
      </c>
      <c r="I149" s="62" t="s">
        <v>2769</v>
      </c>
      <c r="J149" s="62" t="s">
        <v>271</v>
      </c>
    </row>
    <row r="150" spans="1:10" ht="15" x14ac:dyDescent="0.25">
      <c r="A150" s="40">
        <v>146</v>
      </c>
      <c r="B150" s="62" t="s">
        <v>2770</v>
      </c>
      <c r="C150" s="62" t="s">
        <v>190</v>
      </c>
      <c r="D150" s="62" t="s">
        <v>2375</v>
      </c>
      <c r="E150" s="62" t="s">
        <v>2376</v>
      </c>
      <c r="F150" s="62">
        <v>77.1434</v>
      </c>
      <c r="G150" s="62">
        <v>82.197400000000002</v>
      </c>
      <c r="H150" s="62" t="s">
        <v>2455</v>
      </c>
      <c r="I150" s="62" t="s">
        <v>2771</v>
      </c>
      <c r="J150" s="62" t="s">
        <v>271</v>
      </c>
    </row>
    <row r="151" spans="1:10" ht="15" x14ac:dyDescent="0.25">
      <c r="A151" s="40">
        <v>147</v>
      </c>
      <c r="B151" s="62" t="s">
        <v>2772</v>
      </c>
      <c r="C151" s="62" t="s">
        <v>192</v>
      </c>
      <c r="D151" s="62" t="s">
        <v>2375</v>
      </c>
      <c r="E151" s="62" t="s">
        <v>2376</v>
      </c>
      <c r="F151" s="62">
        <v>75.113799999999998</v>
      </c>
      <c r="G151" s="62">
        <v>75.305800000000005</v>
      </c>
      <c r="H151" s="62" t="s">
        <v>2455</v>
      </c>
      <c r="I151" s="62" t="s">
        <v>2773</v>
      </c>
      <c r="J151" s="62" t="s">
        <v>271</v>
      </c>
    </row>
    <row r="152" spans="1:10" ht="15" x14ac:dyDescent="0.25">
      <c r="A152" s="40">
        <v>148</v>
      </c>
      <c r="B152" s="62" t="s">
        <v>2774</v>
      </c>
      <c r="C152" s="62" t="s">
        <v>194</v>
      </c>
      <c r="D152" s="62" t="s">
        <v>2375</v>
      </c>
      <c r="E152" s="62" t="s">
        <v>2376</v>
      </c>
      <c r="F152" s="62">
        <v>72.849599999999995</v>
      </c>
      <c r="G152" s="62">
        <v>77.073599999999999</v>
      </c>
      <c r="H152" s="62" t="s">
        <v>2428</v>
      </c>
      <c r="I152" s="62" t="s">
        <v>2708</v>
      </c>
      <c r="J152" s="62" t="s">
        <v>271</v>
      </c>
    </row>
    <row r="153" spans="1:10" ht="15" x14ac:dyDescent="0.25">
      <c r="A153" s="40">
        <v>149</v>
      </c>
      <c r="B153" s="62" t="s">
        <v>2775</v>
      </c>
      <c r="C153" s="62" t="s">
        <v>196</v>
      </c>
      <c r="D153" s="62" t="s">
        <v>2375</v>
      </c>
      <c r="E153" s="62" t="s">
        <v>2376</v>
      </c>
      <c r="F153" s="62">
        <v>66.354399999999998</v>
      </c>
      <c r="G153" s="62">
        <v>69.674099999999996</v>
      </c>
      <c r="H153" s="62" t="s">
        <v>2454</v>
      </c>
      <c r="I153" s="62" t="s">
        <v>2776</v>
      </c>
      <c r="J153" s="62" t="s">
        <v>271</v>
      </c>
    </row>
    <row r="154" spans="1:10" ht="15" x14ac:dyDescent="0.25">
      <c r="A154" s="40">
        <v>150</v>
      </c>
      <c r="B154" s="62" t="s">
        <v>2777</v>
      </c>
      <c r="C154" s="62" t="s">
        <v>198</v>
      </c>
      <c r="D154" s="62" t="s">
        <v>2375</v>
      </c>
      <c r="E154" s="62" t="s">
        <v>2376</v>
      </c>
      <c r="F154" s="62">
        <v>65.423699999999997</v>
      </c>
      <c r="G154" s="62">
        <v>68.220200000000006</v>
      </c>
      <c r="H154" s="62" t="s">
        <v>2454</v>
      </c>
      <c r="I154" s="62" t="s">
        <v>2778</v>
      </c>
      <c r="J154" s="62" t="s">
        <v>271</v>
      </c>
    </row>
    <row r="155" spans="1:10" ht="15" x14ac:dyDescent="0.25">
      <c r="A155" s="40">
        <v>151</v>
      </c>
      <c r="B155" s="62" t="s">
        <v>2779</v>
      </c>
      <c r="C155" s="62" t="s">
        <v>200</v>
      </c>
      <c r="D155" s="62" t="s">
        <v>2375</v>
      </c>
      <c r="E155" s="62" t="s">
        <v>2376</v>
      </c>
      <c r="F155" s="62">
        <v>70.761300000000006</v>
      </c>
      <c r="G155" s="62">
        <v>81.451499999999996</v>
      </c>
      <c r="H155" s="62" t="s">
        <v>2428</v>
      </c>
      <c r="I155" s="62" t="s">
        <v>2780</v>
      </c>
      <c r="J155" s="62" t="s">
        <v>271</v>
      </c>
    </row>
    <row r="156" spans="1:10" ht="15" x14ac:dyDescent="0.25">
      <c r="A156" s="40">
        <v>152</v>
      </c>
      <c r="B156" s="62" t="s">
        <v>2781</v>
      </c>
      <c r="C156" s="62" t="s">
        <v>202</v>
      </c>
      <c r="D156" s="62" t="s">
        <v>2375</v>
      </c>
      <c r="E156" s="62" t="s">
        <v>2376</v>
      </c>
      <c r="F156" s="62">
        <v>71.463099999999997</v>
      </c>
      <c r="G156" s="62">
        <v>77.724800000000002</v>
      </c>
      <c r="H156" s="62" t="s">
        <v>2428</v>
      </c>
      <c r="I156" s="62" t="s">
        <v>2782</v>
      </c>
      <c r="J156" s="62" t="s">
        <v>271</v>
      </c>
    </row>
    <row r="157" spans="1:10" ht="15" x14ac:dyDescent="0.25">
      <c r="A157" s="40">
        <v>153</v>
      </c>
      <c r="B157" s="62" t="s">
        <v>2783</v>
      </c>
      <c r="C157" s="62" t="s">
        <v>204</v>
      </c>
      <c r="D157" s="62" t="s">
        <v>2375</v>
      </c>
      <c r="E157" s="62" t="s">
        <v>2376</v>
      </c>
      <c r="F157" s="62">
        <v>80.616600000000005</v>
      </c>
      <c r="G157" s="62">
        <v>85.077399999999997</v>
      </c>
      <c r="H157" s="62" t="s">
        <v>2765</v>
      </c>
      <c r="I157" s="62" t="s">
        <v>2784</v>
      </c>
      <c r="J157" s="62" t="s">
        <v>271</v>
      </c>
    </row>
    <row r="158" spans="1:10" ht="15" x14ac:dyDescent="0.25">
      <c r="A158" s="40">
        <v>154</v>
      </c>
      <c r="B158" s="62" t="s">
        <v>2785</v>
      </c>
      <c r="C158" s="62" t="s">
        <v>206</v>
      </c>
      <c r="D158" s="62" t="s">
        <v>2375</v>
      </c>
      <c r="E158" s="62" t="s">
        <v>2376</v>
      </c>
      <c r="F158" s="62">
        <v>76.322100000000006</v>
      </c>
      <c r="G158" s="62">
        <v>78.044300000000007</v>
      </c>
      <c r="H158" s="62" t="s">
        <v>2693</v>
      </c>
      <c r="I158" s="62" t="s">
        <v>2786</v>
      </c>
      <c r="J158" s="62" t="s">
        <v>271</v>
      </c>
    </row>
    <row r="159" spans="1:10" ht="15" x14ac:dyDescent="0.25">
      <c r="A159" s="40">
        <v>155</v>
      </c>
      <c r="B159" s="62" t="s">
        <v>2787</v>
      </c>
      <c r="C159" s="62" t="s">
        <v>208</v>
      </c>
      <c r="D159" s="62" t="s">
        <v>2375</v>
      </c>
      <c r="E159" s="62" t="s">
        <v>2376</v>
      </c>
      <c r="F159" s="62">
        <v>74.526200000000003</v>
      </c>
      <c r="G159" s="62">
        <v>79.598399999999998</v>
      </c>
      <c r="H159" s="62" t="s">
        <v>2455</v>
      </c>
      <c r="I159" s="62" t="s">
        <v>2788</v>
      </c>
      <c r="J159" s="62" t="s">
        <v>271</v>
      </c>
    </row>
    <row r="160" spans="1:10" ht="15" x14ac:dyDescent="0.25">
      <c r="A160" s="40">
        <v>156</v>
      </c>
      <c r="B160" s="62" t="s">
        <v>2789</v>
      </c>
      <c r="C160" s="62" t="s">
        <v>210</v>
      </c>
      <c r="D160" s="62" t="s">
        <v>2375</v>
      </c>
      <c r="E160" s="62" t="s">
        <v>2376</v>
      </c>
      <c r="F160" s="62">
        <v>59.611699999999999</v>
      </c>
      <c r="G160" s="62">
        <v>60.129899999999999</v>
      </c>
      <c r="H160" s="62" t="s">
        <v>2428</v>
      </c>
      <c r="I160" s="62" t="s">
        <v>2790</v>
      </c>
      <c r="J160" s="62" t="s">
        <v>271</v>
      </c>
    </row>
    <row r="161" spans="1:10" ht="15" x14ac:dyDescent="0.25">
      <c r="A161" s="40">
        <v>157</v>
      </c>
      <c r="B161" s="62" t="s">
        <v>2791</v>
      </c>
      <c r="C161" s="62" t="s">
        <v>212</v>
      </c>
      <c r="D161" s="62" t="s">
        <v>2375</v>
      </c>
      <c r="E161" s="62" t="s">
        <v>2376</v>
      </c>
      <c r="F161" s="62">
        <v>59.800400000000003</v>
      </c>
      <c r="G161" s="62">
        <v>64.416200000000003</v>
      </c>
      <c r="H161" s="62" t="s">
        <v>2731</v>
      </c>
      <c r="I161" s="62" t="s">
        <v>2792</v>
      </c>
      <c r="J161" s="62" t="s">
        <v>271</v>
      </c>
    </row>
    <row r="162" spans="1:10" ht="15" x14ac:dyDescent="0.25">
      <c r="A162" s="40">
        <v>158</v>
      </c>
      <c r="B162" s="62" t="s">
        <v>2793</v>
      </c>
      <c r="C162" s="62" t="s">
        <v>214</v>
      </c>
      <c r="D162" s="62" t="s">
        <v>2375</v>
      </c>
      <c r="E162" s="62" t="s">
        <v>2376</v>
      </c>
      <c r="F162" s="62">
        <v>56.6126</v>
      </c>
      <c r="G162" s="62">
        <v>58.415399999999998</v>
      </c>
      <c r="H162" s="62" t="s">
        <v>2454</v>
      </c>
      <c r="I162" s="62" t="s">
        <v>2794</v>
      </c>
      <c r="J162" s="62" t="s">
        <v>271</v>
      </c>
    </row>
    <row r="163" spans="1:10" ht="17.25" customHeight="1" x14ac:dyDescent="0.25">
      <c r="A163" s="40">
        <v>159</v>
      </c>
      <c r="B163" s="62" t="s">
        <v>2795</v>
      </c>
      <c r="C163" s="62" t="s">
        <v>12</v>
      </c>
      <c r="D163" s="62" t="s">
        <v>2375</v>
      </c>
      <c r="E163" s="62" t="s">
        <v>2376</v>
      </c>
      <c r="F163" s="62">
        <v>61.446100000000001</v>
      </c>
      <c r="G163" s="62">
        <v>63.687800000000003</v>
      </c>
      <c r="H163" s="62" t="s">
        <v>2454</v>
      </c>
      <c r="I163" s="62" t="s">
        <v>2796</v>
      </c>
      <c r="J163" s="62" t="s">
        <v>271</v>
      </c>
    </row>
    <row r="164" spans="1:10" ht="17.25" customHeight="1" x14ac:dyDescent="0.25">
      <c r="A164" s="40">
        <v>160</v>
      </c>
      <c r="B164" s="62" t="s">
        <v>2797</v>
      </c>
      <c r="C164" s="62" t="s">
        <v>13</v>
      </c>
      <c r="D164" s="62" t="s">
        <v>2375</v>
      </c>
      <c r="E164" s="62" t="s">
        <v>2376</v>
      </c>
      <c r="F164" s="62">
        <v>59.9741</v>
      </c>
      <c r="G164" s="62">
        <v>64.524699999999996</v>
      </c>
      <c r="H164" s="62" t="s">
        <v>2428</v>
      </c>
      <c r="I164" s="62" t="s">
        <v>2798</v>
      </c>
      <c r="J164" s="62" t="s">
        <v>271</v>
      </c>
    </row>
    <row r="165" spans="1:10" ht="17.25" customHeight="1" x14ac:dyDescent="0.25">
      <c r="A165" s="15">
        <v>161</v>
      </c>
      <c r="B165" s="62" t="s">
        <v>2799</v>
      </c>
      <c r="C165" s="62" t="s">
        <v>218</v>
      </c>
      <c r="D165" s="62" t="s">
        <v>2375</v>
      </c>
      <c r="E165" s="62" t="s">
        <v>2376</v>
      </c>
      <c r="F165" s="62">
        <v>53.662700000000001</v>
      </c>
      <c r="G165" s="62">
        <v>58.973300000000002</v>
      </c>
      <c r="H165" s="62" t="s">
        <v>2428</v>
      </c>
      <c r="I165" s="62" t="s">
        <v>2800</v>
      </c>
      <c r="J165" s="62" t="s">
        <v>271</v>
      </c>
    </row>
    <row r="166" spans="1:10" ht="17.25" customHeight="1" x14ac:dyDescent="0.25">
      <c r="A166" s="15">
        <v>162</v>
      </c>
      <c r="B166" s="62" t="s">
        <v>2801</v>
      </c>
      <c r="C166" s="62" t="s">
        <v>220</v>
      </c>
      <c r="D166" s="62" t="s">
        <v>2375</v>
      </c>
      <c r="E166" s="62" t="s">
        <v>2376</v>
      </c>
      <c r="F166" s="62">
        <v>55.552199999999999</v>
      </c>
      <c r="G166" s="62">
        <v>56.178400000000003</v>
      </c>
      <c r="H166" s="62" t="s">
        <v>2428</v>
      </c>
      <c r="I166" s="62" t="s">
        <v>2802</v>
      </c>
      <c r="J166" s="62" t="s">
        <v>271</v>
      </c>
    </row>
    <row r="167" spans="1:10" ht="17.25" customHeight="1" x14ac:dyDescent="0.25">
      <c r="A167" s="15">
        <v>163</v>
      </c>
      <c r="B167" s="62" t="s">
        <v>2803</v>
      </c>
      <c r="C167" s="62" t="s">
        <v>222</v>
      </c>
      <c r="D167" s="62" t="s">
        <v>2375</v>
      </c>
      <c r="E167" s="62" t="s">
        <v>2376</v>
      </c>
      <c r="F167" s="62">
        <v>54.994199999999999</v>
      </c>
      <c r="G167" s="62">
        <v>59.086199999999998</v>
      </c>
      <c r="H167" s="62" t="s">
        <v>2731</v>
      </c>
      <c r="I167" s="62" t="s">
        <v>2804</v>
      </c>
      <c r="J167" s="62" t="s">
        <v>271</v>
      </c>
    </row>
    <row r="168" spans="1:10" ht="17.25" customHeight="1" x14ac:dyDescent="0.25">
      <c r="A168" s="15">
        <v>164</v>
      </c>
      <c r="B168" s="62" t="s">
        <v>2805</v>
      </c>
      <c r="C168" s="62" t="s">
        <v>224</v>
      </c>
      <c r="D168" s="62" t="s">
        <v>2375</v>
      </c>
      <c r="E168" s="62" t="s">
        <v>2376</v>
      </c>
      <c r="F168" s="62">
        <v>54.008299999999998</v>
      </c>
      <c r="G168" s="62">
        <v>61.8414</v>
      </c>
      <c r="H168" s="62" t="s">
        <v>2731</v>
      </c>
      <c r="I168" s="62" t="s">
        <v>2806</v>
      </c>
      <c r="J168" s="62" t="s">
        <v>271</v>
      </c>
    </row>
    <row r="169" spans="1:10" ht="17.25" customHeight="1" x14ac:dyDescent="0.25">
      <c r="A169" s="15">
        <v>165</v>
      </c>
      <c r="B169" s="62" t="s">
        <v>2807</v>
      </c>
      <c r="C169" s="62" t="s">
        <v>2101</v>
      </c>
      <c r="D169" s="62" t="s">
        <v>2375</v>
      </c>
      <c r="E169" s="62" t="s">
        <v>2376</v>
      </c>
      <c r="F169" s="62">
        <v>100</v>
      </c>
      <c r="G169" s="62">
        <v>105.6358</v>
      </c>
      <c r="H169" s="62" t="s">
        <v>2341</v>
      </c>
      <c r="I169" s="62" t="s">
        <v>2808</v>
      </c>
      <c r="J169" s="62" t="s">
        <v>271</v>
      </c>
    </row>
    <row r="170" spans="1:10" ht="17.25" customHeight="1" x14ac:dyDescent="0.25">
      <c r="A170" s="15">
        <v>166</v>
      </c>
      <c r="B170" s="62" t="s">
        <v>2809</v>
      </c>
      <c r="C170" s="62" t="s">
        <v>229</v>
      </c>
      <c r="D170" s="62" t="s">
        <v>2354</v>
      </c>
      <c r="E170" s="62" t="s">
        <v>2417</v>
      </c>
      <c r="F170" s="62">
        <v>100.0393</v>
      </c>
      <c r="G170" s="62">
        <v>106.77119999999999</v>
      </c>
      <c r="H170" s="62" t="s">
        <v>2475</v>
      </c>
      <c r="I170" s="62" t="s">
        <v>2810</v>
      </c>
      <c r="J170" s="62" t="s">
        <v>271</v>
      </c>
    </row>
    <row r="171" spans="1:10" ht="17.25" customHeight="1" x14ac:dyDescent="0.25">
      <c r="A171" s="15">
        <v>167</v>
      </c>
      <c r="B171" s="62" t="s">
        <v>2811</v>
      </c>
      <c r="C171" s="62" t="s">
        <v>2156</v>
      </c>
      <c r="D171" s="62" t="s">
        <v>2354</v>
      </c>
      <c r="E171" s="62" t="s">
        <v>2417</v>
      </c>
      <c r="F171" s="62">
        <v>99.963200000000001</v>
      </c>
      <c r="G171" s="62">
        <v>102.74379999999999</v>
      </c>
      <c r="H171" s="62" t="s">
        <v>2418</v>
      </c>
      <c r="I171" s="62" t="s">
        <v>2812</v>
      </c>
      <c r="J171" s="62" t="s">
        <v>271</v>
      </c>
    </row>
    <row r="172" spans="1:10" ht="17.25" customHeight="1" x14ac:dyDescent="0.25">
      <c r="A172" s="15">
        <v>168</v>
      </c>
      <c r="B172" s="62" t="s">
        <v>2813</v>
      </c>
      <c r="C172" s="62" t="s">
        <v>2456</v>
      </c>
      <c r="D172" s="62" t="s">
        <v>2375</v>
      </c>
      <c r="E172" s="62" t="s">
        <v>2381</v>
      </c>
      <c r="F172" s="62">
        <v>98.965199999999996</v>
      </c>
      <c r="G172" s="62">
        <v>98.965199999999996</v>
      </c>
      <c r="H172" s="62" t="s">
        <v>2814</v>
      </c>
      <c r="I172" s="62" t="s">
        <v>2815</v>
      </c>
      <c r="J172" s="62" t="s">
        <v>271</v>
      </c>
    </row>
    <row r="173" spans="1:10" ht="17.25" customHeight="1" x14ac:dyDescent="0.25">
      <c r="A173" s="15">
        <v>169</v>
      </c>
      <c r="B173" s="62" t="s">
        <v>2816</v>
      </c>
      <c r="C173" s="62" t="s">
        <v>1589</v>
      </c>
      <c r="D173" s="62" t="s">
        <v>2354</v>
      </c>
      <c r="E173" s="62" t="s">
        <v>2382</v>
      </c>
      <c r="F173" s="63">
        <v>3420.1239999999998</v>
      </c>
      <c r="G173" s="63">
        <v>3420.1239999999998</v>
      </c>
      <c r="H173" s="62" t="s">
        <v>343</v>
      </c>
      <c r="I173" s="62" t="s">
        <v>2817</v>
      </c>
      <c r="J173" s="62" t="s">
        <v>2395</v>
      </c>
    </row>
    <row r="174" spans="1:10" ht="17.25" customHeight="1" x14ac:dyDescent="0.25">
      <c r="A174" s="15">
        <v>170</v>
      </c>
      <c r="B174" s="62" t="s">
        <v>2818</v>
      </c>
      <c r="C174" s="62" t="s">
        <v>431</v>
      </c>
      <c r="D174" s="62" t="s">
        <v>2354</v>
      </c>
      <c r="E174" s="62" t="s">
        <v>2383</v>
      </c>
      <c r="F174" s="62">
        <v>96.314899999999994</v>
      </c>
      <c r="G174" s="62">
        <v>96.9482</v>
      </c>
      <c r="H174" s="62" t="s">
        <v>2477</v>
      </c>
      <c r="I174" s="62" t="s">
        <v>2819</v>
      </c>
      <c r="J174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9424318-14AC-4546-ABE1-6704B7ADFE4B}"/>
    <hyperlink ref="E5" r:id="rId2" display="https://kase.kz/ru/listing/issuers/AIRA" xr:uid="{725A1C70-4798-4AED-AA3F-62E1F9EFCB81}"/>
    <hyperlink ref="B6" r:id="rId3" display="https://kase.kz/ru/investors/depts/AIRAd" xr:uid="{382D073D-EF69-4AC6-8893-E96B1F499CBC}"/>
    <hyperlink ref="E6" r:id="rId4" display="https://kase.kz/ru/listing/issuers/AIRA" xr:uid="{6C41AE2F-A40E-4371-8520-A354F39BB571}"/>
    <hyperlink ref="B7" r:id="rId5" display="https://kase.kz/ru/investors/shares/AKZM" xr:uid="{B0FF7882-8F02-473A-A240-083B522E8342}"/>
    <hyperlink ref="E7" r:id="rId6" display="https://kase.kz/ru/listing/issuers/AKZM" xr:uid="{DE240975-AC79-4F44-82D0-58DEC6497C41}"/>
    <hyperlink ref="B8" r:id="rId7" display="https://kase.kz/ru/investors/bonds/ALMSb1" xr:uid="{A9CACD9E-A26D-4C4B-AF82-E7918CC1BDB9}"/>
    <hyperlink ref="E8" r:id="rId8" display="https://kase.kz/ru/listing/issuers/ALMS" xr:uid="{123445BD-EF68-4D76-B3A2-BA256004DE28}"/>
    <hyperlink ref="B9" r:id="rId9" display="https://kase.kz/ru/investors/shares/ASBN" xr:uid="{4CA1E9AC-7C25-44F4-90B6-E983346209A6}"/>
    <hyperlink ref="E9" r:id="rId10" display="https://kase.kz/ru/listing/issuers/ASBN" xr:uid="{EF035BC4-2A1E-46C4-B0A1-E211FBC32924}"/>
    <hyperlink ref="B10" r:id="rId11" display="https://kase.kz/ru/investors/bonds/ASKQb1" xr:uid="{EA107720-CAAD-4E78-A980-A0D3E7C3F006}"/>
    <hyperlink ref="E10" r:id="rId12" display="https://kase.kz/ru/listing/issuers/ASKQ" xr:uid="{E530CF4C-4E34-4268-9748-EEA77E5DB7A5}"/>
    <hyperlink ref="B11" r:id="rId13" display="https://kase.kz/ru/investors/mifs/BCCIbe" xr:uid="{BDD2DF20-4D7D-4FEF-94D2-C759965B60AD}"/>
    <hyperlink ref="E11" r:id="rId14" display="https://kase.kz/ru/listing/issuers/BCCI" xr:uid="{EDE01BD8-E7CD-474F-B8A3-6FA96827BC03}"/>
    <hyperlink ref="B12" r:id="rId15" display="https://kase.kz/ru/investors/mifs/BCCIrb" xr:uid="{02BC036D-51FB-4F25-BC59-C93EA0DE6240}"/>
    <hyperlink ref="E12" r:id="rId16" display="https://kase.kz/ru/listing/issuers/BCCI" xr:uid="{9995473B-E256-4FC6-A093-E8A4FDAE968A}"/>
    <hyperlink ref="B13" r:id="rId17" display="https://kase.kz/ru/investors/bonds/BIGDb5" xr:uid="{7E6001F4-4179-477C-8D67-8DF8D7C42E1E}"/>
    <hyperlink ref="E13" r:id="rId18" display="https://kase.kz/ru/listing/issuers/BIGD" xr:uid="{DE3A3A58-9D00-4367-B197-104F39182E08}"/>
    <hyperlink ref="B14" r:id="rId19" display="https://kase.kz/ru/investors/bonds/BRKZe18" xr:uid="{A1BE7DAF-4442-44E8-A911-ABBFD9CC467C}"/>
    <hyperlink ref="E14" r:id="rId20" display="https://kase.kz/ru/listing/issuers/BRKZ" xr:uid="{B2A3FD2A-B648-4083-B9C7-7F6B0E6F5BA2}"/>
    <hyperlink ref="B15" r:id="rId21" display="https://kase.kz/ru/investors/bonds/BRKZe4" xr:uid="{79415C5A-7E34-455D-A8FE-0F92B0CF04E1}"/>
    <hyperlink ref="E15" r:id="rId22" display="https://kase.kz/ru/listing/issuers/BRKZ" xr:uid="{ABCEA1EC-3B4F-4CF4-8013-4427943EB877}"/>
    <hyperlink ref="B16" r:id="rId23" display="https://kase.kz/ru/investors/bonds/BTRKe1" xr:uid="{4EA0A0D3-43CA-4BDB-896F-5AC05FD693CC}"/>
    <hyperlink ref="E16" r:id="rId24" display="https://kase.kz/ru/listing/issuers/BTRK" xr:uid="{3BBE5E5E-7A08-400D-9F5D-F1C25D89ED61}"/>
    <hyperlink ref="B17" r:id="rId25" display="https://kase.kz/ru/investors/shares/CCBN" xr:uid="{A4976212-2508-466F-8851-0A56D23E0F90}"/>
    <hyperlink ref="E17" r:id="rId26" display="https://kase.kz/ru/listing/issuers/CCBN" xr:uid="{F842D374-ECF6-4C1B-BA5D-258B9B45502D}"/>
    <hyperlink ref="B18" r:id="rId27" display="https://kase.kz/ru/investors/shares/CCBNp" xr:uid="{94247E76-AF04-45BE-A472-9AA30BF43DE8}"/>
    <hyperlink ref="E18" r:id="rId28" display="https://kase.kz/ru/listing/issuers/CCBN" xr:uid="{8756AD2E-7870-424E-BA83-651236337C76}"/>
    <hyperlink ref="B19" r:id="rId29" display="https://kase.kz/ru/investors/mifs/CSECfe" xr:uid="{C436463B-760E-4F17-A4A2-F076602874D9}"/>
    <hyperlink ref="E19" r:id="rId30" display="https://kase.kz/ru/listing/issuers/CSEC" xr:uid="{1BF62F73-0A35-4A9B-8CFC-5F017DF7152B}"/>
    <hyperlink ref="B20" r:id="rId31" display="https://kase.kz/ru/investors/mifs/CSECtf" xr:uid="{52364043-2782-496A-9432-DE20CC94A14D}"/>
    <hyperlink ref="E20" r:id="rId32" display="https://kase.kz/ru/listing/issuers/CSEC" xr:uid="{F1282AD4-98C0-482B-9D91-1BF454A618F3}"/>
    <hyperlink ref="B21" r:id="rId33" display="https://kase.kz/ru/investors/bonds/EABRb40" xr:uid="{AD8C6FA4-82BC-414D-BA95-2DC996453E68}"/>
    <hyperlink ref="E21" r:id="rId34" display="https://kase.kz/ru/listing/issuers/EABR" xr:uid="{E97F1730-F2AC-4BC3-BC56-1D5B12F2E50D}"/>
    <hyperlink ref="B22" r:id="rId35" display="https://kase.kz/ru/investors/bonds/EABRb42" xr:uid="{8802E01C-6ECB-4343-A767-226F6E74D79E}"/>
    <hyperlink ref="E22" r:id="rId36" display="https://kase.kz/ru/listing/issuers/EABR" xr:uid="{D3A84280-F380-45CC-8CB1-054BCAD67F5E}"/>
    <hyperlink ref="B23" r:id="rId37" display="https://kase.kz/ru/investors/bonds/EABRb53" xr:uid="{5D65A500-8181-4C25-A0F6-D1C1405121D6}"/>
    <hyperlink ref="E23" r:id="rId38" display="https://kase.kz/ru/listing/issuers/EABR" xr:uid="{82811DA4-8ABF-43E7-8C6D-343F3D55E658}"/>
    <hyperlink ref="B24" r:id="rId39" display="https://kase.kz/ru/investors/mifs/FFIN_or" xr:uid="{BF85FE65-CE36-4D84-94AB-B13FBBFF9026}"/>
    <hyperlink ref="E24" r:id="rId40" display="https://kase.kz/ru/listing/issuers/FFIN" xr:uid="{62213472-F39C-4591-B99F-8AF6D350C1C7}"/>
    <hyperlink ref="B25" r:id="rId41" display="https://kase.kz/ru/investors/mifs/FFINgw" xr:uid="{6A3A8881-6CA2-40A3-A36D-996D5052F4BD}"/>
    <hyperlink ref="E25" r:id="rId42" display="https://kase.kz/ru/listing/issuers/FFIN" xr:uid="{575803F6-1E7B-42D9-A24A-231EF9AAE336}"/>
    <hyperlink ref="B26" r:id="rId43" display="https://kase.kz/ru/investors/mifs/FHJIag" xr:uid="{3A3EAFE9-8C3C-4A6F-8ED2-A8F2A94E49CE}"/>
    <hyperlink ref="E26" r:id="rId44" display="https://kase.kz/ru/listing/issuers/FHJI" xr:uid="{5A2D0AFC-EEDE-4277-A2FB-653E2680639B}"/>
    <hyperlink ref="B27" r:id="rId45" display="https://kase.kz/ru/investors/mifs/FHJIpc" xr:uid="{F58F4369-4938-43B4-B9D8-90ADE0EC8A8F}"/>
    <hyperlink ref="E27" r:id="rId46" display="https://kase.kz/ru/listing/issuers/FHJI" xr:uid="{9ACEEA0A-4AB7-4BE1-9119-17E8A7F59ECC}"/>
    <hyperlink ref="B28" r:id="rId47" display="https://kase.kz/ru/investors/bonds/HCBNb13" xr:uid="{AC1AF9E5-CB6A-4409-813C-E674C8035423}"/>
    <hyperlink ref="E28" r:id="rId48" display="https://kase.kz/ru/listing/issuers/HCBN" xr:uid="{3E93E169-C120-4B84-A2D1-AB01D3D50987}"/>
    <hyperlink ref="B29" r:id="rId49" display="https://kase.kz/ru/investors/mifs/HFINhl" xr:uid="{98B1EFA0-65BF-4068-90C4-6B743C271DF6}"/>
    <hyperlink ref="E29" r:id="rId50" display="https://kase.kz/ru/listing/issuers/HFIN" xr:uid="{021414D9-1F50-43E2-AA36-A6FC62554CE9}"/>
    <hyperlink ref="B30" r:id="rId51" display="https://kase.kz/ru/investors/mifs/HFINhp" xr:uid="{7EC40AEC-EBB6-4708-A1D5-E8EE81D13699}"/>
    <hyperlink ref="E30" r:id="rId52" display="https://kase.kz/ru/listing/issuers/HFIN" xr:uid="{5FDA82FB-CD56-40D7-A26D-E04F60FF99C8}"/>
    <hyperlink ref="B31" r:id="rId53" display="https://kase.kz/ru/investors/mifs/HFINhs" xr:uid="{8304F96C-D953-4C0B-B17C-256E8B2FDE77}"/>
    <hyperlink ref="E31" r:id="rId54" display="https://kase.kz/ru/listing/issuers/HFIN" xr:uid="{D5609D28-5715-43BA-8BF0-AF4423B04CAB}"/>
    <hyperlink ref="B32" r:id="rId55" display="https://kase.kz/ru/investors/mifs/HFINhv" xr:uid="{5E44BEFD-70D7-4FCB-AFB1-96D076AD2A7B}"/>
    <hyperlink ref="E32" r:id="rId56" display="https://kase.kz/ru/listing/issuers/HFIN" xr:uid="{74151597-488A-459C-BA14-09A39C5B4E7D}"/>
    <hyperlink ref="B33" r:id="rId57" display="https://kase.kz/ru/investors/shares/HSBK" xr:uid="{EDE86F85-A08F-4521-85BC-234893AC2E84}"/>
    <hyperlink ref="E33" r:id="rId58" display="https://kase.kz/ru/listing/issuers/HSBK" xr:uid="{0FBF36F2-2F19-4CEB-8BCD-6AB3E009524F}"/>
    <hyperlink ref="B34" r:id="rId59" display="https://kase.kz/ru/investors/depts/HSBKd" xr:uid="{1FC4E67C-7DA8-4DD5-B8D1-EDEE2C7496B9}"/>
    <hyperlink ref="E34" r:id="rId60" display="https://kase.kz/ru/listing/issuers/HSBK" xr:uid="{82AE3FD9-837C-4E66-9326-214CCAAC986F}"/>
    <hyperlink ref="B35" r:id="rId61" display="https://kase.kz/ru/investors/shares/IFDR" xr:uid="{7E85AE7B-99FB-4B78-B44C-D8D6F329B2B4}"/>
    <hyperlink ref="E35" r:id="rId62" display="https://kase.kz/ru/listing/issuers/TCIB" xr:uid="{5AD703A7-9C5B-463B-907C-FD4562491B01}"/>
    <hyperlink ref="B36" r:id="rId63" display="https://kase.kz/ru/investors/shares/KCEL" xr:uid="{D47B3CBE-2F74-402F-9B6E-3B4EDE27E60E}"/>
    <hyperlink ref="E36" r:id="rId64" display="https://kase.kz/ru/listing/issuers/KCEL" xr:uid="{CE1D8F0D-7860-4083-B659-E5D643BB751E}"/>
    <hyperlink ref="B37" r:id="rId65" display="https://kase.kz/ru/investors/shares/KEGC" xr:uid="{87332D5E-53FD-4514-B813-E89ABFD37399}"/>
    <hyperlink ref="E37" r:id="rId66" display="https://kase.kz/ru/listing/issuers/KEGC" xr:uid="{C114CA58-AE3F-4F97-81AB-AC8BA698F238}"/>
    <hyperlink ref="B38" r:id="rId67" display="https://kase.kz/ru/investors/bonds/KFUSb45" xr:uid="{DE8BC222-4CB2-49AA-8BF6-45C6CC2EA880}"/>
    <hyperlink ref="E38" r:id="rId68" display="https://kase.kz/ru/listing/issuers/KFUS" xr:uid="{BABF7DC0-BB18-4B2A-BF44-D4DE3F689D3D}"/>
    <hyperlink ref="B39" r:id="rId69" display="https://kase.kz/ru/investors/shares/KMGZ" xr:uid="{D6F50071-5B2C-4032-A0D2-9FEEA64AFED1}"/>
    <hyperlink ref="E39" r:id="rId70" display="https://kase.kz/ru/listing/issuers/KMGZ" xr:uid="{A5EE3615-47B4-476A-8605-0B0015AABE35}"/>
    <hyperlink ref="B40" r:id="rId71" display="https://kase.kz/ru/investors/bonds/KMGZe12" xr:uid="{6CEDED78-5CCD-4CB7-89C1-EE14C201B323}"/>
    <hyperlink ref="E40" r:id="rId72" display="https://kase.kz/ru/listing/issuers/KMGZ" xr:uid="{FEBD86E6-AE6A-4B0B-885B-42BA3CA22F3F}"/>
    <hyperlink ref="B41" r:id="rId73" display="https://kase.kz/ru/investors/bonds/KMGZe14" xr:uid="{11B304DF-9AD3-4275-B421-D7717A63A442}"/>
    <hyperlink ref="E41" r:id="rId74" display="https://kase.kz/ru/listing/issuers/KMGZ" xr:uid="{A8B71BB9-BC58-4849-8BAD-ED0A556A365B}"/>
    <hyperlink ref="B42" r:id="rId75" display="https://kase.kz/ru/investors/bonds/KMGZe15" xr:uid="{9B05636E-9602-4B91-AE14-61E5FC66C41D}"/>
    <hyperlink ref="E42" r:id="rId76" display="https://kase.kz/ru/listing/issuers/KMGZ" xr:uid="{3081846E-5790-423F-8C3E-CAB2B9B24624}"/>
    <hyperlink ref="B43" r:id="rId77" display="https://kase.kz/ru/investors/bonds/KMGZe16" xr:uid="{3D39FB45-D0CA-46F1-8638-6DC5215428F7}"/>
    <hyperlink ref="E43" r:id="rId78" display="https://kase.kz/ru/listing/issuers/KMGZ" xr:uid="{DB35D0A5-A37F-4D67-9D7D-42F3E020F0AD}"/>
    <hyperlink ref="B44" r:id="rId79" display="https://kase.kz/ru/investors/shares/KSPI" xr:uid="{1A7FE3EB-7BD3-4166-A826-BD4035A7B896}"/>
    <hyperlink ref="E44" r:id="rId80" display="https://kase.kz/ru/listing/issuers/KSPI" xr:uid="{7712132F-9815-4BDD-9E8C-72E21687C683}"/>
    <hyperlink ref="B45" r:id="rId81" display="https://kase.kz/ru/investors/depts/KSPId" xr:uid="{2F693C05-6E83-444A-AEE9-DB082723712A}"/>
    <hyperlink ref="E45" r:id="rId82" display="https://kase.kz/ru/listing/issuers/KSPI" xr:uid="{69B2B1E5-6EF1-4FCD-BB5A-717C126AC95A}"/>
    <hyperlink ref="B46" r:id="rId83" display="https://kase.kz/ru/investors/shares/KZAP" xr:uid="{F2C13BA7-1544-4AF2-859E-72DB7CA1DA2C}"/>
    <hyperlink ref="E46" r:id="rId84" display="https://kase.kz/ru/listing/issuers/KZAP" xr:uid="{5CE4437A-ED9B-4EAF-9874-8C0AE3B97BFF}"/>
    <hyperlink ref="B47" r:id="rId85" display="https://kase.kz/ru/investors/bonds/KZTCb3" xr:uid="{F78D4182-A652-4D69-BF02-B2E78F1951EC}"/>
    <hyperlink ref="E47" r:id="rId86" display="https://kase.kz/ru/listing/issuers/KZTC" xr:uid="{49BECFBF-2C86-44E5-9516-6CF17920024D}"/>
    <hyperlink ref="B48" r:id="rId87" display="https://kase.kz/ru/investors/shares/KZTK" xr:uid="{59CD211E-1862-4593-BAA3-BDDD66796D34}"/>
    <hyperlink ref="E48" r:id="rId88" display="https://kase.kz/ru/listing/issuers/KZTK" xr:uid="{D95B316C-977D-462B-AC7F-6ED7622C6D92}"/>
    <hyperlink ref="B49" r:id="rId89" display="https://kase.kz/ru/investors/shares/KZTKp" xr:uid="{2DACC9D8-395E-449B-9D3E-944B505312A5}"/>
    <hyperlink ref="E49" r:id="rId90" display="https://kase.kz/ru/listing/issuers/KZTK" xr:uid="{499BC903-F164-4261-BEDA-F8FBEB6FDBC9}"/>
    <hyperlink ref="B50" r:id="rId91" display="https://kase.kz/ru/investors/shares/KZTO" xr:uid="{330A1C95-DFD1-4CB7-96AA-FE20759B4F68}"/>
    <hyperlink ref="E50" r:id="rId92" display="https://kase.kz/ru/listing/issuers/KZTO" xr:uid="{6D9C4ED8-5682-4E58-9F19-6BFD35BD36B5}"/>
    <hyperlink ref="B51" r:id="rId93" display="https://kase.kz/ru/investors/gsecs/KZ_23_3504" xr:uid="{52566012-9955-4D2F-839B-E31C01A3561B}"/>
    <hyperlink ref="E51" r:id="rId94" display="https://kase.kz/ru/listing/issuers/MFRK" xr:uid="{3AD1570D-705A-4E38-90E8-E8CC4A132A03}"/>
    <hyperlink ref="B52" r:id="rId95" display="https://kase.kz/ru/investors/bonds/MFKTb4" xr:uid="{FDE8E0CC-9423-4D10-A6B7-24347AA2B8D7}"/>
    <hyperlink ref="E52" r:id="rId96" display="https://kase.kz/ru/listing/issuers/MFKT" xr:uid="{07C3174F-6940-418E-98AF-CF4C9BD0EC81}"/>
    <hyperlink ref="B53" r:id="rId97" display="https://kase.kz/ru/investors/bonds/MFMCb2" xr:uid="{F0F3C8EB-40EC-4491-B06B-2B464771A889}"/>
    <hyperlink ref="E53" r:id="rId98" display="https://kase.kz/ru/listing/issuers/MFMC" xr:uid="{B8B5B336-F741-4643-8B64-13909815BC03}"/>
    <hyperlink ref="B54" r:id="rId99" display="https://kase.kz/ru/investors/bonds/MFMOb10" xr:uid="{C3EBB5DB-B41F-4EA4-AA0E-3CFD408EDE35}"/>
    <hyperlink ref="E54" r:id="rId100" display="https://kase.kz/ru/listing/issuers/MFMO" xr:uid="{362ACB38-437E-4AEF-8117-A24CF6F4ED3D}"/>
    <hyperlink ref="B55" r:id="rId101" display="https://kase.kz/ru/investors/bonds/MFMOb17" xr:uid="{E6ADD56E-AC94-4291-96DB-34AFCB6BE052}"/>
    <hyperlink ref="E55" r:id="rId102" display="https://kase.kz/ru/listing/issuers/MFMO" xr:uid="{F12430A1-B6E9-4855-A03E-736920004C46}"/>
    <hyperlink ref="B56" r:id="rId103" display="https://kase.kz/ru/investors/bonds/MFMOb23" xr:uid="{CF71C7A4-E1AA-4110-B7D8-F69A8CE10E23}"/>
    <hyperlink ref="E56" r:id="rId104" display="https://kase.kz/ru/listing/issuers/MFMO" xr:uid="{C2E65732-B22A-4998-98D2-73EBE9EAAF8A}"/>
    <hyperlink ref="B57" r:id="rId105" display="https://kase.kz/ru/investors/bonds/MFMOb25" xr:uid="{F338E7F8-8238-4ECF-B697-433684AA777D}"/>
    <hyperlink ref="E57" r:id="rId106" display="https://kase.kz/ru/listing/issuers/MFMO" xr:uid="{3FEB3ADD-DB88-4F9F-B323-F0DB26881DF5}"/>
    <hyperlink ref="B58" r:id="rId107" display="https://kase.kz/ru/investors/bonds/MFMOb26" xr:uid="{919813E5-FB1F-42A6-B709-D09B300F3EFF}"/>
    <hyperlink ref="E58" r:id="rId108" display="https://kase.kz/ru/listing/issuers/MFMO" xr:uid="{1AA17B23-B2CB-43E0-9C76-0EA669324A9A}"/>
    <hyperlink ref="B59" r:id="rId109" display="https://kase.kz/ru/investors/bonds/MFMOb27" xr:uid="{0F48D2BB-D3AF-4C21-B784-C87E7A7F2A67}"/>
    <hyperlink ref="E59" r:id="rId110" display="https://kase.kz/ru/listing/issuers/MFMO" xr:uid="{A718E2E4-8E03-45C7-8478-00CE8E24ACE8}"/>
    <hyperlink ref="B60" r:id="rId111" display="https://kase.kz/ru/investors/bonds/MFMOb28" xr:uid="{C619329A-A5C2-4E1B-8D66-81D3B4AD25BB}"/>
    <hyperlink ref="E60" r:id="rId112" display="https://kase.kz/ru/listing/issuers/MFMO" xr:uid="{AED8A936-B734-4CE2-8C7B-E5CE9EAB9C39}"/>
    <hyperlink ref="B61" r:id="rId113" display="https://kase.kz/ru/investors/bonds/MFOKb16" xr:uid="{9D5B0CED-CEBE-426C-B851-5E7A7E07DCCC}"/>
    <hyperlink ref="E61" r:id="rId114" display="https://kase.kz/ru/listing/issuers/MFOK" xr:uid="{0B55EC3D-67F3-42D7-91CD-76DAC95A6116}"/>
    <hyperlink ref="B62" r:id="rId115" display="https://kase.kz/ru/investors/bonds/MFOKb18" xr:uid="{4E19F1C0-CDFB-4F54-8DED-A90D595B25A3}"/>
    <hyperlink ref="E62" r:id="rId116" display="https://kase.kz/ru/listing/issuers/MFOK" xr:uid="{12F782AC-5548-439E-9103-AA59972529E7}"/>
    <hyperlink ref="B63" r:id="rId117" display="https://kase.kz/ru/investors/bonds/MFOKb19" xr:uid="{CCA5886B-ED9C-47F5-90BC-34620916839D}"/>
    <hyperlink ref="E63" r:id="rId118" display="https://kase.kz/ru/listing/issuers/MFOK" xr:uid="{B7404EFA-47BB-4691-8DC6-E619659F97BB}"/>
    <hyperlink ref="B64" r:id="rId119" display="https://kase.kz/ru/investors/bonds/MFOKb20" xr:uid="{DEA428DF-FF73-4426-8621-FC554C5541E3}"/>
    <hyperlink ref="E64" r:id="rId120" display="https://kase.kz/ru/listing/issuers/MFOK" xr:uid="{C6484C12-A53D-489A-A6B2-25F593941903}"/>
    <hyperlink ref="B65" r:id="rId121" display="https://kase.kz/ru/investors/bonds/MFOKb21" xr:uid="{A960C032-A585-4A00-84B2-C40708C976AA}"/>
    <hyperlink ref="E65" r:id="rId122" display="https://kase.kz/ru/listing/issuers/MFOK" xr:uid="{2EF41637-8600-4A8A-8D08-7AEF76D12BD7}"/>
    <hyperlink ref="B66" r:id="rId123" display="https://kase.kz/ru/investors/bonds/MFOKb22" xr:uid="{5A056891-E4D3-414A-A2F1-6F243D95D112}"/>
    <hyperlink ref="E66" r:id="rId124" display="https://kase.kz/ru/listing/issuers/MFOK" xr:uid="{5E16B0F0-3473-4A2F-9CEB-DB3B8AC5FAF3}"/>
    <hyperlink ref="B67" r:id="rId125" display="https://kase.kz/ru/investors/bonds/MFOKb24" xr:uid="{CABEE867-B19C-4CC5-9D91-8AAAA33E128B}"/>
    <hyperlink ref="E67" r:id="rId126" display="https://kase.kz/ru/listing/issuers/MFOK" xr:uid="{A3FDE68F-D334-416E-83C6-F07FA00455BB}"/>
    <hyperlink ref="B68" r:id="rId127" display="https://kase.kz/ru/investors/bonds/MFOKb25" xr:uid="{14973136-7C90-4508-85BE-9EF7E31B0356}"/>
    <hyperlink ref="E68" r:id="rId128" display="https://kase.kz/ru/listing/issuers/MFOK" xr:uid="{20FAA4EB-2C49-4B08-9D72-E52A377DF596}"/>
    <hyperlink ref="B69" r:id="rId129" display="https://kase.kz/ru/investors/bonds/MFOKb26" xr:uid="{B230B1F8-612E-418F-B573-65AA934B06D7}"/>
    <hyperlink ref="E69" r:id="rId130" display="https://kase.kz/ru/listing/issuers/MFOK" xr:uid="{B3A91E9D-7D3E-485F-88F6-4E273AAF6625}"/>
    <hyperlink ref="B70" r:id="rId131" display="https://kase.kz/ru/investors/bonds/MFRFb12" xr:uid="{C318E5AD-470C-4B61-9256-1DB2017F99BF}"/>
    <hyperlink ref="E70" r:id="rId132" display="https://kase.kz/ru/listing/issuers/MFRF" xr:uid="{7C327863-D689-40DE-A50D-F1C172ED2A2E}"/>
    <hyperlink ref="B71" r:id="rId133" display="https://kase.kz/ru/investors/bonds/MFRFb13" xr:uid="{7463FDC2-E5A2-4B7A-9DB0-281971C2EB51}"/>
    <hyperlink ref="E71" r:id="rId134" display="https://kase.kz/ru/listing/issuers/MFRF" xr:uid="{F7CF9737-57EF-4243-AC11-715460D697A5}"/>
    <hyperlink ref="B72" r:id="rId135" display="https://kase.kz/ru/investors/bonds/MFRFb14" xr:uid="{FF047306-4D24-41BC-9A82-50C03D3932E4}"/>
    <hyperlink ref="E72" r:id="rId136" display="https://kase.kz/ru/listing/issuers/MFRF" xr:uid="{CD7261A5-BF8F-4C42-B297-4C4E6EC0EB50}"/>
    <hyperlink ref="B73" r:id="rId137" display="https://kase.kz/ru/investors/bonds/MFRFb16" xr:uid="{D7B980DC-E84D-4EFD-AE1C-A3A7152F4781}"/>
    <hyperlink ref="E73" r:id="rId138" display="https://kase.kz/ru/listing/issuers/MFRF" xr:uid="{2A140799-01C7-4A02-9655-1AC5F193D2F4}"/>
    <hyperlink ref="B74" r:id="rId139" display="https://kase.kz/ru/investors/bonds/MFRFb18" xr:uid="{ED10E9F7-54E0-4EBE-8C92-BD6A52077633}"/>
    <hyperlink ref="E74" r:id="rId140" display="https://kase.kz/ru/listing/issuers/MFRF" xr:uid="{F1503B9A-A24A-40E9-9814-63359302F86E}"/>
    <hyperlink ref="B75" r:id="rId141" display="https://kase.kz/ru/investors/bonds/MFRFb19" xr:uid="{931C21ED-AC3F-4ED9-BAF5-89C4F11C54F8}"/>
    <hyperlink ref="E75" r:id="rId142" display="https://kase.kz/ru/listing/issuers/MFRF" xr:uid="{08228435-8FA6-49C7-A967-7099A64AAF38}"/>
    <hyperlink ref="B76" r:id="rId143" display="https://kase.kz/ru/investors/bonds/MFRFb21" xr:uid="{DF4E9057-9B89-43AE-889E-18EA9387E8D3}"/>
    <hyperlink ref="E76" r:id="rId144" display="https://kase.kz/ru/listing/issuers/MFRF" xr:uid="{90839094-9892-4133-BFA4-3B7A0D55C250}"/>
    <hyperlink ref="B77" r:id="rId145" display="https://kase.kz/ru/investors/bonds/MFSLb11" xr:uid="{1F61ADB7-48C0-490E-A029-6AB05619A88F}"/>
    <hyperlink ref="E77" r:id="rId146" display="https://kase.kz/ru/listing/issuers/MFSL" xr:uid="{EF6DF008-6892-45A3-B6B5-FFE431231186}"/>
    <hyperlink ref="B78" r:id="rId147" display="https://kase.kz/ru/investors/gsecs/MKM012_0159" xr:uid="{00BBF042-21DE-4801-8F0A-C25951AFA1B7}"/>
    <hyperlink ref="E78" r:id="rId148" display="https://kase.kz/ru/listing/issuers/MFRK" xr:uid="{73F6B836-2D26-4778-A01E-3E4D171B0D9D}"/>
    <hyperlink ref="B79" r:id="rId149" display="https://kase.kz/ru/investors/gsecs/MKM012_0160" xr:uid="{52EED3E0-62DC-40A7-BE2C-D76EF6E32049}"/>
    <hyperlink ref="E79" r:id="rId150" display="https://kase.kz/ru/listing/issuers/MFRK" xr:uid="{10339D99-09C5-4669-980C-409D9BC0071C}"/>
    <hyperlink ref="B80" r:id="rId151" display="https://kase.kz/ru/investors/gsecs/MKM012_0161" xr:uid="{F177ED1E-3862-44F3-A6CC-B74DEA2A8183}"/>
    <hyperlink ref="E80" r:id="rId152" display="https://kase.kz/ru/listing/issuers/MFRK" xr:uid="{C777E92B-5ADE-49BA-A1D4-40BD605218C9}"/>
    <hyperlink ref="B81" r:id="rId153" display="https://kase.kz/ru/investors/gsecs/MOM048_0052" xr:uid="{AE71C168-AA52-46D7-B9F2-3FDCF81681FD}"/>
    <hyperlink ref="E81" r:id="rId154" display="https://kase.kz/ru/listing/issuers/MFRK" xr:uid="{4B3477C2-5C88-4261-840E-53B716492DC9}"/>
    <hyperlink ref="B82" r:id="rId155" display="https://kase.kz/ru/investors/gsecs/MOM048_0053" xr:uid="{FC2D768B-048C-40D7-A832-1BF2DBD64C08}"/>
    <hyperlink ref="E82" r:id="rId156" display="https://kase.kz/ru/listing/issuers/MFRK" xr:uid="{98F36444-AECE-4B53-A9F1-DD504C6988B8}"/>
    <hyperlink ref="B83" r:id="rId157" display="https://kase.kz/ru/investors/gsecs/MOM048_0054" xr:uid="{45AA991A-A960-407A-A891-B6419DBEB78D}"/>
    <hyperlink ref="E83" r:id="rId158" display="https://kase.kz/ru/listing/issuers/MFRK" xr:uid="{42B3A7B1-99F5-460F-8F84-C67D558C4DA2}"/>
    <hyperlink ref="B84" r:id="rId159" display="https://kase.kz/ru/investors/gsecs/MOM048_0056" xr:uid="{8B247AFE-6DC1-4786-8C64-5EA5F108A123}"/>
    <hyperlink ref="E84" r:id="rId160" display="https://kase.kz/ru/listing/issuers/MFRK" xr:uid="{4D28BE0D-2EBB-4FED-BCEF-07D6914A7931}"/>
    <hyperlink ref="B85" r:id="rId161" display="https://kase.kz/ru/investors/gsecs/MOM060_0052" xr:uid="{9AFF278D-6C28-4710-971D-D39D48D3FCCD}"/>
    <hyperlink ref="E85" r:id="rId162" display="https://kase.kz/ru/listing/issuers/MFRK" xr:uid="{55E2F9F6-17BA-44E5-8CB4-BAE14CBF0F00}"/>
    <hyperlink ref="B86" r:id="rId163" display="https://kase.kz/ru/investors/gsecs/MOM060_0054" xr:uid="{7EB1CAEE-9AE6-43BD-8C4F-8D6B3A291A9C}"/>
    <hyperlink ref="E86" r:id="rId164" display="https://kase.kz/ru/listing/issuers/MFRK" xr:uid="{E6BA59BE-49AD-44EF-981C-41899CB65E24}"/>
    <hyperlink ref="B87" r:id="rId165" display="https://kase.kz/ru/investors/gsecs/MTC048_0001" xr:uid="{C95AB2D3-FE2F-4A0E-9E38-CD527A894317}"/>
    <hyperlink ref="E87" r:id="rId166" display="https://kase.kz/ru/listing/issuers/MFRK" xr:uid="{19DDF5B2-95F8-44CD-BD19-D05872B9FBF0}"/>
    <hyperlink ref="B88" r:id="rId167" display="https://kase.kz/ru/investors/gsecs/MTM048_0001" xr:uid="{8674B270-00F3-4A4B-B29D-86F2C1AC72A1}"/>
    <hyperlink ref="E88" r:id="rId168" display="https://kase.kz/ru/listing/issuers/MFRK" xr:uid="{6959850C-080F-4005-B0BA-F5CC4002333D}"/>
    <hyperlink ref="B89" r:id="rId169" display="https://kase.kz/ru/investors/gsecs/MTM060_0001" xr:uid="{8D779EF5-6EFF-4D84-9545-A11A2A3B1516}"/>
    <hyperlink ref="E89" r:id="rId170" display="https://kase.kz/ru/listing/issuers/MFRK" xr:uid="{185C56E5-D29A-4418-920D-4957F1EA02BF}"/>
    <hyperlink ref="B90" r:id="rId171" display="https://kase.kz/ru/investors/gsecs/MTM072_0001" xr:uid="{6F5D6E41-6125-4340-8047-14BCABCC1FA8}"/>
    <hyperlink ref="E90" r:id="rId172" display="https://kase.kz/ru/listing/issuers/MFRK" xr:uid="{8287AE47-FBEA-4558-A24E-C93D3C8665BA}"/>
    <hyperlink ref="B91" r:id="rId173" display="https://kase.kz/ru/investors/gsecs/MTM084_0001" xr:uid="{C4B93CF3-EBC0-4694-BB96-3E58B4501986}"/>
    <hyperlink ref="E91" r:id="rId174" display="https://kase.kz/ru/listing/issuers/MFRK" xr:uid="{B81D1A94-55B1-4B74-9582-7B276AB2537E}"/>
    <hyperlink ref="B92" r:id="rId175" display="https://kase.kz/ru/investors/gsecs/MTM096_0001" xr:uid="{2983070D-5236-4C3B-8523-40D08084BADC}"/>
    <hyperlink ref="E92" r:id="rId176" display="https://kase.kz/ru/listing/issuers/MFRK" xr:uid="{C70CA829-6FB3-4C55-B2EB-7FEDA1264B18}"/>
    <hyperlink ref="B93" r:id="rId177" display="https://kase.kz/ru/investors/gsecs/MUJ144_0005" xr:uid="{5568EF40-5EC2-4B95-B535-A2476CD4E079}"/>
    <hyperlink ref="E93" r:id="rId178" display="https://kase.kz/ru/listing/issuers/MFRK" xr:uid="{4F1FB316-B60D-45B6-8190-7E8B42E7F41C}"/>
    <hyperlink ref="B94" r:id="rId179" display="https://kase.kz/ru/investors/gsecs/MUJ156_0004" xr:uid="{EAAF469D-CB0A-4A3B-8185-1831E0C19A8C}"/>
    <hyperlink ref="E94" r:id="rId180" display="https://kase.kz/ru/listing/issuers/MFRK" xr:uid="{F2BAB417-683D-439B-AEF8-5AA000FB73A2}"/>
    <hyperlink ref="B95" r:id="rId181" display="https://kase.kz/ru/investors/gsecs/MUJ168_0004" xr:uid="{2DC15F44-786C-439A-85A0-DCF7AF22EC96}"/>
    <hyperlink ref="E95" r:id="rId182" display="https://kase.kz/ru/listing/issuers/MFRK" xr:uid="{FACC9B8C-7344-4ECB-88FA-07622B71E176}"/>
    <hyperlink ref="B96" r:id="rId183" display="https://kase.kz/ru/investors/gsecs/MUJ168_0005" xr:uid="{8EB55BA6-E2BA-4944-B0CF-C43BF656D7BA}"/>
    <hyperlink ref="E96" r:id="rId184" display="https://kase.kz/ru/listing/issuers/MFRK" xr:uid="{DD195A22-C923-4268-858A-CC7F9B673E62}"/>
    <hyperlink ref="B97" r:id="rId185" display="https://kase.kz/ru/investors/gsecs/MUJ180_0007" xr:uid="{D7BD9DAE-8EDD-4DC3-B498-5C0B53B3DD00}"/>
    <hyperlink ref="E97" r:id="rId186" display="https://kase.kz/ru/listing/issuers/MFRK" xr:uid="{C7E4897B-50FE-43A5-9918-B7909271991F}"/>
    <hyperlink ref="B98" r:id="rId187" display="https://kase.kz/ru/investors/gsecs/MUJ180_0008" xr:uid="{46714827-6070-48DE-90E5-3C04CFDF5775}"/>
    <hyperlink ref="E98" r:id="rId188" display="https://kase.kz/ru/listing/issuers/MFRK" xr:uid="{A4023C0B-9766-463D-AECB-7F138698ECD7}"/>
    <hyperlink ref="B99" r:id="rId189" display="https://kase.kz/ru/investors/gsecs/MUJ192_0002" xr:uid="{132C1280-24BF-403E-B4C7-DF0362E48644}"/>
    <hyperlink ref="E99" r:id="rId190" display="https://kase.kz/ru/listing/issuers/MFRK" xr:uid="{F15A6327-EBB3-4A79-9652-5C5F805CAA05}"/>
    <hyperlink ref="B100" r:id="rId191" display="https://kase.kz/ru/investors/gsecs/MUJ192_0003" xr:uid="{6901A19B-E5E2-4BE7-AD56-BB85F0E66D8C}"/>
    <hyperlink ref="E100" r:id="rId192" display="https://kase.kz/ru/listing/issuers/MFRK" xr:uid="{C4EF350D-100A-421B-9426-E3C9F01A4365}"/>
    <hyperlink ref="B101" r:id="rId193" display="https://kase.kz/ru/investors/gsecs/MUJ192_0004" xr:uid="{D853858D-FFF0-431F-93FD-3CE71C2DE603}"/>
    <hyperlink ref="E101" r:id="rId194" display="https://kase.kz/ru/listing/issuers/MFRK" xr:uid="{BB4F576A-B2AA-45B0-8506-C77B9DF60D78}"/>
    <hyperlink ref="B102" r:id="rId195" display="https://kase.kz/ru/investors/gsecs/MUJ204_0001" xr:uid="{9C26D203-6817-4BEB-8015-C248A11A6CE2}"/>
    <hyperlink ref="E102" r:id="rId196" display="https://kase.kz/ru/listing/issuers/MFRK" xr:uid="{B152CC04-497E-43F2-9DDC-F3D87CCA93D8}"/>
    <hyperlink ref="B103" r:id="rId197" display="https://kase.kz/ru/investors/gsecs/MUJ204_0002" xr:uid="{18202119-4CB4-48E3-9F59-3254E72FB28F}"/>
    <hyperlink ref="E103" r:id="rId198" display="https://kase.kz/ru/listing/issuers/MFRK" xr:uid="{2FB0648C-8E83-4C3D-A390-8F2335E901F3}"/>
    <hyperlink ref="B104" r:id="rId199" display="https://kase.kz/ru/investors/gsecs/MUJ204_0003" xr:uid="{DE38C7BA-BA10-4B70-B552-9D70CF571E04}"/>
    <hyperlink ref="E104" r:id="rId200" display="https://kase.kz/ru/listing/issuers/MFRK" xr:uid="{78968440-052A-4EDB-9EF6-E53C676A3CC9}"/>
    <hyperlink ref="B105" r:id="rId201" display="https://kase.kz/ru/investors/gsecs/MUJ204_0004" xr:uid="{AA3952C3-D27F-4056-96BE-425ECB68D069}"/>
    <hyperlink ref="E105" r:id="rId202" display="https://kase.kz/ru/listing/issuers/MFRK" xr:uid="{1E8EDC5F-FDCE-46BA-8595-2CAE75298172}"/>
    <hyperlink ref="B106" r:id="rId203" display="https://kase.kz/ru/investors/gsecs/MUJ204_0005" xr:uid="{054EE170-6D67-42F5-BDE8-00371C47A692}"/>
    <hyperlink ref="E106" r:id="rId204" display="https://kase.kz/ru/listing/issuers/MFRK" xr:uid="{3EED6165-8EEE-446B-8A5F-6B9A1753D6A9}"/>
    <hyperlink ref="B107" r:id="rId205" display="https://kase.kz/ru/investors/gsecs/MUJ204_0006" xr:uid="{95FC2EDB-27BD-46FB-8BB6-BF08BD32B7C2}"/>
    <hyperlink ref="E107" r:id="rId206" display="https://kase.kz/ru/listing/issuers/MFRK" xr:uid="{4FE0D1BC-3275-4AE1-B6B6-2821F54BF2C6}"/>
    <hyperlink ref="B108" r:id="rId207" display="https://kase.kz/ru/investors/gsecs/MUJ216_0001" xr:uid="{C49B4C58-DA71-4FB6-B3DB-B49BFC4289E7}"/>
    <hyperlink ref="E108" r:id="rId208" display="https://kase.kz/ru/listing/issuers/MFRK" xr:uid="{3F99BFE6-ED33-4AF0-A11F-4174F058D60A}"/>
    <hyperlink ref="B109" r:id="rId209" display="https://kase.kz/ru/investors/gsecs/MUJ216_0002" xr:uid="{E01B1640-120B-4969-A763-19672815D937}"/>
    <hyperlink ref="E109" r:id="rId210" display="https://kase.kz/ru/listing/issuers/MFRK" xr:uid="{D4940DA5-58CD-4066-927C-6D22CBFF7B83}"/>
    <hyperlink ref="B110" r:id="rId211" display="https://kase.kz/ru/investors/gsecs/MUJ216_0003" xr:uid="{11D66F58-1606-4803-A704-BBE4E3B6C48A}"/>
    <hyperlink ref="E110" r:id="rId212" display="https://kase.kz/ru/listing/issuers/MFRK" xr:uid="{C7C6361A-66D9-4602-A829-354BB9C19C8C}"/>
    <hyperlink ref="B111" r:id="rId213" display="https://kase.kz/ru/investors/gsecs/MUJ216_0004" xr:uid="{44627C83-2652-4BEF-A9DF-C9F2D3C4D913}"/>
    <hyperlink ref="E111" r:id="rId214" display="https://kase.kz/ru/listing/issuers/MFRK" xr:uid="{BE86E653-8162-4489-A80F-CC18D78E8153}"/>
    <hyperlink ref="B112" r:id="rId215" display="https://kase.kz/ru/investors/gsecs/MUJ216_0005" xr:uid="{6EF9EDAE-3930-4FA1-8648-DEC327D503C3}"/>
    <hyperlink ref="E112" r:id="rId216" display="https://kase.kz/ru/listing/issuers/MFRK" xr:uid="{F2164F1C-5B70-4ECD-817F-8E0907D9C1C3}"/>
    <hyperlink ref="B113" r:id="rId217" display="https://kase.kz/ru/investors/gsecs/MUJ228_0001" xr:uid="{F4E1D15E-A4D4-4049-AFBC-84C80E1E9B0A}"/>
    <hyperlink ref="E113" r:id="rId218" display="https://kase.kz/ru/listing/issuers/MFRK" xr:uid="{7CF9C523-EB15-40C4-B692-14DAAC09827A}"/>
    <hyperlink ref="B114" r:id="rId219" display="https://kase.kz/ru/investors/gsecs/MUJ228_0002" xr:uid="{E0E9FA72-A9D4-493C-A0CA-B2013A91C3B5}"/>
    <hyperlink ref="E114" r:id="rId220" display="https://kase.kz/ru/listing/issuers/MFRK" xr:uid="{7C178D9C-6B40-4E30-96F9-7330937A8B21}"/>
    <hyperlink ref="B115" r:id="rId221" display="https://kase.kz/ru/investors/gsecs/MUJ228_0003" xr:uid="{9DCFD451-3A63-49D0-98AC-AB64F53B7473}"/>
    <hyperlink ref="E115" r:id="rId222" display="https://kase.kz/ru/listing/issuers/MFRK" xr:uid="{BFFE509F-0F8B-4BD5-BB20-5F34ED84BDF7}"/>
    <hyperlink ref="B116" r:id="rId223" display="https://kase.kz/ru/investors/gsecs/MUJ228_0004" xr:uid="{DB19B6F9-CF93-4457-AF3C-7B129A04F1C1}"/>
    <hyperlink ref="E116" r:id="rId224" display="https://kase.kz/ru/listing/issuers/MFRK" xr:uid="{E5A772B9-EB51-4572-93B5-E7B90564DA78}"/>
    <hyperlink ref="B117" r:id="rId225" display="https://kase.kz/ru/investors/gsecs/MUJ228_0005" xr:uid="{28FAC56C-4CAF-4864-8566-FF03D9C9335D}"/>
    <hyperlink ref="E117" r:id="rId226" display="https://kase.kz/ru/listing/issuers/MFRK" xr:uid="{5B283DCA-9A74-4C08-8BAF-25208AD26CB5}"/>
    <hyperlink ref="B118" r:id="rId227" display="https://kase.kz/ru/investors/gsecs/MUJ228_0006" xr:uid="{E0F99591-69BC-4053-85B8-B888DADEE179}"/>
    <hyperlink ref="E118" r:id="rId228" display="https://kase.kz/ru/listing/issuers/MFRK" xr:uid="{EC48AE44-0D18-462E-B8A9-46564EB818CA}"/>
    <hyperlink ref="B119" r:id="rId229" display="https://kase.kz/ru/investors/gsecs/MUJ240_0001" xr:uid="{3D8E1CC5-0E36-4CCA-A922-65399B0CE1B3}"/>
    <hyperlink ref="E119" r:id="rId230" display="https://kase.kz/ru/listing/issuers/MFRK" xr:uid="{47B95903-5895-4239-AB1C-6F8280F64E22}"/>
    <hyperlink ref="B120" r:id="rId231" display="https://kase.kz/ru/investors/gsecs/MUM072_0013" xr:uid="{67041C42-1703-49B0-B517-7C34C56CC60C}"/>
    <hyperlink ref="E120" r:id="rId232" display="https://kase.kz/ru/listing/issuers/MFRK" xr:uid="{3C936AC2-7E8E-461D-98E1-1FA35CF8F5BA}"/>
    <hyperlink ref="B121" r:id="rId233" display="https://kase.kz/ru/investors/gsecs/MUM072_0014" xr:uid="{54220CC8-A752-42A3-BB57-FD0F51E73006}"/>
    <hyperlink ref="E121" r:id="rId234" display="https://kase.kz/ru/listing/issuers/MFRK" xr:uid="{8D594B9B-4602-4FA7-AF24-01067ABB045B}"/>
    <hyperlink ref="B122" r:id="rId235" display="https://kase.kz/ru/investors/gsecs/MUM072_0015" xr:uid="{D12ED585-8194-4F6E-8CED-D3BEB3924AFA}"/>
    <hyperlink ref="E122" r:id="rId236" display="https://kase.kz/ru/listing/issuers/MFRK" xr:uid="{DE9FC271-4BCB-47EB-A45E-386CD3418A4B}"/>
    <hyperlink ref="B123" r:id="rId237" display="https://kase.kz/ru/investors/gsecs/MUM084_0018" xr:uid="{75642C1F-8CC5-4F5C-8F8B-90DE65BBEC75}"/>
    <hyperlink ref="E123" r:id="rId238" display="https://kase.kz/ru/listing/issuers/MFRK" xr:uid="{D9FF2E68-C1C9-4DBC-94DA-B668F4DAA144}"/>
    <hyperlink ref="B124" r:id="rId239" display="https://kase.kz/ru/investors/gsecs/MUM084_0019" xr:uid="{A939780B-02BA-4485-8D1C-4CB35A2AF0EC}"/>
    <hyperlink ref="E124" r:id="rId240" display="https://kase.kz/ru/listing/issuers/MFRK" xr:uid="{3023261B-5CFE-4568-839B-63B5292F9CBC}"/>
    <hyperlink ref="B125" r:id="rId241" display="https://kase.kz/ru/investors/gsecs/MUM084_0020" xr:uid="{C00BE9A0-FD14-4C1B-9093-0C6D10A0C693}"/>
    <hyperlink ref="E125" r:id="rId242" display="https://kase.kz/ru/listing/issuers/MFRK" xr:uid="{EFC4A63A-59F4-4033-BB67-128D861027FF}"/>
    <hyperlink ref="B126" r:id="rId243" display="https://kase.kz/ru/investors/gsecs/MUM096_0011" xr:uid="{16DB76A5-0049-49F7-92BA-CFC69E431E48}"/>
    <hyperlink ref="E126" r:id="rId244" display="https://kase.kz/ru/listing/issuers/MFRK" xr:uid="{30467A20-9517-4ADE-88F8-5C09303BE6EC}"/>
    <hyperlink ref="B127" r:id="rId245" display="https://kase.kz/ru/investors/gsecs/MUM096_0012" xr:uid="{C46D9307-9415-4B2C-A0E9-AEB7AC4CDB25}"/>
    <hyperlink ref="E127" r:id="rId246" display="https://kase.kz/ru/listing/issuers/MFRK" xr:uid="{032D98AE-ED99-40B9-8F93-9C01E1E9A4C1}"/>
    <hyperlink ref="B128" r:id="rId247" display="https://kase.kz/ru/investors/gsecs/MUM096_0013" xr:uid="{00B7E2B0-98FC-4B78-AB4E-14B9823E92DA}"/>
    <hyperlink ref="E128" r:id="rId248" display="https://kase.kz/ru/listing/issuers/MFRK" xr:uid="{655AF354-ACC4-41D0-BD7D-92CC1F1A5117}"/>
    <hyperlink ref="B129" r:id="rId249" display="https://kase.kz/ru/investors/gsecs/MUM096_0014" xr:uid="{28DC998E-99C6-44F0-A5D4-D59E33243AA1}"/>
    <hyperlink ref="E129" r:id="rId250" display="https://kase.kz/ru/listing/issuers/MFRK" xr:uid="{4FFC8A32-4B6D-40F2-9BFE-B39E7D1885C9}"/>
    <hyperlink ref="B130" r:id="rId251" display="https://kase.kz/ru/investors/gsecs/MUM096_0015" xr:uid="{9031C597-1383-4580-9F96-BF9FD106552C}"/>
    <hyperlink ref="E130" r:id="rId252" display="https://kase.kz/ru/listing/issuers/MFRK" xr:uid="{6FF2568F-C573-4A45-8EED-1232316BC097}"/>
    <hyperlink ref="B131" r:id="rId253" display="https://kase.kz/ru/investors/gsecs/MUM108_0012" xr:uid="{3EBD7CCF-A8A4-4C60-BC7A-2E079FC1F83D}"/>
    <hyperlink ref="E131" r:id="rId254" display="https://kase.kz/ru/listing/issuers/MFRK" xr:uid="{82361B03-556B-4E4B-AD44-0328850156E9}"/>
    <hyperlink ref="B132" r:id="rId255" display="https://kase.kz/ru/investors/gsecs/MUM108_0013" xr:uid="{B8B7C9F3-1D0C-45EF-B33E-D8352C4D9957}"/>
    <hyperlink ref="E132" r:id="rId256" display="https://kase.kz/ru/listing/issuers/MFRK" xr:uid="{A6299A44-C556-493A-9024-D8BE87BEE736}"/>
    <hyperlink ref="B133" r:id="rId257" display="https://kase.kz/ru/investors/gsecs/MUM108_0014" xr:uid="{248BA588-3B8F-4826-99AF-61BA08AF3B1A}"/>
    <hyperlink ref="E133" r:id="rId258" display="https://kase.kz/ru/listing/issuers/MFRK" xr:uid="{5AA17200-3014-4273-89EE-B4C6A849B7B3}"/>
    <hyperlink ref="B134" r:id="rId259" display="https://kase.kz/ru/investors/gsecs/MUM108_0015" xr:uid="{346E086F-5AC2-40DB-8544-100633C3B63A}"/>
    <hyperlink ref="E134" r:id="rId260" display="https://kase.kz/ru/listing/issuers/MFRK" xr:uid="{EB068E72-ADEB-4511-994D-5A177843D90D}"/>
    <hyperlink ref="B135" r:id="rId261" display="https://kase.kz/ru/investors/gsecs/MUM120_0017" xr:uid="{A2DC93FD-46DF-41E9-880E-27FB52B71D86}"/>
    <hyperlink ref="E135" r:id="rId262" display="https://kase.kz/ru/listing/issuers/MFRK" xr:uid="{3745162E-96E9-468B-86EA-209CB038C756}"/>
    <hyperlink ref="B136" r:id="rId263" display="https://kase.kz/ru/investors/gsecs/MUM120_0018" xr:uid="{EF8FAE34-B2C5-4F36-9671-3E34760BD32C}"/>
    <hyperlink ref="E136" r:id="rId264" display="https://kase.kz/ru/listing/issuers/MFRK" xr:uid="{1FC43F67-6986-406E-B8A1-24322C845F9A}"/>
    <hyperlink ref="B137" r:id="rId265" display="https://kase.kz/ru/investors/gsecs/MUM120_0019" xr:uid="{1A87186B-54F9-4A56-AC24-5A66A0226543}"/>
    <hyperlink ref="E137" r:id="rId266" display="https://kase.kz/ru/listing/issuers/MFRK" xr:uid="{9671BB7F-430F-40E9-A5AE-9D59C7BB6A7B}"/>
    <hyperlink ref="B138" r:id="rId267" display="https://kase.kz/ru/investors/gsecs/MUM120_0020" xr:uid="{C7D1E4F7-B102-409F-ABAE-977E0B208938}"/>
    <hyperlink ref="E138" r:id="rId268" display="https://kase.kz/ru/listing/issuers/MFRK" xr:uid="{1F267B13-4728-4757-AE59-26A4AE3432E8}"/>
    <hyperlink ref="B139" r:id="rId269" display="https://kase.kz/ru/investors/gsecs/MUM132_0007" xr:uid="{9126B147-6F0E-43B8-92E5-E3ED7149158F}"/>
    <hyperlink ref="E139" r:id="rId270" display="https://kase.kz/ru/listing/issuers/MFRK" xr:uid="{EC72F493-2D5D-4F54-AB4A-81E1238FC056}"/>
    <hyperlink ref="B140" r:id="rId271" display="https://kase.kz/ru/investors/gsecs/MUM144_0009" xr:uid="{00DA57BB-8CA3-4FD8-9A87-6F2F7569B56E}"/>
    <hyperlink ref="E140" r:id="rId272" display="https://kase.kz/ru/listing/issuers/MFRK" xr:uid="{D5B24997-8663-4B5E-91DF-4EFE7510D75A}"/>
    <hyperlink ref="B141" r:id="rId273" display="https://kase.kz/ru/investors/gsecs/MUM156_0005" xr:uid="{B038D82B-E990-425A-B646-3694C87F32FA}"/>
    <hyperlink ref="E141" r:id="rId274" display="https://kase.kz/ru/listing/issuers/MFRK" xr:uid="{4BBA3B5A-3697-4EEC-9C5C-BFF8D7DFCB61}"/>
    <hyperlink ref="B142" r:id="rId275" display="https://kase.kz/ru/investors/gsecs/MUM156_0006" xr:uid="{C02F8BCA-D2BA-4D7F-B873-D6C191CCEC64}"/>
    <hyperlink ref="E142" r:id="rId276" display="https://kase.kz/ru/listing/issuers/MFRK" xr:uid="{382F22E4-DF2A-4AB1-A8CD-584446A249E5}"/>
    <hyperlink ref="B143" r:id="rId277" display="https://kase.kz/ru/investors/gsecs/MUM156_0007" xr:uid="{170606EB-3A87-4F98-8AFB-9099FDDD6BF3}"/>
    <hyperlink ref="E143" r:id="rId278" display="https://kase.kz/ru/listing/issuers/MFRK" xr:uid="{745B415F-4875-4FD5-B5EB-DA765937D1BD}"/>
    <hyperlink ref="B144" r:id="rId279" display="https://kase.kz/ru/investors/gsecs/MUM156_0008" xr:uid="{4B2D5F1A-F1FD-443F-9EF0-C3082812A617}"/>
    <hyperlink ref="E144" r:id="rId280" display="https://kase.kz/ru/listing/issuers/MFRK" xr:uid="{84349266-24D8-4F4B-9331-BFEE9610F551}"/>
    <hyperlink ref="B145" r:id="rId281" display="https://kase.kz/ru/investors/gsecs/MUM168_0001" xr:uid="{92FDDBCB-C78C-43E2-8D45-9F342B1829FF}"/>
    <hyperlink ref="E145" r:id="rId282" display="https://kase.kz/ru/listing/issuers/MFRK" xr:uid="{2B00D96B-C13F-4245-AC16-6FEB4622951B}"/>
    <hyperlink ref="B146" r:id="rId283" display="https://kase.kz/ru/investors/gsecs/MUM168_0002" xr:uid="{704EBE33-ADF1-497C-A298-2E541C50A69B}"/>
    <hyperlink ref="E146" r:id="rId284" display="https://kase.kz/ru/listing/issuers/MFRK" xr:uid="{94205E59-02D4-42D5-AB36-85DF182B67A3}"/>
    <hyperlink ref="B147" r:id="rId285" display="https://kase.kz/ru/investors/gsecs/MUM168_0003" xr:uid="{E40A91D4-2598-4992-8104-0FB1582D04CC}"/>
    <hyperlink ref="E147" r:id="rId286" display="https://kase.kz/ru/listing/issuers/MFRK" xr:uid="{A38E9940-591D-4431-84C2-D6DAA6B6C733}"/>
    <hyperlink ref="B148" r:id="rId287" display="https://kase.kz/ru/investors/gsecs/MUM168_0005" xr:uid="{40309DFA-3484-4529-97C8-BA7CEAF77AEB}"/>
    <hyperlink ref="E148" r:id="rId288" display="https://kase.kz/ru/listing/issuers/MFRK" xr:uid="{700F3BFE-5CE0-4D5A-99AF-0F54396B43A8}"/>
    <hyperlink ref="B149" r:id="rId289" display="https://kase.kz/ru/investors/gsecs/MUM180_0003" xr:uid="{432FB681-E7C2-44C6-9C8C-CC5597620B52}"/>
    <hyperlink ref="E149" r:id="rId290" display="https://kase.kz/ru/listing/issuers/MFRK" xr:uid="{3BB5A8C0-A48D-45F4-AE45-DB85D6920F83}"/>
    <hyperlink ref="B150" r:id="rId291" display="https://kase.kz/ru/investors/gsecs/MUM180_0004" xr:uid="{C5E76506-9A83-439B-AEC6-C2F5855DCA63}"/>
    <hyperlink ref="E150" r:id="rId292" display="https://kase.kz/ru/listing/issuers/MFRK" xr:uid="{F5734AC5-B978-4854-91F1-ED4D030A9D27}"/>
    <hyperlink ref="B151" r:id="rId293" display="https://kase.kz/ru/investors/gsecs/MUM180_0005" xr:uid="{BB605153-1733-4592-9960-D14E9568DAE3}"/>
    <hyperlink ref="E151" r:id="rId294" display="https://kase.kz/ru/listing/issuers/MFRK" xr:uid="{CAD1AD8F-29BD-48F3-82EF-61959C75C056}"/>
    <hyperlink ref="B152" r:id="rId295" display="https://kase.kz/ru/investors/gsecs/MUM180_0006" xr:uid="{7A306361-1FE4-4B8A-B22D-F5BB78FF79B0}"/>
    <hyperlink ref="E152" r:id="rId296" display="https://kase.kz/ru/listing/issuers/MFRK" xr:uid="{157D282B-D0FC-4D36-9911-147A45C8B1AC}"/>
    <hyperlink ref="B153" r:id="rId297" display="https://kase.kz/ru/investors/gsecs/MUM180_0007" xr:uid="{FE7FB3B0-FDE6-429F-A05F-A156F740DAA3}"/>
    <hyperlink ref="E153" r:id="rId298" display="https://kase.kz/ru/listing/issuers/MFRK" xr:uid="{CD270C41-35AB-477F-BC3C-3EE2027F0609}"/>
    <hyperlink ref="B154" r:id="rId299" display="https://kase.kz/ru/investors/gsecs/MUM180_0008" xr:uid="{464D1F09-8C13-4365-998A-9B19D846A0D4}"/>
    <hyperlink ref="E154" r:id="rId300" display="https://kase.kz/ru/listing/issuers/MFRK" xr:uid="{258D48D8-0E6C-4657-8FA0-BB93278FB5B8}"/>
    <hyperlink ref="B155" r:id="rId301" display="https://kase.kz/ru/investors/gsecs/MUM180_0009" xr:uid="{3055E030-04F4-4AE3-8EE0-B981A5E895C1}"/>
    <hyperlink ref="E155" r:id="rId302" display="https://kase.kz/ru/listing/issuers/MFRK" xr:uid="{6A080C3F-9938-44DC-948E-D8338526730D}"/>
    <hyperlink ref="B156" r:id="rId303" display="https://kase.kz/ru/investors/gsecs/MUM180_0011" xr:uid="{2FAD321B-89A3-4BD8-8812-034E16092C48}"/>
    <hyperlink ref="E156" r:id="rId304" display="https://kase.kz/ru/listing/issuers/MFRK" xr:uid="{F19B09CF-FCBB-41D8-ABEF-BED5B537F8D6}"/>
    <hyperlink ref="B157" r:id="rId305" display="https://kase.kz/ru/investors/gsecs/MUM180_0012" xr:uid="{30874B06-A9DC-465E-9321-306ECE837D7C}"/>
    <hyperlink ref="E157" r:id="rId306" display="https://kase.kz/ru/listing/issuers/MFRK" xr:uid="{E708545C-033D-4696-A81B-C947A24E6735}"/>
    <hyperlink ref="B158" r:id="rId307" display="https://kase.kz/ru/investors/gsecs/MUM180_0013" xr:uid="{E4D247DB-17EB-4738-89D5-15A4D597FE81}"/>
    <hyperlink ref="E158" r:id="rId308" display="https://kase.kz/ru/listing/issuers/MFRK" xr:uid="{0D0F8877-DE79-48FA-BC08-C03DC3FB27F1}"/>
    <hyperlink ref="B159" r:id="rId309" display="https://kase.kz/ru/investors/gsecs/MUM180_0014" xr:uid="{31B904AE-FD32-47CB-BBF3-1178824FD710}"/>
    <hyperlink ref="E159" r:id="rId310" display="https://kase.kz/ru/listing/issuers/MFRK" xr:uid="{0E9680DC-2F6F-408B-9F1C-D0C22F8F1480}"/>
    <hyperlink ref="B160" r:id="rId311" display="https://kase.kz/ru/investors/gsecs/MUM180_0015" xr:uid="{064C1D57-EC51-4C1F-AF98-1F167FD7182B}"/>
    <hyperlink ref="E160" r:id="rId312" display="https://kase.kz/ru/listing/issuers/MFRK" xr:uid="{C87AD325-C5D3-4337-A44D-3CA97D1644A5}"/>
    <hyperlink ref="B161" r:id="rId313" display="https://kase.kz/ru/investors/gsecs/MUM180_0016" xr:uid="{F04090EE-5013-4F7F-BF03-1B4A78960B0C}"/>
    <hyperlink ref="E161" r:id="rId314" display="https://kase.kz/ru/listing/issuers/MFRK" xr:uid="{2B1B58FF-2C88-4143-A31D-3433AE65F5D4}"/>
    <hyperlink ref="B162" r:id="rId315" display="https://kase.kz/ru/investors/gsecs/MUM192_0001" xr:uid="{07B84F11-3450-4A73-B7B4-888BD83EB9CB}"/>
    <hyperlink ref="E162" r:id="rId316" display="https://kase.kz/ru/listing/issuers/MFRK" xr:uid="{4EC216CF-1E80-455F-910D-EE10532D5C1D}"/>
    <hyperlink ref="B163" r:id="rId317" display="https://kase.kz/ru/investors/gsecs/MUM192_0002" xr:uid="{A86590E3-F844-4422-86F3-AC9861A6EA46}"/>
    <hyperlink ref="E163" r:id="rId318" display="https://kase.kz/ru/listing/issuers/MFRK" xr:uid="{5CE39BFC-B104-4DCA-BEB5-548369E81FDE}"/>
    <hyperlink ref="B164" r:id="rId319" display="https://kase.kz/ru/investors/gsecs/MUM192_0003" xr:uid="{699016F3-77DB-429F-AEC0-E7D84819BC04}"/>
    <hyperlink ref="E164" r:id="rId320" display="https://kase.kz/ru/listing/issuers/MFRK" xr:uid="{93E64054-0391-4E71-BB14-5ADB084CD2ED}"/>
    <hyperlink ref="B165" r:id="rId321" display="https://kase.kz/ru/investors/gsecs/MUM216_0001" xr:uid="{72BA24EB-CD7B-4969-9595-BDAA5FFBBE19}"/>
    <hyperlink ref="E165" r:id="rId322" display="https://kase.kz/ru/listing/issuers/MFRK" xr:uid="{B17B9EB5-2712-4849-8DA7-02B58D9636A6}"/>
    <hyperlink ref="B166" r:id="rId323" display="https://kase.kz/ru/investors/gsecs/MUM216_0002" xr:uid="{B245B165-937E-489E-B0CB-7740716CA8C9}"/>
    <hyperlink ref="E166" r:id="rId324" display="https://kase.kz/ru/listing/issuers/MFRK" xr:uid="{D3F17EAB-0D3B-4A87-B40C-992D6864E05A}"/>
    <hyperlink ref="B167" r:id="rId325" display="https://kase.kz/ru/investors/gsecs/MUM240_0001" xr:uid="{602C52CD-B3F0-474E-B2D9-518705D58828}"/>
    <hyperlink ref="E167" r:id="rId326" display="https://kase.kz/ru/listing/issuers/MFRK" xr:uid="{47BD0506-AA60-405D-930F-7D946BC49B74}"/>
    <hyperlink ref="B168" r:id="rId327" display="https://kase.kz/ru/investors/gsecs/MUM240_0002" xr:uid="{6CD28581-3DE4-4121-81E8-1CAFDF861355}"/>
    <hyperlink ref="E168" r:id="rId328" display="https://kase.kz/ru/listing/issuers/MFRK" xr:uid="{1F66032D-4E99-4918-BDEC-4DF5DEC5FE2F}"/>
    <hyperlink ref="B169" r:id="rId329" display="https://kase.kz/ru/investors/gsecs/MUM240_0004" xr:uid="{E5884096-C312-4454-A2E7-644FDF9A858F}"/>
    <hyperlink ref="E169" r:id="rId330" display="https://kase.kz/ru/listing/issuers/MFRK" xr:uid="{313F4B63-3158-4A0D-B8FB-2AAA56CF435D}"/>
    <hyperlink ref="B170" r:id="rId331" display="https://kase.kz/ru/investors/gsecs/MUM300_0001" xr:uid="{0CA79B81-6B41-4419-B8DB-66A6E0FB0D08}"/>
    <hyperlink ref="E170" r:id="rId332" display="https://kase.kz/ru/listing/issuers/MFRK" xr:uid="{1051DF0B-17A1-446B-AE8C-3F7F6B1010EE}"/>
    <hyperlink ref="B171" r:id="rId333" display="https://kase.kz/ru/investors/gsecs/MUM300_0002" xr:uid="{8410DA73-8D25-4D04-A8D8-D727E6BD7625}"/>
    <hyperlink ref="E171" r:id="rId334" display="https://kase.kz/ru/listing/issuers/MFRK" xr:uid="{F40E1FA4-8193-4CD0-AB3B-5EB313877D3B}"/>
    <hyperlink ref="B172" r:id="rId335" display="https://kase.kz/ru/investors/gsecs/MUM300_0003" xr:uid="{98E2BF56-825D-4C7E-9F52-C933AB3E6427}"/>
    <hyperlink ref="E172" r:id="rId336" display="https://kase.kz/ru/listing/issuers/MFRK" xr:uid="{B788C31D-0ED5-494C-9635-200DB1CB7260}"/>
    <hyperlink ref="B173" r:id="rId337" display="https://kase.kz/ru/investors/gsecs/MUM360_0001" xr:uid="{C53B87DD-0226-44E8-BDBF-EB4C9D991201}"/>
    <hyperlink ref="E173" r:id="rId338" display="https://kase.kz/ru/listing/issuers/MFRK" xr:uid="{C5F8D38B-2BCF-4F32-8DA9-F5F7FAC111DA}"/>
    <hyperlink ref="B174" r:id="rId339" display="https://kase.kz/ru/investors/gsecs/MUX072_0003" xr:uid="{36F5742A-A97C-4770-A999-CFA000C063D1}"/>
    <hyperlink ref="E174" r:id="rId340" display="https://kase.kz/ru/listing/issuers/MFRK" xr:uid="{176F0213-D2A4-4622-B46C-8D0265107B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45891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6759.4397500000014</v>
      </c>
      <c r="G5" s="116">
        <v>6759.4397500000014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121086.69545000003</v>
      </c>
      <c r="G6" s="120">
        <v>121086.69545000003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101.15689999999999</v>
      </c>
      <c r="H7" s="116">
        <v>4.2300000000000004</v>
      </c>
      <c r="I7" s="113">
        <v>382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100.0817</v>
      </c>
      <c r="H8" s="116">
        <v>0.35</v>
      </c>
      <c r="I8" s="113">
        <v>276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100.0181</v>
      </c>
      <c r="H9" s="118">
        <v>0.02</v>
      </c>
      <c r="I9" s="121">
        <v>3098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100.9658</v>
      </c>
      <c r="H10" s="118">
        <v>6.08</v>
      </c>
      <c r="I10" s="121">
        <v>1713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105.8181</v>
      </c>
      <c r="H11" s="118">
        <v>7.08</v>
      </c>
      <c r="I11" s="121">
        <v>2195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100.1356</v>
      </c>
      <c r="H12" s="118">
        <v>6.09</v>
      </c>
      <c r="I12" s="121">
        <v>2122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105.08329999999999</v>
      </c>
      <c r="H13" s="118">
        <v>6.08</v>
      </c>
      <c r="I13" s="121">
        <v>2550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105.08329999999999</v>
      </c>
      <c r="H14" s="118">
        <v>6.08</v>
      </c>
      <c r="I14" s="121">
        <v>2550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71152.84610000001</v>
      </c>
      <c r="G15" s="116">
        <v>71152.84610000001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98.254304243305512</v>
      </c>
      <c r="G16" s="116">
        <v>100.47510424330551</v>
      </c>
      <c r="H16" s="116">
        <v>20.61</v>
      </c>
      <c r="I16" s="113">
        <v>679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61095.659800000009</v>
      </c>
      <c r="G19" s="116">
        <v>61095.659800000009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96.558999999999997</v>
      </c>
      <c r="G20" s="120">
        <v>97.652799999999999</v>
      </c>
      <c r="H20" s="118">
        <v>3.94</v>
      </c>
      <c r="I20" s="121">
        <v>1674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94.381432445538451</v>
      </c>
      <c r="G21" s="120">
        <v>95.367532445538458</v>
      </c>
      <c r="H21" s="118">
        <v>4</v>
      </c>
      <c r="I21" s="121">
        <v>1478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95.244827619953895</v>
      </c>
      <c r="G22" s="120">
        <v>97.960127619953894</v>
      </c>
      <c r="H22" s="118">
        <v>18.36</v>
      </c>
      <c r="I22" s="121">
        <v>275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92.331260329007563</v>
      </c>
      <c r="G23" s="120">
        <v>96.27296032900756</v>
      </c>
      <c r="H23" s="118">
        <v>18.510000000000002</v>
      </c>
      <c r="I23" s="121">
        <v>408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75.00313545262371</v>
      </c>
      <c r="G24" s="120">
        <v>80.258735452623696</v>
      </c>
      <c r="H24" s="118">
        <v>18.64</v>
      </c>
      <c r="I24" s="121">
        <v>1804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86.756238504252195</v>
      </c>
      <c r="G25" s="120">
        <v>89.756238504252195</v>
      </c>
      <c r="H25" s="118">
        <v>18.64</v>
      </c>
      <c r="I25" s="121">
        <v>2268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57.43168165770561</v>
      </c>
      <c r="G26" s="120">
        <v>63.249781657705611</v>
      </c>
      <c r="H26" s="118">
        <v>19.510000000000002</v>
      </c>
      <c r="I26" s="121">
        <v>2225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74.037204084825845</v>
      </c>
      <c r="G27" s="120">
        <v>75.985804084825844</v>
      </c>
      <c r="H27" s="118">
        <v>18.64</v>
      </c>
      <c r="I27" s="121">
        <v>2279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96.658254453262145</v>
      </c>
      <c r="G28" s="120">
        <v>98.99155445326214</v>
      </c>
      <c r="H28" s="118">
        <v>18.420000000000002</v>
      </c>
      <c r="I28" s="121">
        <v>300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102.05419999999999</v>
      </c>
      <c r="H30" s="118">
        <v>4.24</v>
      </c>
      <c r="I30" s="121">
        <v>307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100.11279999999999</v>
      </c>
      <c r="H31" s="118">
        <v>0.35</v>
      </c>
      <c r="I31" s="121">
        <v>64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100.0729</v>
      </c>
      <c r="H32" s="118">
        <v>0.35</v>
      </c>
      <c r="I32" s="121">
        <v>285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100.0826</v>
      </c>
      <c r="H33" s="118">
        <v>0.35</v>
      </c>
      <c r="I33" s="121">
        <v>635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100.0136</v>
      </c>
      <c r="H34" s="118">
        <v>0.02</v>
      </c>
      <c r="I34" s="121">
        <v>3098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100.0035</v>
      </c>
      <c r="H35" s="118">
        <v>0.02</v>
      </c>
      <c r="I35" s="121">
        <v>3098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736.41610000000014</v>
      </c>
      <c r="G36" s="120">
        <v>736.41610000000014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3023.6062500000007</v>
      </c>
      <c r="G37" s="120">
        <v>3023.6062500000007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113087.7099</v>
      </c>
      <c r="G38" s="120">
        <v>113087.7099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102.05419999999999</v>
      </c>
      <c r="H40" s="116">
        <v>4.24</v>
      </c>
      <c r="I40" s="113">
        <v>307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100.08069999999999</v>
      </c>
      <c r="H41" s="116">
        <v>0.35</v>
      </c>
      <c r="I41" s="113">
        <v>97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100.0817</v>
      </c>
      <c r="H42" s="118">
        <v>0.35</v>
      </c>
      <c r="I42" s="121">
        <v>276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100.0506</v>
      </c>
      <c r="H43" s="118">
        <v>0.35</v>
      </c>
      <c r="I43" s="121">
        <v>668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100.0009</v>
      </c>
      <c r="H44" s="118">
        <v>0.02</v>
      </c>
      <c r="I44" s="121">
        <v>3098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100.9658</v>
      </c>
      <c r="H45" s="118">
        <v>6.08</v>
      </c>
      <c r="I45" s="121">
        <v>1713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105.8181</v>
      </c>
      <c r="H46" s="118">
        <v>7.08</v>
      </c>
      <c r="I46" s="121">
        <v>2195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100.1356</v>
      </c>
      <c r="H47" s="116">
        <v>6.09</v>
      </c>
      <c r="I47" s="113">
        <v>2122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105.08329999999999</v>
      </c>
      <c r="H48" s="116">
        <v>6.08</v>
      </c>
      <c r="I48" s="113">
        <v>2550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105.08329999999999</v>
      </c>
      <c r="H49" s="116">
        <v>6.08</v>
      </c>
      <c r="I49" s="113">
        <v>2550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103.9481</v>
      </c>
      <c r="H50" s="116">
        <v>6.08</v>
      </c>
      <c r="I50" s="113">
        <v>2617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2991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1392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99.461553200984397</v>
      </c>
      <c r="G54" s="120">
        <v>101.1948532009844</v>
      </c>
      <c r="H54" s="118">
        <v>26.26</v>
      </c>
      <c r="I54" s="121">
        <v>966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93.027940834629163</v>
      </c>
      <c r="G56" s="120">
        <v>96.521740834629156</v>
      </c>
      <c r="H56" s="118">
        <v>17.52</v>
      </c>
      <c r="I56" s="121">
        <v>423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101.7236</v>
      </c>
      <c r="H57" s="118">
        <v>4.24</v>
      </c>
      <c r="I57" s="121">
        <v>334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100.0197</v>
      </c>
      <c r="H58" s="118">
        <v>0.02</v>
      </c>
      <c r="I58" s="121">
        <v>3098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104.6939</v>
      </c>
      <c r="H59" s="118">
        <v>7.05</v>
      </c>
      <c r="I59" s="121">
        <v>2195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100.9658</v>
      </c>
      <c r="H60" s="116">
        <v>6.08</v>
      </c>
      <c r="I60" s="113">
        <v>1713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105.8181</v>
      </c>
      <c r="H61" s="116">
        <v>7.08</v>
      </c>
      <c r="I61" s="113">
        <v>2195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100.1356</v>
      </c>
      <c r="H62" s="118">
        <v>6.09</v>
      </c>
      <c r="I62" s="121">
        <v>2122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105.08329999999999</v>
      </c>
      <c r="H63" s="118">
        <v>6.08</v>
      </c>
      <c r="I63" s="121">
        <v>2550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105.08329999999999</v>
      </c>
      <c r="H64" s="118">
        <v>6.08</v>
      </c>
      <c r="I64" s="121">
        <v>2550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103.9481</v>
      </c>
      <c r="H65" s="118">
        <v>6.08</v>
      </c>
      <c r="I65" s="121">
        <v>2617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89.093601675804095</v>
      </c>
      <c r="G66" s="120">
        <v>90.368601675804086</v>
      </c>
      <c r="H66" s="118">
        <v>29.2</v>
      </c>
      <c r="I66" s="121">
        <v>2502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100.33231735291773</v>
      </c>
      <c r="G68" s="120">
        <v>101.57671735291773</v>
      </c>
      <c r="H68" s="118">
        <v>7.84</v>
      </c>
      <c r="I68" s="121">
        <v>844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88512.377450000015</v>
      </c>
      <c r="G71" s="120">
        <v>88512.377450000015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119495.60665000002</v>
      </c>
      <c r="G75" s="120">
        <v>119495.60665000002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91.81568859398314</v>
      </c>
      <c r="G77" s="120">
        <v>100.88238859398314</v>
      </c>
      <c r="H77" s="118">
        <v>28.23</v>
      </c>
      <c r="I77" s="121">
        <v>2392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93.026043909830108</v>
      </c>
      <c r="G78" s="120">
        <v>97.50384390983011</v>
      </c>
      <c r="H78" s="118">
        <v>28.24</v>
      </c>
      <c r="I78" s="121">
        <v>2638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92.936642213480539</v>
      </c>
      <c r="G79" s="120">
        <v>101.16994221348054</v>
      </c>
      <c r="H79" s="118">
        <v>28.23</v>
      </c>
      <c r="I79" s="121">
        <v>2766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100.0021</v>
      </c>
      <c r="H80" s="118">
        <v>0.02</v>
      </c>
      <c r="I80" s="121">
        <v>3098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100.9658</v>
      </c>
      <c r="H81" s="118">
        <v>6.08</v>
      </c>
      <c r="I81" s="121">
        <v>1713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105.8181</v>
      </c>
      <c r="H82" s="116">
        <v>7.08</v>
      </c>
      <c r="I82" s="113">
        <v>2195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100.1356</v>
      </c>
      <c r="H83" s="116">
        <v>6.09</v>
      </c>
      <c r="I83" s="113">
        <v>2122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105.08329999999999</v>
      </c>
      <c r="H84" s="116">
        <v>6.08</v>
      </c>
      <c r="I84" s="113">
        <v>2550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105.08329999999999</v>
      </c>
      <c r="H85" s="118">
        <v>6.08</v>
      </c>
      <c r="I85" s="121">
        <v>2550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103.9481</v>
      </c>
      <c r="H86" s="116">
        <v>6.08</v>
      </c>
      <c r="I86" s="113">
        <v>2617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87.691427290809003</v>
      </c>
      <c r="G87" s="116">
        <v>95.481727290809005</v>
      </c>
      <c r="H87" s="116">
        <v>24.64</v>
      </c>
      <c r="I87" s="113">
        <v>1479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98.256230693264939</v>
      </c>
      <c r="G88" s="116">
        <v>98.39623069326494</v>
      </c>
      <c r="H88" s="116">
        <v>0.73</v>
      </c>
      <c r="I88" s="113">
        <v>4956</v>
      </c>
      <c r="J88" s="115" t="s">
        <v>271</v>
      </c>
    </row>
    <row r="89" spans="1:10" x14ac:dyDescent="0.25">
      <c r="A89" s="117">
        <v>86</v>
      </c>
      <c r="B89" s="114" t="s">
        <v>2320</v>
      </c>
      <c r="C89" s="115" t="s">
        <v>2321</v>
      </c>
      <c r="D89" s="115" t="s">
        <v>461</v>
      </c>
      <c r="E89" s="115" t="s">
        <v>2322</v>
      </c>
      <c r="F89" s="119">
        <v>100.63954937456876</v>
      </c>
      <c r="G89" s="120">
        <v>102.38334937456877</v>
      </c>
      <c r="H89" s="118">
        <v>19.940000000000001</v>
      </c>
      <c r="I89" s="121">
        <v>1049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25.376757910649488</v>
      </c>
      <c r="G90" s="120">
        <v>25.376757910649488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87.768196772110485</v>
      </c>
      <c r="G92" s="120">
        <v>93.838996772110491</v>
      </c>
      <c r="H92" s="118">
        <v>17.489999999999998</v>
      </c>
      <c r="I92" s="121">
        <v>1915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99.900999999999996</v>
      </c>
      <c r="G93" s="120">
        <v>101.1198</v>
      </c>
      <c r="H93" s="118">
        <v>3.79</v>
      </c>
      <c r="I93" s="121">
        <v>963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101.81100000000001</v>
      </c>
      <c r="G94" s="120">
        <v>103.8284</v>
      </c>
      <c r="H94" s="118">
        <v>3.82</v>
      </c>
      <c r="I94" s="121">
        <v>1274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96.129985338726101</v>
      </c>
      <c r="G95" s="120">
        <v>97.330385338726103</v>
      </c>
      <c r="H95" s="118">
        <v>17.02</v>
      </c>
      <c r="I95" s="121">
        <v>509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98.19282463970886</v>
      </c>
      <c r="G96" s="120">
        <v>98.894124639708849</v>
      </c>
      <c r="H96" s="118">
        <v>15.21</v>
      </c>
      <c r="I96" s="121">
        <v>158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92.710829297525052</v>
      </c>
      <c r="G97" s="120">
        <v>99.319829297525047</v>
      </c>
      <c r="H97" s="118">
        <v>17.73</v>
      </c>
      <c r="I97" s="121">
        <v>1646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76.8</v>
      </c>
      <c r="G98" s="120">
        <v>81.170100000000005</v>
      </c>
      <c r="H98" s="118">
        <v>16.68</v>
      </c>
      <c r="I98" s="121">
        <v>1915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1.0151702777777778</v>
      </c>
      <c r="G99" s="120">
        <v>1.0151702777777778</v>
      </c>
      <c r="H99" s="118">
        <v>0</v>
      </c>
      <c r="I99" s="121">
        <v>205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0.8834630555555556</v>
      </c>
      <c r="G100" s="120">
        <v>0.8834630555555556</v>
      </c>
      <c r="H100" s="118">
        <v>0</v>
      </c>
      <c r="I100" s="121">
        <v>1466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79.691999999999993</v>
      </c>
      <c r="G101" s="120">
        <v>84.428100000000001</v>
      </c>
      <c r="H101" s="118">
        <v>16.690000000000001</v>
      </c>
      <c r="I101" s="121">
        <v>1915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100.4958</v>
      </c>
      <c r="H102" s="118">
        <v>4.24</v>
      </c>
      <c r="I102" s="121">
        <v>258</v>
      </c>
      <c r="J102" s="115" t="s">
        <v>271</v>
      </c>
    </row>
    <row r="103" spans="1:10" x14ac:dyDescent="0.25">
      <c r="A103" s="117">
        <v>100</v>
      </c>
      <c r="B103" s="114" t="s">
        <v>2316</v>
      </c>
      <c r="C103" s="115" t="s">
        <v>2317</v>
      </c>
      <c r="D103" s="115" t="s">
        <v>461</v>
      </c>
      <c r="E103" s="115" t="s">
        <v>661</v>
      </c>
      <c r="F103" s="119">
        <v>100</v>
      </c>
      <c r="G103" s="120">
        <v>100.4486</v>
      </c>
      <c r="H103" s="118">
        <v>4.24</v>
      </c>
      <c r="I103" s="121">
        <v>622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100.0924</v>
      </c>
      <c r="H104" s="118">
        <v>0.35</v>
      </c>
      <c r="I104" s="121">
        <v>265</v>
      </c>
      <c r="J104" s="115" t="s">
        <v>271</v>
      </c>
    </row>
    <row r="105" spans="1:10" x14ac:dyDescent="0.25">
      <c r="A105" s="117">
        <v>102</v>
      </c>
      <c r="B105" s="114" t="s">
        <v>2392</v>
      </c>
      <c r="C105" s="115" t="s">
        <v>2393</v>
      </c>
      <c r="D105" s="115" t="s">
        <v>461</v>
      </c>
      <c r="E105" s="115" t="s">
        <v>661</v>
      </c>
      <c r="F105" s="119">
        <v>100</v>
      </c>
      <c r="G105" s="120">
        <v>100.0214</v>
      </c>
      <c r="H105" s="118">
        <v>0.35</v>
      </c>
      <c r="I105" s="121">
        <v>698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100.0009</v>
      </c>
      <c r="H106" s="118">
        <v>0.02</v>
      </c>
      <c r="I106" s="121">
        <v>3098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100.9658</v>
      </c>
      <c r="H107" s="118">
        <v>6.08</v>
      </c>
      <c r="I107" s="121">
        <v>1713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93.682083511016771</v>
      </c>
      <c r="G109" s="120">
        <v>95.707083511016762</v>
      </c>
      <c r="H109" s="118">
        <v>14.57</v>
      </c>
      <c r="I109" s="121">
        <v>459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93.614027352911819</v>
      </c>
      <c r="G112" s="120">
        <v>99.608427352911818</v>
      </c>
      <c r="H112" s="118">
        <v>28.08</v>
      </c>
      <c r="I112" s="121">
        <v>2617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90.034269419556281</v>
      </c>
      <c r="G113" s="120">
        <v>91.978669419556269</v>
      </c>
      <c r="H113" s="118">
        <v>28.08</v>
      </c>
      <c r="I113" s="121">
        <v>3122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96.472121812769402</v>
      </c>
      <c r="G116" s="120">
        <v>101.27792181276939</v>
      </c>
      <c r="H116" s="118">
        <v>17.78</v>
      </c>
      <c r="I116" s="121">
        <v>202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7.5840662350959533</v>
      </c>
      <c r="G117" s="120">
        <v>7.6684662350959529</v>
      </c>
      <c r="H117" s="118">
        <v>17.5</v>
      </c>
      <c r="I117" s="121">
        <v>5469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100.01179999999999</v>
      </c>
      <c r="H118" s="118">
        <v>4.24</v>
      </c>
      <c r="I118" s="121">
        <v>299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100.0729</v>
      </c>
      <c r="H119" s="118">
        <v>0.35</v>
      </c>
      <c r="I119" s="121">
        <v>285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100.0506</v>
      </c>
      <c r="H120" s="118">
        <v>0.35</v>
      </c>
      <c r="I120" s="121">
        <v>668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100.0181</v>
      </c>
      <c r="H121" s="118">
        <v>0.02</v>
      </c>
      <c r="I121" s="121">
        <v>3098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100.0009</v>
      </c>
      <c r="H122" s="118">
        <v>0.02</v>
      </c>
      <c r="I122" s="121">
        <v>3098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100.9658</v>
      </c>
      <c r="H123" s="118">
        <v>6.08</v>
      </c>
      <c r="I123" s="121">
        <v>1713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105.8181</v>
      </c>
      <c r="H124" s="118">
        <v>7.08</v>
      </c>
      <c r="I124" s="121">
        <v>2195</v>
      </c>
      <c r="J124" s="115" t="s">
        <v>271</v>
      </c>
    </row>
    <row r="125" spans="1:10" x14ac:dyDescent="0.25">
      <c r="A125" s="117">
        <v>122</v>
      </c>
      <c r="B125" s="114" t="s">
        <v>2396</v>
      </c>
      <c r="C125" s="115" t="s">
        <v>2397</v>
      </c>
      <c r="D125" s="115" t="s">
        <v>461</v>
      </c>
      <c r="E125" s="115" t="s">
        <v>698</v>
      </c>
      <c r="F125" s="119">
        <v>90.5614830951546</v>
      </c>
      <c r="G125" s="120">
        <v>91.673683095154601</v>
      </c>
      <c r="H125" s="118">
        <v>20.47</v>
      </c>
      <c r="I125" s="121">
        <v>3578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100.1356</v>
      </c>
      <c r="H126" s="118">
        <v>6.09</v>
      </c>
      <c r="I126" s="121">
        <v>2122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105.08329999999999</v>
      </c>
      <c r="H127" s="118">
        <v>6.08</v>
      </c>
      <c r="I127" s="121">
        <v>2550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105.08329999999999</v>
      </c>
      <c r="H128" s="118">
        <v>6.08</v>
      </c>
      <c r="I128" s="121">
        <v>2550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103.9481</v>
      </c>
      <c r="H129" s="118">
        <v>6.08</v>
      </c>
      <c r="I129" s="121">
        <v>2617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30.524000000000001</v>
      </c>
      <c r="G131" s="120">
        <v>30.647400000000001</v>
      </c>
      <c r="H131" s="118">
        <v>3.18</v>
      </c>
      <c r="I131" s="121">
        <v>34645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92.912525532660879</v>
      </c>
      <c r="G132" s="120">
        <v>93.345825532660868</v>
      </c>
      <c r="H132" s="118">
        <v>28.35</v>
      </c>
      <c r="I132" s="121">
        <v>2514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89.243684745396408</v>
      </c>
      <c r="G133" s="120">
        <v>91.674284745396406</v>
      </c>
      <c r="H133" s="118">
        <v>28.35</v>
      </c>
      <c r="I133" s="121">
        <v>3115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25930.447200000006</v>
      </c>
      <c r="G136" s="120">
        <v>25930.447200000006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121643.03900000002</v>
      </c>
      <c r="G138" s="120">
        <v>121643.03900000002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68615.264961986555</v>
      </c>
      <c r="G139" s="120">
        <v>68615.264961986555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1465.5</v>
      </c>
      <c r="G140" s="120">
        <v>1465.5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6.937455559809659</v>
      </c>
      <c r="G141" s="120">
        <v>6.937455559809659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28.663039455475602</v>
      </c>
      <c r="G144" s="120">
        <v>28.663039455475602</v>
      </c>
      <c r="H144" s="118">
        <v>17.57</v>
      </c>
      <c r="I144" s="121">
        <v>2672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98.649636280801531</v>
      </c>
      <c r="G145" s="120">
        <v>106.43703628080154</v>
      </c>
      <c r="H145" s="118">
        <v>17.649999999999999</v>
      </c>
      <c r="I145" s="121">
        <v>370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97.458633024701939</v>
      </c>
      <c r="G146" s="120">
        <v>105.27013302470193</v>
      </c>
      <c r="H146" s="118">
        <v>17.739999999999998</v>
      </c>
      <c r="I146" s="121">
        <v>735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98.967844445659907</v>
      </c>
      <c r="G147" s="120">
        <v>104.3345444456599</v>
      </c>
      <c r="H147" s="118">
        <v>18.170000000000002</v>
      </c>
      <c r="I147" s="121">
        <v>428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100.94167313923879</v>
      </c>
      <c r="G148" s="120">
        <v>103.27497313923878</v>
      </c>
      <c r="H148" s="118">
        <v>6.65</v>
      </c>
      <c r="I148" s="121">
        <v>428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99.887699999999995</v>
      </c>
      <c r="G149" s="120">
        <v>104.3835</v>
      </c>
      <c r="H149" s="118">
        <v>19.5</v>
      </c>
      <c r="I149" s="121">
        <v>637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74633.35285000001</v>
      </c>
      <c r="G150" s="120">
        <v>74633.35285000001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49272.687450000012</v>
      </c>
      <c r="G151" s="120">
        <v>49272.687450000012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11054.304450000001</v>
      </c>
      <c r="G152" s="120">
        <v>11054.304450000001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96.770638076288606</v>
      </c>
      <c r="G153" s="120">
        <v>102.44423807628861</v>
      </c>
      <c r="H153" s="118">
        <v>24.53</v>
      </c>
      <c r="I153" s="121">
        <v>445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17738.490000000002</v>
      </c>
      <c r="G154" s="120">
        <v>17738.490000000002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92.114902153172196</v>
      </c>
      <c r="G155" s="120">
        <v>102.1941021531722</v>
      </c>
      <c r="H155" s="118">
        <v>24.34</v>
      </c>
      <c r="I155" s="121">
        <v>1083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76.773766042707564</v>
      </c>
      <c r="G156" s="120">
        <v>76.773766042707564</v>
      </c>
      <c r="H156" s="118">
        <v>17.059999999999999</v>
      </c>
      <c r="I156" s="121">
        <v>2520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76.149666240666761</v>
      </c>
      <c r="G157" s="120">
        <v>81.743466240666763</v>
      </c>
      <c r="H157" s="118">
        <v>18.809999999999999</v>
      </c>
      <c r="I157" s="121">
        <v>1801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82.695035083852758</v>
      </c>
      <c r="G158" s="120">
        <v>88.133935083852762</v>
      </c>
      <c r="H158" s="118">
        <v>18.79</v>
      </c>
      <c r="I158" s="121">
        <v>1082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77.649965834789057</v>
      </c>
      <c r="G159" s="120">
        <v>80.06386583478907</v>
      </c>
      <c r="H159" s="118">
        <v>18.809999999999999</v>
      </c>
      <c r="I159" s="121">
        <v>1541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79.223346824919318</v>
      </c>
      <c r="G160" s="120">
        <v>81.178946824919322</v>
      </c>
      <c r="H160" s="118">
        <v>17.54</v>
      </c>
      <c r="I160" s="121">
        <v>1736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93.653679961522599</v>
      </c>
      <c r="G161" s="120">
        <v>95.431479961522598</v>
      </c>
      <c r="H161" s="118">
        <v>18.61</v>
      </c>
      <c r="I161" s="121">
        <v>296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8.5822585662757849</v>
      </c>
      <c r="G162" s="120">
        <v>8.6385585662757851</v>
      </c>
      <c r="H162" s="118">
        <v>18.850000000000001</v>
      </c>
      <c r="I162" s="121">
        <v>5085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7.7809014711912168</v>
      </c>
      <c r="G163" s="120">
        <v>7.8217014711912167</v>
      </c>
      <c r="H163" s="118">
        <v>18.850000000000001</v>
      </c>
      <c r="I163" s="121">
        <v>5302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77.039532465418674</v>
      </c>
      <c r="G164" s="120">
        <v>79.432332465418668</v>
      </c>
      <c r="H164" s="118">
        <v>18.809999999999999</v>
      </c>
      <c r="I164" s="121">
        <v>1907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87.402277028064731</v>
      </c>
      <c r="G165" s="120">
        <v>89.795077028064725</v>
      </c>
      <c r="H165" s="118">
        <v>18.760000000000002</v>
      </c>
      <c r="I165" s="121">
        <v>827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56.983436669989253</v>
      </c>
      <c r="G166" s="120">
        <v>62.801536669989247</v>
      </c>
      <c r="H166" s="118">
        <v>19.7</v>
      </c>
      <c r="I166" s="121">
        <v>2225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22.458294414630327</v>
      </c>
      <c r="G167" s="120">
        <v>22.780494414630326</v>
      </c>
      <c r="H167" s="118">
        <v>18.809999999999999</v>
      </c>
      <c r="I167" s="121">
        <v>3173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20.183264247702347</v>
      </c>
      <c r="G168" s="120">
        <v>20.442964247702349</v>
      </c>
      <c r="H168" s="118">
        <v>19.739999999999998</v>
      </c>
      <c r="I168" s="121">
        <v>3413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96.850391300907887</v>
      </c>
      <c r="G169" s="120">
        <v>100.23369130090789</v>
      </c>
      <c r="H169" s="118">
        <v>18.53</v>
      </c>
      <c r="I169" s="121">
        <v>273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103.0146</v>
      </c>
      <c r="H170" s="118">
        <v>17.41</v>
      </c>
      <c r="I170" s="121">
        <v>219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2978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47.06472104683634</v>
      </c>
      <c r="G172" s="120">
        <v>50.998021046836342</v>
      </c>
      <c r="H172" s="118">
        <v>18.739999999999998</v>
      </c>
      <c r="I172" s="121">
        <v>2974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96.113732961730108</v>
      </c>
      <c r="G173" s="120">
        <v>96.930432961730105</v>
      </c>
      <c r="H173" s="118">
        <v>18.649999999999999</v>
      </c>
      <c r="I173" s="121">
        <v>339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86.695649296254487</v>
      </c>
      <c r="G174" s="120">
        <v>87.695649296254487</v>
      </c>
      <c r="H174" s="118">
        <v>18.8</v>
      </c>
      <c r="I174" s="121">
        <v>2136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95.762640157523379</v>
      </c>
      <c r="G175" s="120">
        <v>98.986840157523389</v>
      </c>
      <c r="H175" s="118">
        <v>17.510000000000002</v>
      </c>
      <c r="I175" s="121">
        <v>254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89.600436209239035</v>
      </c>
      <c r="G176" s="120">
        <v>90.469036209239036</v>
      </c>
      <c r="H176" s="118">
        <v>5.07</v>
      </c>
      <c r="I176" s="121">
        <v>2054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101.258</v>
      </c>
      <c r="G177" s="120">
        <v>103.1983</v>
      </c>
      <c r="H177" s="118">
        <v>4.6900000000000004</v>
      </c>
      <c r="I177" s="121">
        <v>593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93.594360881693376</v>
      </c>
      <c r="G178" s="120">
        <v>98.180460881693378</v>
      </c>
      <c r="H178" s="118">
        <v>17.61</v>
      </c>
      <c r="I178" s="121">
        <v>593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101.43600000000001</v>
      </c>
      <c r="G179" s="120">
        <v>103.17140000000001</v>
      </c>
      <c r="H179" s="118">
        <v>4.8600000000000003</v>
      </c>
      <c r="I179" s="121">
        <v>1501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89.57</v>
      </c>
      <c r="G180" s="120">
        <v>92.904799999999994</v>
      </c>
      <c r="H180" s="118">
        <v>18.45</v>
      </c>
      <c r="I180" s="121">
        <v>991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102.71</v>
      </c>
      <c r="G181" s="120">
        <v>104.8194</v>
      </c>
      <c r="H181" s="118">
        <v>4.96</v>
      </c>
      <c r="I181" s="121">
        <v>1665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100.36491823004977</v>
      </c>
      <c r="G182" s="120">
        <v>102.84821823004977</v>
      </c>
      <c r="H182" s="118">
        <v>5.35</v>
      </c>
      <c r="I182" s="121">
        <v>211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103.34730164592233</v>
      </c>
      <c r="G184" s="120">
        <v>104.23270164592232</v>
      </c>
      <c r="H184" s="118">
        <v>5.28</v>
      </c>
      <c r="I184" s="121">
        <v>1389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61.132966376704474</v>
      </c>
      <c r="G186" s="120">
        <v>62.086166376704469</v>
      </c>
      <c r="H186" s="118">
        <v>18.96</v>
      </c>
      <c r="I186" s="121">
        <v>1743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55.89768176877925</v>
      </c>
      <c r="G187" s="120">
        <v>56.031481768779244</v>
      </c>
      <c r="H187" s="118">
        <v>18.97</v>
      </c>
      <c r="I187" s="121">
        <v>2152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51.305108035152948</v>
      </c>
      <c r="G188" s="120">
        <v>56.321808035152948</v>
      </c>
      <c r="H188" s="118">
        <v>18.98</v>
      </c>
      <c r="I188" s="121">
        <v>2580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51.305108035152948</v>
      </c>
      <c r="G189" s="120">
        <v>56.321808035152948</v>
      </c>
      <c r="H189" s="118">
        <v>18.98</v>
      </c>
      <c r="I189" s="121">
        <v>2580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64.667882076656923</v>
      </c>
      <c r="G190" s="120">
        <v>66.119282076656916</v>
      </c>
      <c r="H190" s="118">
        <v>17.77</v>
      </c>
      <c r="I190" s="121">
        <v>3005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88.582122631370282</v>
      </c>
      <c r="G191" s="120">
        <v>91.909722631370286</v>
      </c>
      <c r="H191" s="118">
        <v>17.73</v>
      </c>
      <c r="I191" s="121">
        <v>1351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99.840999999999994</v>
      </c>
      <c r="G192" s="120">
        <v>106.0825</v>
      </c>
      <c r="H192" s="118">
        <v>16.670000000000002</v>
      </c>
      <c r="I192" s="121">
        <v>18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98.276195099272542</v>
      </c>
      <c r="G193" s="120">
        <v>101.51719509927254</v>
      </c>
      <c r="H193" s="118">
        <v>16.78</v>
      </c>
      <c r="I193" s="121">
        <v>216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98.843169884592243</v>
      </c>
      <c r="G194" s="120">
        <v>101.17646988459225</v>
      </c>
      <c r="H194" s="118">
        <v>16.8</v>
      </c>
      <c r="I194" s="121">
        <v>214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99.605061378111415</v>
      </c>
      <c r="G195" s="120">
        <v>105.98006137811142</v>
      </c>
      <c r="H195" s="118">
        <v>17.18</v>
      </c>
      <c r="I195" s="121">
        <v>315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99.871310780506477</v>
      </c>
      <c r="G196" s="120">
        <v>105.99461078050648</v>
      </c>
      <c r="H196" s="118">
        <v>16.809999999999999</v>
      </c>
      <c r="I196" s="121">
        <v>228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97.899500000000003</v>
      </c>
      <c r="G197" s="120">
        <v>102.7817</v>
      </c>
      <c r="H197" s="118">
        <v>17.5</v>
      </c>
      <c r="I197" s="121">
        <v>1696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99.595509489689874</v>
      </c>
      <c r="G198" s="120">
        <v>102.99830948968987</v>
      </c>
      <c r="H198" s="118">
        <v>17.559999999999999</v>
      </c>
      <c r="I198" s="121">
        <v>1730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99.595509489689874</v>
      </c>
      <c r="G199" s="120">
        <v>102.99830948968987</v>
      </c>
      <c r="H199" s="118">
        <v>17.559999999999999</v>
      </c>
      <c r="I199" s="121">
        <v>1730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99.538812011157901</v>
      </c>
      <c r="G200" s="120">
        <v>104.1308120111579</v>
      </c>
      <c r="H200" s="118">
        <v>17.23</v>
      </c>
      <c r="I200" s="121">
        <v>271</v>
      </c>
      <c r="J200" s="115" t="s">
        <v>271</v>
      </c>
    </row>
    <row r="201" spans="1:10" x14ac:dyDescent="0.25">
      <c r="A201" s="117">
        <v>198</v>
      </c>
      <c r="B201" s="114" t="s">
        <v>2342</v>
      </c>
      <c r="C201" s="115" t="s">
        <v>2343</v>
      </c>
      <c r="D201" s="115" t="s">
        <v>461</v>
      </c>
      <c r="E201" s="115" t="s">
        <v>391</v>
      </c>
      <c r="F201" s="119">
        <v>100.06046070631295</v>
      </c>
      <c r="G201" s="120">
        <v>101.61226070631295</v>
      </c>
      <c r="H201" s="118">
        <v>17.559999999999999</v>
      </c>
      <c r="I201" s="121">
        <v>338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78.541176053922499</v>
      </c>
      <c r="G202" s="120">
        <v>81.711476053922496</v>
      </c>
      <c r="H202" s="118">
        <v>17.760000000000002</v>
      </c>
      <c r="I202" s="121">
        <v>1879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88.4854988240442</v>
      </c>
      <c r="G203" s="120">
        <v>90.776898824044196</v>
      </c>
      <c r="H203" s="118">
        <v>17.579999999999998</v>
      </c>
      <c r="I203" s="121">
        <v>827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78.351627231446116</v>
      </c>
      <c r="G204" s="120">
        <v>80.643027231446126</v>
      </c>
      <c r="H204" s="118">
        <v>17.75</v>
      </c>
      <c r="I204" s="121">
        <v>1907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77.288545370015868</v>
      </c>
      <c r="G205" s="120">
        <v>81.963545370015865</v>
      </c>
      <c r="H205" s="118">
        <v>17.54</v>
      </c>
      <c r="I205" s="121">
        <v>2007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75.528128589399984</v>
      </c>
      <c r="G206" s="120">
        <v>77.392028589399985</v>
      </c>
      <c r="H206" s="118">
        <v>17.54</v>
      </c>
      <c r="I206" s="121">
        <v>2279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76.843849477656846</v>
      </c>
      <c r="G207" s="120">
        <v>84.282749477656836</v>
      </c>
      <c r="H207" s="118">
        <v>17.53</v>
      </c>
      <c r="I207" s="121">
        <v>4834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101.10235313673404</v>
      </c>
      <c r="G208" s="120">
        <v>102.67675313673404</v>
      </c>
      <c r="H208" s="118">
        <v>5.01</v>
      </c>
      <c r="I208" s="121">
        <v>976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97.186766049175603</v>
      </c>
      <c r="G209" s="120">
        <v>101.3284660491756</v>
      </c>
      <c r="H209" s="118">
        <v>21.4</v>
      </c>
      <c r="I209" s="121">
        <v>98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224692.91530000005</v>
      </c>
      <c r="G211" s="116">
        <v>224692.91530000005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4449.8625861448436</v>
      </c>
      <c r="G212" s="116">
        <v>4449.8625861448436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99.036561673323462</v>
      </c>
      <c r="G213" s="116">
        <v>103.00876167332346</v>
      </c>
      <c r="H213" s="116">
        <v>19.52</v>
      </c>
      <c r="I213" s="113">
        <v>37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85.264104809495578</v>
      </c>
      <c r="G214" s="116">
        <v>85.830804809495575</v>
      </c>
      <c r="H214" s="116">
        <v>19.87</v>
      </c>
      <c r="I214" s="113">
        <v>883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97.20386651590394</v>
      </c>
      <c r="G215" s="116">
        <v>98.876766515903938</v>
      </c>
      <c r="H215" s="116">
        <v>19.5</v>
      </c>
      <c r="I215" s="113">
        <v>125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80.719021471838985</v>
      </c>
      <c r="G216" s="116">
        <v>84.009321471838987</v>
      </c>
      <c r="H216" s="116">
        <v>19.87</v>
      </c>
      <c r="I216" s="113">
        <v>1157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98.777330980950879</v>
      </c>
      <c r="G217" s="116">
        <v>98.777330980950879</v>
      </c>
      <c r="H217" s="116">
        <v>4.79</v>
      </c>
      <c r="I217" s="113">
        <v>93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6718.393643004003</v>
      </c>
      <c r="G218" s="116">
        <v>6718.393643004003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2423</v>
      </c>
      <c r="C219" s="115" t="s">
        <v>2424</v>
      </c>
      <c r="D219" s="115" t="s">
        <v>461</v>
      </c>
      <c r="E219" s="115" t="s">
        <v>2425</v>
      </c>
      <c r="F219" s="116">
        <v>100</v>
      </c>
      <c r="G219" s="116">
        <v>104.7238</v>
      </c>
      <c r="H219" s="116">
        <v>16.100000000000001</v>
      </c>
      <c r="I219" s="113">
        <v>667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84.275345294175438</v>
      </c>
      <c r="G220" s="116">
        <v>85.589245294175441</v>
      </c>
      <c r="H220" s="116">
        <v>38.56</v>
      </c>
      <c r="I220" s="113">
        <v>428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76.60660830255857</v>
      </c>
      <c r="G221" s="116">
        <v>78.99830830255857</v>
      </c>
      <c r="H221" s="116">
        <v>38.479999999999997</v>
      </c>
      <c r="I221" s="113">
        <v>678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75.911707491188366</v>
      </c>
      <c r="G222" s="116">
        <v>78.133907491188367</v>
      </c>
      <c r="H222" s="116">
        <v>38.479999999999997</v>
      </c>
      <c r="I222" s="113">
        <v>680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98.206031991260261</v>
      </c>
      <c r="G223" s="116">
        <v>103.10603199126027</v>
      </c>
      <c r="H223" s="116">
        <v>39.46</v>
      </c>
      <c r="I223" s="113">
        <v>36</v>
      </c>
      <c r="J223" s="115" t="s">
        <v>271</v>
      </c>
    </row>
    <row r="224" spans="1:10" x14ac:dyDescent="0.25">
      <c r="A224" s="113">
        <v>221</v>
      </c>
      <c r="B224" s="114" t="s">
        <v>2346</v>
      </c>
      <c r="C224" s="115" t="s">
        <v>2347</v>
      </c>
      <c r="D224" s="115" t="s">
        <v>461</v>
      </c>
      <c r="E224" s="115" t="s">
        <v>861</v>
      </c>
      <c r="F224" s="116">
        <v>92.968284488028772</v>
      </c>
      <c r="G224" s="116">
        <v>94.601584488028777</v>
      </c>
      <c r="H224" s="116">
        <v>40.39</v>
      </c>
      <c r="I224" s="113">
        <v>152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50734.76905000001</v>
      </c>
      <c r="G225" s="116">
        <v>50734.76905000001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131092.81640000001</v>
      </c>
      <c r="G227" s="116">
        <v>131092.81640000001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5887122.6399999997</v>
      </c>
      <c r="G229" s="116">
        <v>5887122.6399999997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1747941.28</v>
      </c>
      <c r="G231" s="116">
        <v>1747941.28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49471.573550000008</v>
      </c>
      <c r="G232" s="116">
        <v>49471.573550000008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62229.84810000001</v>
      </c>
      <c r="G233" s="116">
        <v>62229.84810000001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73.13989854638848</v>
      </c>
      <c r="G234" s="116">
        <v>73.792698546388479</v>
      </c>
      <c r="H234" s="116">
        <v>25.83</v>
      </c>
      <c r="I234" s="113">
        <v>1060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100.3424</v>
      </c>
      <c r="H235" s="116">
        <v>4.24</v>
      </c>
      <c r="I235" s="113">
        <v>271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100.0885</v>
      </c>
      <c r="H236" s="116">
        <v>0.35</v>
      </c>
      <c r="I236" s="113">
        <v>89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100.08069999999999</v>
      </c>
      <c r="H237" s="116">
        <v>0.35</v>
      </c>
      <c r="I237" s="113">
        <v>97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100.0933</v>
      </c>
      <c r="H238" s="116">
        <v>0.35</v>
      </c>
      <c r="I238" s="113">
        <v>264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100.1206</v>
      </c>
      <c r="H239" s="116">
        <v>0.35</v>
      </c>
      <c r="I239" s="113">
        <v>596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100.0035</v>
      </c>
      <c r="H240" s="116">
        <v>0.02</v>
      </c>
      <c r="I240" s="113">
        <v>3098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100.9658</v>
      </c>
      <c r="H241" s="116">
        <v>6.08</v>
      </c>
      <c r="I241" s="113">
        <v>1713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105.8181</v>
      </c>
      <c r="H242" s="116">
        <v>7.08</v>
      </c>
      <c r="I242" s="113">
        <v>2195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100.1356</v>
      </c>
      <c r="H243" s="116">
        <v>6.09</v>
      </c>
      <c r="I243" s="113">
        <v>2122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105.08329999999999</v>
      </c>
      <c r="H244" s="116">
        <v>6.08</v>
      </c>
      <c r="I244" s="113">
        <v>2550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105.08329999999999</v>
      </c>
      <c r="H245" s="116">
        <v>6.08</v>
      </c>
      <c r="I245" s="113">
        <v>2550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103.9481</v>
      </c>
      <c r="H246" s="116">
        <v>6.08</v>
      </c>
      <c r="I246" s="113">
        <v>2617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100.13044221407866</v>
      </c>
      <c r="G247" s="116">
        <v>102.54554221407865</v>
      </c>
      <c r="H247" s="116">
        <v>5.48</v>
      </c>
      <c r="I247" s="113">
        <v>208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97.682720136235929</v>
      </c>
      <c r="G248" s="116">
        <v>105.60742013623593</v>
      </c>
      <c r="H248" s="116">
        <v>17.43</v>
      </c>
      <c r="I248" s="113">
        <v>917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94.172573793811154</v>
      </c>
      <c r="G249" s="116">
        <v>103.40257379381114</v>
      </c>
      <c r="H249" s="116">
        <v>17.48</v>
      </c>
      <c r="I249" s="113">
        <v>666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90.845558158285939</v>
      </c>
      <c r="G250" s="116">
        <v>96.336058158285937</v>
      </c>
      <c r="H250" s="116">
        <v>17.510000000000002</v>
      </c>
      <c r="I250" s="113">
        <v>742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93.798683585553704</v>
      </c>
      <c r="G251" s="116">
        <v>107.66178358555371</v>
      </c>
      <c r="H251" s="116">
        <v>18.2</v>
      </c>
      <c r="I251" s="113">
        <v>731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100.0977456114087</v>
      </c>
      <c r="G252" s="116">
        <v>107.1936456114087</v>
      </c>
      <c r="H252" s="116">
        <v>17.420000000000002</v>
      </c>
      <c r="I252" s="113">
        <v>948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106.32296316523771</v>
      </c>
      <c r="G253" s="116">
        <v>106.79546316523771</v>
      </c>
      <c r="H253" s="116">
        <v>4.84</v>
      </c>
      <c r="I253" s="113">
        <v>1773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96.807439042909678</v>
      </c>
      <c r="G254" s="116">
        <v>97.240339042909667</v>
      </c>
      <c r="H254" s="116">
        <v>6.92</v>
      </c>
      <c r="I254" s="113">
        <v>207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98.019525764072867</v>
      </c>
      <c r="G255" s="116">
        <v>100.81062576407287</v>
      </c>
      <c r="H255" s="116">
        <v>15.82</v>
      </c>
      <c r="I255" s="113">
        <v>837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98.366890301659481</v>
      </c>
      <c r="G256" s="116">
        <v>98.493090301659478</v>
      </c>
      <c r="H256" s="116">
        <v>15.84</v>
      </c>
      <c r="I256" s="113">
        <v>1077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98.033145294383004</v>
      </c>
      <c r="G257" s="116">
        <v>101.408145294383</v>
      </c>
      <c r="H257" s="116">
        <v>15.86</v>
      </c>
      <c r="I257" s="113">
        <v>1546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355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422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98.830878313350894</v>
      </c>
      <c r="G260" s="116">
        <v>107.92237831335089</v>
      </c>
      <c r="H260" s="116">
        <v>16.73</v>
      </c>
      <c r="I260" s="113">
        <v>121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100.59910000000001</v>
      </c>
      <c r="H261" s="116">
        <v>15.61</v>
      </c>
      <c r="I261" s="113">
        <v>535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102.37179999999999</v>
      </c>
      <c r="H262" s="116">
        <v>15.73</v>
      </c>
      <c r="I262" s="113">
        <v>1314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101.357</v>
      </c>
      <c r="G263" s="116">
        <v>103.3379</v>
      </c>
      <c r="H263" s="116">
        <v>3.81</v>
      </c>
      <c r="I263" s="113">
        <v>917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100.965</v>
      </c>
      <c r="G264" s="116">
        <v>101.2744</v>
      </c>
      <c r="H264" s="116">
        <v>3.82</v>
      </c>
      <c r="I264" s="113">
        <v>1233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103.90819999999999</v>
      </c>
      <c r="H265" s="116">
        <v>15.85</v>
      </c>
      <c r="I265" s="113">
        <v>551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104.6756</v>
      </c>
      <c r="H266" s="116">
        <v>16.059999999999999</v>
      </c>
      <c r="I266" s="113">
        <v>990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99.244659770072289</v>
      </c>
      <c r="G267" s="116">
        <v>104.4901597700723</v>
      </c>
      <c r="H267" s="116">
        <v>15.56</v>
      </c>
      <c r="I267" s="113">
        <v>186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98.966564909219329</v>
      </c>
      <c r="G268" s="116">
        <v>101.54216490921934</v>
      </c>
      <c r="H268" s="116">
        <v>15.87</v>
      </c>
      <c r="I268" s="113">
        <v>299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97.61521920221702</v>
      </c>
      <c r="G269" s="116">
        <v>99.072319202217017</v>
      </c>
      <c r="H269" s="116">
        <v>15.79</v>
      </c>
      <c r="I269" s="113">
        <v>686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98.96301690286171</v>
      </c>
      <c r="G270" s="116">
        <v>101.75411690286171</v>
      </c>
      <c r="H270" s="116">
        <v>15.75</v>
      </c>
      <c r="I270" s="113">
        <v>477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98.820999999999998</v>
      </c>
      <c r="G271" s="116">
        <v>99.696700000000007</v>
      </c>
      <c r="H271" s="116">
        <v>3.8</v>
      </c>
      <c r="I271" s="113">
        <v>803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98.876999999999995</v>
      </c>
      <c r="G272" s="116">
        <v>99.249600000000001</v>
      </c>
      <c r="H272" s="116">
        <v>3.88</v>
      </c>
      <c r="I272" s="113">
        <v>1763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46.408918904479151</v>
      </c>
      <c r="G274" s="116">
        <v>49.786718904479152</v>
      </c>
      <c r="H274" s="116">
        <v>17.809999999999999</v>
      </c>
      <c r="I274" s="113">
        <v>2576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94.814589053890003</v>
      </c>
      <c r="G275" s="116">
        <v>95.027489053890008</v>
      </c>
      <c r="H275" s="116">
        <v>16.899999999999999</v>
      </c>
      <c r="I275" s="113">
        <v>353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87.489745510254551</v>
      </c>
      <c r="G276" s="116">
        <v>89.378645510254557</v>
      </c>
      <c r="H276" s="116">
        <v>18.399999999999999</v>
      </c>
      <c r="I276" s="113">
        <v>652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23433.620350000005</v>
      </c>
      <c r="G277" s="116">
        <v>23433.620350000005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95.825455628792355</v>
      </c>
      <c r="G281" s="116">
        <v>97.280055628792354</v>
      </c>
      <c r="H281" s="116">
        <v>17.28</v>
      </c>
      <c r="I281" s="113">
        <v>218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95.344227398083916</v>
      </c>
      <c r="G282" s="116">
        <v>98.728827398083922</v>
      </c>
      <c r="H282" s="116">
        <v>17.73</v>
      </c>
      <c r="I282" s="113">
        <v>239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2072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72.776380688619767</v>
      </c>
      <c r="G284" s="116">
        <v>73.631980688619763</v>
      </c>
      <c r="H284" s="116">
        <v>18.03</v>
      </c>
      <c r="I284" s="113">
        <v>2492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96.658390231466697</v>
      </c>
      <c r="G285" s="116">
        <v>96.7166902314667</v>
      </c>
      <c r="H285" s="116">
        <v>17.850000000000001</v>
      </c>
      <c r="I285" s="113">
        <v>178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22267.180250000005</v>
      </c>
      <c r="G286" s="116">
        <v>22267.180250000005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5476.0431138215827</v>
      </c>
      <c r="G289" s="116">
        <v>5476.0431138215827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2416</v>
      </c>
      <c r="F290" s="116">
        <v>554333.18780000007</v>
      </c>
      <c r="G290" s="116">
        <v>554333.18780000007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2416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2416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2416</v>
      </c>
      <c r="F293" s="116">
        <v>624733.49190000014</v>
      </c>
      <c r="G293" s="116">
        <v>624733.49190000014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101.6931</v>
      </c>
      <c r="H295" s="116">
        <v>11.47</v>
      </c>
      <c r="I295" s="113">
        <v>1027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109.66670000000001</v>
      </c>
      <c r="H296" s="116">
        <v>10</v>
      </c>
      <c r="I296" s="113">
        <v>3252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100.95849008570239</v>
      </c>
      <c r="G297" s="116">
        <v>105.7501900857024</v>
      </c>
      <c r="H297" s="116">
        <v>23.06</v>
      </c>
      <c r="I297" s="113">
        <v>201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17198.272350000003</v>
      </c>
      <c r="G298" s="116">
        <v>17198.272350000003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82.741790394355931</v>
      </c>
      <c r="G299" s="116">
        <v>86.641790394355937</v>
      </c>
      <c r="H299" s="116">
        <v>44</v>
      </c>
      <c r="I299" s="113">
        <v>243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74.684814068337658</v>
      </c>
      <c r="G300" s="116">
        <v>79.81811406833765</v>
      </c>
      <c r="H300" s="116">
        <v>44.01</v>
      </c>
      <c r="I300" s="113">
        <v>372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84.55118157940025</v>
      </c>
      <c r="G301" s="116">
        <v>89.19558157940024</v>
      </c>
      <c r="H301" s="116">
        <v>43.95</v>
      </c>
      <c r="I301" s="113">
        <v>208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94333.827350000021</v>
      </c>
      <c r="G302" s="116">
        <v>94333.827350000021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94.205276686414564</v>
      </c>
      <c r="G303" s="116">
        <v>99.394976686414566</v>
      </c>
      <c r="H303" s="116">
        <v>18.100000000000001</v>
      </c>
      <c r="I303" s="113">
        <v>383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41685.45150000001</v>
      </c>
      <c r="G304" s="116">
        <v>41685.45150000001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6087.527250000001</v>
      </c>
      <c r="G305" s="116">
        <v>6087.527250000001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5012.8480000000009</v>
      </c>
      <c r="G306" s="116">
        <v>5012.8480000000009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31891.654900000005</v>
      </c>
      <c r="G307" s="116">
        <v>31891.654900000005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165470.54755000002</v>
      </c>
      <c r="G308" s="116">
        <v>165470.54755000002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108890.13975000002</v>
      </c>
      <c r="G309" s="116">
        <v>108890.13975000002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98.509100000000004</v>
      </c>
      <c r="G310" s="116">
        <v>99.517399999999995</v>
      </c>
      <c r="H310" s="116">
        <v>18.25</v>
      </c>
      <c r="I310" s="113">
        <v>338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96.643100000000004</v>
      </c>
      <c r="G311" s="116">
        <v>97.284800000000004</v>
      </c>
      <c r="H311" s="116">
        <v>18</v>
      </c>
      <c r="I311" s="113">
        <v>1066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98.763597210738581</v>
      </c>
      <c r="G312" s="116">
        <v>107.58649721073857</v>
      </c>
      <c r="H312" s="116">
        <v>18.78</v>
      </c>
      <c r="I312" s="113">
        <v>905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97.715733244882898</v>
      </c>
      <c r="G313" s="116">
        <v>100.4470332448829</v>
      </c>
      <c r="H313" s="116">
        <v>18.72</v>
      </c>
      <c r="I313" s="113">
        <v>663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100.1529</v>
      </c>
      <c r="H314" s="116">
        <v>18</v>
      </c>
      <c r="I314" s="113">
        <v>1393</v>
      </c>
      <c r="J314" s="115" t="s">
        <v>271</v>
      </c>
    </row>
    <row r="315" spans="1:10" x14ac:dyDescent="0.25">
      <c r="A315" s="113">
        <v>312</v>
      </c>
      <c r="B315" s="114" t="s">
        <v>2344</v>
      </c>
      <c r="C315" s="115" t="s">
        <v>2345</v>
      </c>
      <c r="D315" s="115" t="s">
        <v>461</v>
      </c>
      <c r="E315" s="115" t="s">
        <v>52</v>
      </c>
      <c r="F315" s="116">
        <v>100.86722287730097</v>
      </c>
      <c r="G315" s="116">
        <v>102.88332287730097</v>
      </c>
      <c r="H315" s="116">
        <v>18.8</v>
      </c>
      <c r="I315" s="113">
        <v>1762</v>
      </c>
      <c r="J315" s="115" t="s">
        <v>271</v>
      </c>
    </row>
    <row r="316" spans="1:10" x14ac:dyDescent="0.25">
      <c r="A316" s="113">
        <v>313</v>
      </c>
      <c r="B316" s="114" t="s">
        <v>2311</v>
      </c>
      <c r="C316" s="115" t="s">
        <v>2312</v>
      </c>
      <c r="D316" s="115" t="s">
        <v>461</v>
      </c>
      <c r="E316" s="115" t="s">
        <v>52</v>
      </c>
      <c r="F316" s="116">
        <v>100.72541602498529</v>
      </c>
      <c r="G316" s="116">
        <v>103.29211602498529</v>
      </c>
      <c r="H316" s="116">
        <v>18.72</v>
      </c>
      <c r="I316" s="113">
        <v>672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53146.497310562401</v>
      </c>
      <c r="G317" s="116">
        <v>53146.497310562401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73860.914222020103</v>
      </c>
      <c r="G318" s="116">
        <v>73860.914222020103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72916.185768090843</v>
      </c>
      <c r="G319" s="116">
        <v>72916.185768090843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580567.01251924876</v>
      </c>
      <c r="G320" s="116">
        <v>580567.01251924876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532.39121320000015</v>
      </c>
      <c r="G322" s="116">
        <v>532.39121320000015</v>
      </c>
      <c r="H322" s="116">
        <v>0</v>
      </c>
      <c r="I322" s="113">
        <v>546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366.47305419800915</v>
      </c>
      <c r="G323" s="116">
        <v>366.47305419800915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102.22686445648495</v>
      </c>
      <c r="G324" s="116">
        <v>103.62406445648494</v>
      </c>
      <c r="H324" s="116">
        <v>17.989999999999998</v>
      </c>
      <c r="I324" s="113">
        <v>2133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103.73699999999999</v>
      </c>
      <c r="H325" s="116">
        <v>17</v>
      </c>
      <c r="I325" s="113">
        <v>833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13854.835750000002</v>
      </c>
      <c r="G326" s="116">
        <v>13854.835750000002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43139.470150000008</v>
      </c>
      <c r="G327" s="116">
        <v>43139.470150000008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129404.97220000002</v>
      </c>
      <c r="G328" s="116">
        <v>129404.97220000002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102.271</v>
      </c>
      <c r="G329" s="116">
        <v>102.5408</v>
      </c>
      <c r="H329" s="116">
        <v>3.8</v>
      </c>
      <c r="I329" s="113">
        <v>1059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99.162999999999997</v>
      </c>
      <c r="G330" s="116">
        <v>100.6835</v>
      </c>
      <c r="H330" s="116">
        <v>3.85</v>
      </c>
      <c r="I330" s="113">
        <v>1469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100.22499999999999</v>
      </c>
      <c r="G331" s="116">
        <v>100.6917</v>
      </c>
      <c r="H331" s="116">
        <v>3.95</v>
      </c>
      <c r="I331" s="113">
        <v>1938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102.59699999999999</v>
      </c>
      <c r="G332" s="116">
        <v>104.247</v>
      </c>
      <c r="H332" s="116">
        <v>3.98</v>
      </c>
      <c r="I332" s="113">
        <v>2028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1019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7635.6136500000011</v>
      </c>
      <c r="G334" s="116">
        <v>7635.6136500000011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100.15732705170062</v>
      </c>
      <c r="G335" s="116">
        <v>101.05732705170063</v>
      </c>
      <c r="H335" s="116">
        <v>12.89</v>
      </c>
      <c r="I335" s="113">
        <v>96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79.548485372348495</v>
      </c>
      <c r="G336" s="116">
        <v>82.859085372348488</v>
      </c>
      <c r="H336" s="116">
        <v>17.98</v>
      </c>
      <c r="I336" s="113">
        <v>1879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77.750349615127149</v>
      </c>
      <c r="G337" s="116">
        <v>82.637849615127152</v>
      </c>
      <c r="H337" s="116">
        <v>17.97</v>
      </c>
      <c r="I337" s="113">
        <v>2007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87.631942241426458</v>
      </c>
      <c r="G338" s="116">
        <v>91.07634224142646</v>
      </c>
      <c r="H338" s="116">
        <v>17.559999999999999</v>
      </c>
      <c r="I338" s="113">
        <v>1160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72.60163693473099</v>
      </c>
      <c r="G339" s="116">
        <v>80.126336934730986</v>
      </c>
      <c r="H339" s="116">
        <v>18.809999999999999</v>
      </c>
      <c r="I339" s="113">
        <v>4834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2978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4199.5812366679429</v>
      </c>
      <c r="G341" s="116">
        <v>4199.5812366679429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74954.587245288887</v>
      </c>
      <c r="G342" s="116">
        <v>74954.587245288887</v>
      </c>
      <c r="H342" s="116">
        <v>0</v>
      </c>
      <c r="I342" s="113">
        <v>146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293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1115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101.905</v>
      </c>
      <c r="G345" s="116">
        <v>102.3925</v>
      </c>
      <c r="H345" s="116">
        <v>3.8</v>
      </c>
      <c r="I345" s="113">
        <v>1041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9351</v>
      </c>
      <c r="G346" s="116">
        <v>9351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26873.812350000004</v>
      </c>
      <c r="G347" s="116">
        <v>26873.812350000004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93.011683527411435</v>
      </c>
      <c r="G348" s="116">
        <v>99.088083527411442</v>
      </c>
      <c r="H348" s="116">
        <v>19.32</v>
      </c>
      <c r="I348" s="113">
        <v>2575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92.921162102177362</v>
      </c>
      <c r="G349" s="116">
        <v>96.178062102177364</v>
      </c>
      <c r="H349" s="116">
        <v>19.32</v>
      </c>
      <c r="I349" s="113">
        <v>2633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38.524112341269664</v>
      </c>
      <c r="G350" s="116">
        <v>39.113012341269659</v>
      </c>
      <c r="H350" s="116">
        <v>20.27</v>
      </c>
      <c r="I350" s="113">
        <v>2827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38.016570860668523</v>
      </c>
      <c r="G351" s="116">
        <v>41.97217086066852</v>
      </c>
      <c r="H351" s="116">
        <v>20.28</v>
      </c>
      <c r="I351" s="113">
        <v>2884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74.996299849436099</v>
      </c>
      <c r="G352" s="116">
        <v>82.729899849436094</v>
      </c>
      <c r="H352" s="116">
        <v>25.88</v>
      </c>
      <c r="I352" s="113">
        <v>2181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40.697523110435597</v>
      </c>
      <c r="G353" s="116">
        <v>43.697523110435597</v>
      </c>
      <c r="H353" s="116">
        <v>20.28</v>
      </c>
      <c r="I353" s="113">
        <v>2610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92.18803726374297</v>
      </c>
      <c r="G354" s="116">
        <v>96.68973726374297</v>
      </c>
      <c r="H354" s="116">
        <v>19.2</v>
      </c>
      <c r="I354" s="113">
        <v>392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72.585311805246093</v>
      </c>
      <c r="G355" s="116">
        <v>74.72521180524609</v>
      </c>
      <c r="H355" s="116">
        <v>19.32</v>
      </c>
      <c r="I355" s="113">
        <v>1909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12441.131850000002</v>
      </c>
      <c r="G357" s="116">
        <v>12441.131850000002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95.782113168337318</v>
      </c>
      <c r="G358" s="116">
        <v>99.298113168337309</v>
      </c>
      <c r="H358" s="116">
        <v>24.53</v>
      </c>
      <c r="I358" s="113">
        <v>479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96494.697950000016</v>
      </c>
      <c r="G359" s="116">
        <v>96494.697950000016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157009.82535000003</v>
      </c>
      <c r="G360" s="116">
        <v>157009.82535000003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94.886609995259121</v>
      </c>
      <c r="G362" s="116">
        <v>95.885109995259128</v>
      </c>
      <c r="H362" s="116">
        <v>16.559999999999999</v>
      </c>
      <c r="I362" s="113">
        <v>325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92.984597407221628</v>
      </c>
      <c r="G363" s="116">
        <v>94.092897407221628</v>
      </c>
      <c r="H363" s="116">
        <v>16.75</v>
      </c>
      <c r="I363" s="113">
        <v>1412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92.984597407221628</v>
      </c>
      <c r="G364" s="116">
        <v>94.092897407221628</v>
      </c>
      <c r="H364" s="116">
        <v>16.75</v>
      </c>
      <c r="I364" s="113">
        <v>1412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95.422622530401725</v>
      </c>
      <c r="G365" s="116">
        <v>98.345522530401723</v>
      </c>
      <c r="H365" s="116">
        <v>16.760000000000002</v>
      </c>
      <c r="I365" s="113">
        <v>1551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99.126686444876881</v>
      </c>
      <c r="G366" s="116">
        <v>104.53498644487688</v>
      </c>
      <c r="H366" s="116">
        <v>16.75</v>
      </c>
      <c r="I366" s="113">
        <v>1682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99.112897688989406</v>
      </c>
      <c r="G367" s="116">
        <v>103.3295976889894</v>
      </c>
      <c r="H367" s="116">
        <v>16.75</v>
      </c>
      <c r="I367" s="113">
        <v>1708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100.13030000000001</v>
      </c>
      <c r="H368" s="116">
        <v>0.35</v>
      </c>
      <c r="I368" s="113">
        <v>346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101.5583</v>
      </c>
      <c r="H369" s="116">
        <v>4.24</v>
      </c>
      <c r="I369" s="113">
        <v>348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100.1118</v>
      </c>
      <c r="H370" s="116">
        <v>0.35</v>
      </c>
      <c r="I370" s="113">
        <v>65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100.0506</v>
      </c>
      <c r="H371" s="116">
        <v>0.35</v>
      </c>
      <c r="I371" s="113">
        <v>668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100.0021</v>
      </c>
      <c r="H372" s="116">
        <v>0.02</v>
      </c>
      <c r="I372" s="113">
        <v>3098</v>
      </c>
      <c r="J372" s="115" t="s">
        <v>271</v>
      </c>
    </row>
    <row r="373" spans="1:10" x14ac:dyDescent="0.25">
      <c r="A373" s="113">
        <v>370</v>
      </c>
      <c r="B373" s="114" t="s">
        <v>2398</v>
      </c>
      <c r="C373" s="115" t="s">
        <v>2399</v>
      </c>
      <c r="D373" s="115" t="s">
        <v>461</v>
      </c>
      <c r="E373" s="115" t="s">
        <v>1120</v>
      </c>
      <c r="F373" s="116">
        <v>90.5614830951546</v>
      </c>
      <c r="G373" s="116">
        <v>91.673683095154601</v>
      </c>
      <c r="H373" s="116">
        <v>20.47</v>
      </c>
      <c r="I373" s="113">
        <v>3578</v>
      </c>
      <c r="J373" s="115" t="s">
        <v>271</v>
      </c>
    </row>
    <row r="374" spans="1:10" x14ac:dyDescent="0.25">
      <c r="A374" s="113">
        <v>371</v>
      </c>
      <c r="B374" s="114" t="s">
        <v>2329</v>
      </c>
      <c r="C374" s="115" t="s">
        <v>2330</v>
      </c>
      <c r="D374" s="115" t="s">
        <v>461</v>
      </c>
      <c r="E374" s="115" t="s">
        <v>1120</v>
      </c>
      <c r="F374" s="116">
        <v>90.565361604314802</v>
      </c>
      <c r="G374" s="116">
        <v>92.284261604314807</v>
      </c>
      <c r="H374" s="116">
        <v>20.46</v>
      </c>
      <c r="I374" s="113">
        <v>3566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105.8181</v>
      </c>
      <c r="H375" s="116">
        <v>7.09</v>
      </c>
      <c r="I375" s="113">
        <v>2225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90.06184092567544</v>
      </c>
      <c r="G376" s="116">
        <v>90.127940925675432</v>
      </c>
      <c r="H376" s="116">
        <v>16.22</v>
      </c>
      <c r="I376" s="113">
        <v>1078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101.75626224642757</v>
      </c>
      <c r="G377" s="116">
        <v>102.87956224642757</v>
      </c>
      <c r="H377" s="116">
        <v>16.22</v>
      </c>
      <c r="I377" s="113">
        <v>1416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109.87874944385466</v>
      </c>
      <c r="G378" s="116">
        <v>112.01764944385465</v>
      </c>
      <c r="H378" s="116">
        <v>16.23</v>
      </c>
      <c r="I378" s="113">
        <v>1760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100.14806397558755</v>
      </c>
      <c r="G379" s="116">
        <v>101.62866397558754</v>
      </c>
      <c r="H379" s="116">
        <v>6.44</v>
      </c>
      <c r="I379" s="113">
        <v>998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3361.1759869377233</v>
      </c>
      <c r="G383" s="116">
        <v>3361.1759869377233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1442.4957672869587</v>
      </c>
      <c r="G384" s="116">
        <v>1442.4957672869587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84.729486610816366</v>
      </c>
      <c r="G385" s="116">
        <v>87.811186610816364</v>
      </c>
      <c r="H385" s="116">
        <v>17.23</v>
      </c>
      <c r="I385" s="113">
        <v>2074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77.537732398202024</v>
      </c>
      <c r="G386" s="116">
        <v>88.81413239820202</v>
      </c>
      <c r="H386" s="116">
        <v>17.260000000000002</v>
      </c>
      <c r="I386" s="113">
        <v>2527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73.430482822751358</v>
      </c>
      <c r="G387" s="116">
        <v>75.997182822751356</v>
      </c>
      <c r="H387" s="116">
        <v>16.57</v>
      </c>
      <c r="I387" s="113">
        <v>3516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103.1824</v>
      </c>
      <c r="H388" s="116">
        <v>18.72</v>
      </c>
      <c r="I388" s="113">
        <v>4504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75.033240070370056</v>
      </c>
      <c r="G389" s="116">
        <v>85.066540070370053</v>
      </c>
      <c r="H389" s="116">
        <v>18.53</v>
      </c>
      <c r="I389" s="113">
        <v>2579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83.108435374250362</v>
      </c>
      <c r="G390" s="116">
        <v>88.122335374250369</v>
      </c>
      <c r="H390" s="116">
        <v>18.510000000000002</v>
      </c>
      <c r="I390" s="113">
        <v>890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73.668790679866547</v>
      </c>
      <c r="G391" s="116">
        <v>78.07569067986654</v>
      </c>
      <c r="H391" s="116">
        <v>17.190000000000001</v>
      </c>
      <c r="I391" s="113">
        <v>1993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99.472463536965236</v>
      </c>
      <c r="G392" s="116">
        <v>107.52386353696524</v>
      </c>
      <c r="H392" s="116">
        <v>18.68</v>
      </c>
      <c r="I392" s="113">
        <v>19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104.0145</v>
      </c>
      <c r="H393" s="116">
        <v>17.73</v>
      </c>
      <c r="I393" s="113">
        <v>102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106.97199999999999</v>
      </c>
      <c r="H394" s="116">
        <v>16.829999999999998</v>
      </c>
      <c r="I394" s="113">
        <v>38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104.44759999999999</v>
      </c>
      <c r="H395" s="116">
        <v>18.190000000000001</v>
      </c>
      <c r="I395" s="113">
        <v>825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101.6482</v>
      </c>
      <c r="H396" s="116">
        <v>18.2</v>
      </c>
      <c r="I396" s="113">
        <v>881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101.66630000000001</v>
      </c>
      <c r="H397" s="116">
        <v>18.41</v>
      </c>
      <c r="I397" s="113">
        <v>1612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104.47190000000001</v>
      </c>
      <c r="H398" s="116">
        <v>18.309999999999999</v>
      </c>
      <c r="I398" s="113">
        <v>1556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97.726389268719572</v>
      </c>
      <c r="G399" s="116">
        <v>104.34998926871958</v>
      </c>
      <c r="H399" s="116">
        <v>17.25</v>
      </c>
      <c r="I399" s="113">
        <v>109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99.389781491002566</v>
      </c>
      <c r="G400" s="116">
        <v>110.60508149100257</v>
      </c>
      <c r="H400" s="116">
        <v>17.97</v>
      </c>
      <c r="I400" s="113">
        <v>37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107.14870000000001</v>
      </c>
      <c r="H401" s="116">
        <v>18</v>
      </c>
      <c r="I401" s="113">
        <v>221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101.794</v>
      </c>
      <c r="H402" s="116">
        <v>16.71</v>
      </c>
      <c r="I402" s="113">
        <v>326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84.07723086317867</v>
      </c>
      <c r="G403" s="116">
        <v>90.621630863178666</v>
      </c>
      <c r="H403" s="116">
        <v>18.48</v>
      </c>
      <c r="I403" s="113">
        <v>832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97.348984841681684</v>
      </c>
      <c r="G404" s="116">
        <v>104.05038484168169</v>
      </c>
      <c r="H404" s="116">
        <v>18.329999999999998</v>
      </c>
      <c r="I404" s="113">
        <v>167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71.090754296065825</v>
      </c>
      <c r="G405" s="116">
        <v>78.26855429606583</v>
      </c>
      <c r="H405" s="116">
        <v>18.53</v>
      </c>
      <c r="I405" s="113">
        <v>1888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94.708911625734501</v>
      </c>
      <c r="G406" s="116">
        <v>106.5145116257345</v>
      </c>
      <c r="H406" s="116">
        <v>18.399999999999999</v>
      </c>
      <c r="I406" s="113">
        <v>380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94.505163392705114</v>
      </c>
      <c r="G407" s="116">
        <v>105.82456339270512</v>
      </c>
      <c r="H407" s="116">
        <v>18.39</v>
      </c>
      <c r="I407" s="113">
        <v>394</v>
      </c>
      <c r="J407" s="115" t="s">
        <v>271</v>
      </c>
    </row>
    <row r="408" spans="1:10" x14ac:dyDescent="0.25">
      <c r="A408" s="113">
        <v>405</v>
      </c>
      <c r="B408" s="114" t="s">
        <v>2430</v>
      </c>
      <c r="C408" s="115" t="s">
        <v>2431</v>
      </c>
      <c r="D408" s="115" t="s">
        <v>461</v>
      </c>
      <c r="E408" s="115" t="s">
        <v>25</v>
      </c>
      <c r="F408" s="116">
        <v>95.207970089982609</v>
      </c>
      <c r="G408" s="116">
        <v>95.728770089982604</v>
      </c>
      <c r="H408" s="116">
        <v>18.350000000000001</v>
      </c>
      <c r="I408" s="113">
        <v>345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96.691489171951147</v>
      </c>
      <c r="G409" s="116">
        <v>101.51788917195115</v>
      </c>
      <c r="H409" s="116">
        <v>18.21</v>
      </c>
      <c r="I409" s="113">
        <v>221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96.336808336044697</v>
      </c>
      <c r="G410" s="116">
        <v>100.1562083360447</v>
      </c>
      <c r="H410" s="116">
        <v>18.22</v>
      </c>
      <c r="I410" s="113">
        <v>250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99.328637164895397</v>
      </c>
      <c r="G411" s="116">
        <v>110.40503716489539</v>
      </c>
      <c r="H411" s="116">
        <v>17.95</v>
      </c>
      <c r="I411" s="113">
        <v>41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97.389804941144789</v>
      </c>
      <c r="G412" s="116">
        <v>104.19540494114479</v>
      </c>
      <c r="H412" s="116">
        <v>18.329999999999998</v>
      </c>
      <c r="I412" s="113">
        <v>164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95.830418443192286</v>
      </c>
      <c r="G413" s="116">
        <v>98.261018443192285</v>
      </c>
      <c r="H413" s="116">
        <v>18.29</v>
      </c>
      <c r="I413" s="113">
        <v>290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95.908465856250245</v>
      </c>
      <c r="G414" s="116">
        <v>98.582065856250239</v>
      </c>
      <c r="H414" s="116">
        <v>18.29</v>
      </c>
      <c r="I414" s="113">
        <v>283</v>
      </c>
      <c r="J414" s="115" t="s">
        <v>271</v>
      </c>
    </row>
    <row r="415" spans="1:10" x14ac:dyDescent="0.25">
      <c r="A415" s="113">
        <v>412</v>
      </c>
      <c r="B415" s="114" t="s">
        <v>2309</v>
      </c>
      <c r="C415" s="115" t="s">
        <v>2310</v>
      </c>
      <c r="D415" s="115" t="s">
        <v>461</v>
      </c>
      <c r="E415" s="115" t="s">
        <v>25</v>
      </c>
      <c r="F415" s="116">
        <v>95.602398985897594</v>
      </c>
      <c r="G415" s="116">
        <v>97.3037989858976</v>
      </c>
      <c r="H415" s="116">
        <v>18.29</v>
      </c>
      <c r="I415" s="113">
        <v>311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97.047616638407263</v>
      </c>
      <c r="G416" s="116">
        <v>102.58931663840727</v>
      </c>
      <c r="H416" s="116">
        <v>16.940000000000001</v>
      </c>
      <c r="I416" s="113">
        <v>150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92.584312858452847</v>
      </c>
      <c r="G417" s="116">
        <v>99.146812858452847</v>
      </c>
      <c r="H417" s="116">
        <v>18.47</v>
      </c>
      <c r="I417" s="113">
        <v>531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92.264222761493855</v>
      </c>
      <c r="G418" s="116">
        <v>97.542022761493854</v>
      </c>
      <c r="H418" s="116">
        <v>18.38</v>
      </c>
      <c r="I418" s="113">
        <v>568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91.786096764633157</v>
      </c>
      <c r="G419" s="116">
        <v>95.605496764633145</v>
      </c>
      <c r="H419" s="116">
        <v>18.41</v>
      </c>
      <c r="I419" s="113">
        <v>610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100.0321</v>
      </c>
      <c r="H420" s="116">
        <v>0.35</v>
      </c>
      <c r="I420" s="113">
        <v>327</v>
      </c>
      <c r="J420" s="115" t="s">
        <v>271</v>
      </c>
    </row>
    <row r="421" spans="1:10" x14ac:dyDescent="0.25">
      <c r="A421" s="113">
        <v>418</v>
      </c>
      <c r="B421" s="114" t="s">
        <v>2460</v>
      </c>
      <c r="C421" s="115" t="s">
        <v>2461</v>
      </c>
      <c r="D421" s="115" t="s">
        <v>461</v>
      </c>
      <c r="E421" s="115" t="s">
        <v>1160</v>
      </c>
      <c r="F421" s="116">
        <v>100</v>
      </c>
      <c r="G421" s="116">
        <v>100.00190000000001</v>
      </c>
      <c r="H421" s="116">
        <v>0.35</v>
      </c>
      <c r="I421" s="113">
        <v>718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100.0021</v>
      </c>
      <c r="H422" s="116">
        <v>0.02</v>
      </c>
      <c r="I422" s="113">
        <v>3098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104.6939</v>
      </c>
      <c r="H423" s="116">
        <v>7.05</v>
      </c>
      <c r="I423" s="113">
        <v>2195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100.9658</v>
      </c>
      <c r="H424" s="116">
        <v>6.08</v>
      </c>
      <c r="I424" s="113">
        <v>1713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105.8181</v>
      </c>
      <c r="H425" s="116">
        <v>7.08</v>
      </c>
      <c r="I425" s="113">
        <v>2195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100.1356</v>
      </c>
      <c r="H426" s="116">
        <v>6.09</v>
      </c>
      <c r="I426" s="113">
        <v>2122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105.08329999999999</v>
      </c>
      <c r="H427" s="116">
        <v>6.08</v>
      </c>
      <c r="I427" s="113">
        <v>2550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105.08329999999999</v>
      </c>
      <c r="H428" s="116">
        <v>6.08</v>
      </c>
      <c r="I428" s="113">
        <v>2550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98.595204239355695</v>
      </c>
      <c r="G429" s="116">
        <v>106.53830423935568</v>
      </c>
      <c r="H429" s="116">
        <v>18.21</v>
      </c>
      <c r="I429" s="113">
        <v>59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19644.478477273969</v>
      </c>
      <c r="G432" s="116">
        <v>19644.478477273969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100.13</v>
      </c>
      <c r="G433" s="116">
        <v>101.7529</v>
      </c>
      <c r="H433" s="116">
        <v>4.66</v>
      </c>
      <c r="I433" s="113">
        <v>597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89.503</v>
      </c>
      <c r="G434" s="116">
        <v>91.467600000000004</v>
      </c>
      <c r="H434" s="116">
        <v>6.67</v>
      </c>
      <c r="I434" s="113">
        <v>7797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101.553</v>
      </c>
      <c r="G435" s="116">
        <v>103.31480000000001</v>
      </c>
      <c r="H435" s="116">
        <v>5</v>
      </c>
      <c r="I435" s="113">
        <v>1682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95.552000000000007</v>
      </c>
      <c r="G436" s="116">
        <v>97.641599999999997</v>
      </c>
      <c r="H436" s="116">
        <v>6.76</v>
      </c>
      <c r="I436" s="113">
        <v>8342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88.099000000000004</v>
      </c>
      <c r="G437" s="116">
        <v>89.343400000000003</v>
      </c>
      <c r="H437" s="116">
        <v>5.42</v>
      </c>
      <c r="I437" s="113">
        <v>2752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100.09439999999999</v>
      </c>
      <c r="H438" s="116">
        <v>4.24</v>
      </c>
      <c r="I438" s="113">
        <v>292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100.08069999999999</v>
      </c>
      <c r="H439" s="116">
        <v>0.35</v>
      </c>
      <c r="I439" s="113">
        <v>97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100.0408</v>
      </c>
      <c r="H440" s="116">
        <v>0.35</v>
      </c>
      <c r="I440" s="113">
        <v>318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100.09529999999999</v>
      </c>
      <c r="H441" s="116">
        <v>0.35</v>
      </c>
      <c r="I441" s="113">
        <v>622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100.0136</v>
      </c>
      <c r="H442" s="116">
        <v>0.02</v>
      </c>
      <c r="I442" s="113">
        <v>3098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100.0035</v>
      </c>
      <c r="H443" s="116">
        <v>0.02</v>
      </c>
      <c r="I443" s="113">
        <v>3098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100.9658</v>
      </c>
      <c r="H444" s="116">
        <v>6.08</v>
      </c>
      <c r="I444" s="113">
        <v>1713</v>
      </c>
      <c r="J444" s="115" t="s">
        <v>271</v>
      </c>
    </row>
    <row r="445" spans="1:10" x14ac:dyDescent="0.25">
      <c r="A445" s="113">
        <v>442</v>
      </c>
      <c r="B445" s="114" t="s">
        <v>2400</v>
      </c>
      <c r="C445" s="115" t="s">
        <v>2401</v>
      </c>
      <c r="D445" s="115" t="s">
        <v>461</v>
      </c>
      <c r="E445" s="115" t="s">
        <v>1192</v>
      </c>
      <c r="F445" s="116">
        <v>90.5614830951546</v>
      </c>
      <c r="G445" s="116">
        <v>91.673683095154601</v>
      </c>
      <c r="H445" s="116">
        <v>20.47</v>
      </c>
      <c r="I445" s="113">
        <v>3578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100.1356</v>
      </c>
      <c r="H446" s="116">
        <v>6.09</v>
      </c>
      <c r="I446" s="113">
        <v>2122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105.08329999999999</v>
      </c>
      <c r="H447" s="116">
        <v>6.08</v>
      </c>
      <c r="I447" s="113">
        <v>2550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105.08329999999999</v>
      </c>
      <c r="H448" s="116">
        <v>6.08</v>
      </c>
      <c r="I448" s="113">
        <v>2550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103.9481</v>
      </c>
      <c r="H449" s="116">
        <v>6.08</v>
      </c>
      <c r="I449" s="113">
        <v>2617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37963.056250000009</v>
      </c>
      <c r="G451" s="116">
        <v>37963.056250000009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101.1806</v>
      </c>
      <c r="H452" s="116">
        <v>4.2300000000000004</v>
      </c>
      <c r="I452" s="113">
        <v>380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100.08750000000001</v>
      </c>
      <c r="H453" s="116">
        <v>0.35</v>
      </c>
      <c r="I453" s="113">
        <v>90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100.0214</v>
      </c>
      <c r="H454" s="116">
        <v>0.35</v>
      </c>
      <c r="I454" s="113">
        <v>338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100.1206</v>
      </c>
      <c r="H455" s="116">
        <v>0.35</v>
      </c>
      <c r="I455" s="113">
        <v>596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100.0009</v>
      </c>
      <c r="H456" s="116">
        <v>0.02</v>
      </c>
      <c r="I456" s="113">
        <v>3098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100.0039</v>
      </c>
      <c r="H457" s="116">
        <v>0.02</v>
      </c>
      <c r="I457" s="113">
        <v>3098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100.9658</v>
      </c>
      <c r="H458" s="116">
        <v>6.08</v>
      </c>
      <c r="I458" s="113">
        <v>1713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105.8181</v>
      </c>
      <c r="H459" s="116">
        <v>7.08</v>
      </c>
      <c r="I459" s="113">
        <v>2195</v>
      </c>
      <c r="J459" s="115" t="s">
        <v>271</v>
      </c>
    </row>
    <row r="460" spans="1:10" x14ac:dyDescent="0.25">
      <c r="A460" s="113">
        <v>457</v>
      </c>
      <c r="B460" s="114" t="s">
        <v>2331</v>
      </c>
      <c r="C460" s="115" t="s">
        <v>2332</v>
      </c>
      <c r="D460" s="115" t="s">
        <v>461</v>
      </c>
      <c r="E460" s="115" t="s">
        <v>1214</v>
      </c>
      <c r="F460" s="116">
        <v>90.565361604314802</v>
      </c>
      <c r="G460" s="116">
        <v>92.284261604314807</v>
      </c>
      <c r="H460" s="116">
        <v>20.46</v>
      </c>
      <c r="I460" s="113">
        <v>3566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100.1356</v>
      </c>
      <c r="H461" s="116">
        <v>6.09</v>
      </c>
      <c r="I461" s="113">
        <v>2122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105.08329999999999</v>
      </c>
      <c r="H462" s="116">
        <v>6.08</v>
      </c>
      <c r="I462" s="113">
        <v>2550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105.08329999999999</v>
      </c>
      <c r="H463" s="116">
        <v>6.08</v>
      </c>
      <c r="I463" s="113">
        <v>2550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103.9481</v>
      </c>
      <c r="H464" s="116">
        <v>6.08</v>
      </c>
      <c r="I464" s="113">
        <v>2617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49770.36294645381</v>
      </c>
      <c r="G466" s="116">
        <v>49770.36294645381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49559.344293195871</v>
      </c>
      <c r="G467" s="116">
        <v>49559.344293195871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96.609457184783139</v>
      </c>
      <c r="G468" s="116">
        <v>97.942757184783147</v>
      </c>
      <c r="H468" s="116">
        <v>18.7</v>
      </c>
      <c r="I468" s="113">
        <v>116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98.878822062934148</v>
      </c>
      <c r="G469" s="116">
        <v>101.85802206293415</v>
      </c>
      <c r="H469" s="116">
        <v>18.73</v>
      </c>
      <c r="I469" s="113">
        <v>37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82.838360359263518</v>
      </c>
      <c r="G471" s="116">
        <v>85.296660359263527</v>
      </c>
      <c r="H471" s="116">
        <v>19.86</v>
      </c>
      <c r="I471" s="113">
        <v>2281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93.464027344461613</v>
      </c>
      <c r="G472" s="116">
        <v>95.797327344461621</v>
      </c>
      <c r="H472" s="116">
        <v>19.75</v>
      </c>
      <c r="I472" s="113">
        <v>480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1027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58.611551461333093</v>
      </c>
      <c r="G474" s="116">
        <v>65.917151461333091</v>
      </c>
      <c r="H474" s="116">
        <v>20.86</v>
      </c>
      <c r="I474" s="113">
        <v>2977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23502.5</v>
      </c>
      <c r="G475" s="116">
        <v>23502.5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23019.722250000003</v>
      </c>
      <c r="G476" s="116">
        <v>23019.722250000003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79.005650521975852</v>
      </c>
      <c r="G479" s="116">
        <v>84.21675052197584</v>
      </c>
      <c r="H479" s="116">
        <v>20.09</v>
      </c>
      <c r="I479" s="113">
        <v>2206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86.960057156921735</v>
      </c>
      <c r="G481" s="116">
        <v>88.914257156921735</v>
      </c>
      <c r="H481" s="116">
        <v>17.57</v>
      </c>
      <c r="I481" s="113">
        <v>833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2.135661930497708</v>
      </c>
      <c r="G482" s="116">
        <v>2.1525619304977082</v>
      </c>
      <c r="H482" s="116">
        <v>17.78</v>
      </c>
      <c r="I482" s="113">
        <v>8579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1.8557942093226836</v>
      </c>
      <c r="G483" s="116">
        <v>1.8601942093226835</v>
      </c>
      <c r="H483" s="116">
        <v>17.78</v>
      </c>
      <c r="I483" s="113">
        <v>8984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96.508790953344644</v>
      </c>
      <c r="G484" s="116">
        <v>101.57689095334463</v>
      </c>
      <c r="H484" s="116">
        <v>17.77</v>
      </c>
      <c r="I484" s="113">
        <v>182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1.2751981963008241</v>
      </c>
      <c r="G485" s="116">
        <v>1.2873981963008241</v>
      </c>
      <c r="H485" s="116">
        <v>17.78</v>
      </c>
      <c r="I485" s="113">
        <v>10216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1.717169246531792</v>
      </c>
      <c r="G486" s="116">
        <v>1.7313692465317922</v>
      </c>
      <c r="H486" s="116">
        <v>17.78</v>
      </c>
      <c r="I486" s="113">
        <v>9219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50.632812801478792</v>
      </c>
      <c r="G487" s="116">
        <v>54.529112801478789</v>
      </c>
      <c r="H487" s="116">
        <v>18.98</v>
      </c>
      <c r="I487" s="113">
        <v>2647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70.568363279274109</v>
      </c>
      <c r="G488" s="116">
        <v>71.715963279274121</v>
      </c>
      <c r="H488" s="116">
        <v>18.13</v>
      </c>
      <c r="I488" s="113">
        <v>1753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1.5590852469322287</v>
      </c>
      <c r="G489" s="116">
        <v>1.5640852469322288</v>
      </c>
      <c r="H489" s="116">
        <v>17.79</v>
      </c>
      <c r="I489" s="113">
        <v>9522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58.456894351512879</v>
      </c>
      <c r="G490" s="116">
        <v>64.209394351512884</v>
      </c>
      <c r="H490" s="116">
        <v>18.96</v>
      </c>
      <c r="I490" s="113">
        <v>2225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1750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33.998792218932152</v>
      </c>
      <c r="G492" s="116">
        <v>34.460092218932147</v>
      </c>
      <c r="H492" s="116">
        <v>18.16</v>
      </c>
      <c r="I492" s="113">
        <v>3919</v>
      </c>
      <c r="J492" s="115" t="s">
        <v>271</v>
      </c>
    </row>
    <row r="493" spans="1:10" x14ac:dyDescent="0.25">
      <c r="A493" s="113">
        <v>490</v>
      </c>
      <c r="B493" s="114" t="s">
        <v>2384</v>
      </c>
      <c r="C493" s="115" t="s">
        <v>2385</v>
      </c>
      <c r="D493" s="115" t="s">
        <v>461</v>
      </c>
      <c r="E493" s="115" t="s">
        <v>824</v>
      </c>
      <c r="F493" s="116">
        <v>97.054398238325888</v>
      </c>
      <c r="G493" s="116">
        <v>98.454398238325894</v>
      </c>
      <c r="H493" s="116">
        <v>18.940000000000001</v>
      </c>
      <c r="I493" s="113">
        <v>1772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</v>
      </c>
      <c r="G494" s="116">
        <v>110.3522</v>
      </c>
      <c r="H494" s="116">
        <v>21.5</v>
      </c>
      <c r="I494" s="113">
        <v>925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98.936000000000007</v>
      </c>
      <c r="G495" s="116">
        <v>100.7103</v>
      </c>
      <c r="H495" s="116">
        <v>4.91</v>
      </c>
      <c r="I495" s="113">
        <v>754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40936.664639927963</v>
      </c>
      <c r="G496" s="116">
        <v>40936.664639927963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95.233696603402066</v>
      </c>
      <c r="G497" s="116">
        <v>97.246196603402069</v>
      </c>
      <c r="H497" s="116">
        <v>17.89</v>
      </c>
      <c r="I497" s="113">
        <v>297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32985.993450531554</v>
      </c>
      <c r="G498" s="116">
        <v>32985.993450531554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804.8603635061977</v>
      </c>
      <c r="G499" s="116">
        <v>804.8603635061977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93.044748784062762</v>
      </c>
      <c r="G500" s="116">
        <v>100.59684878406276</v>
      </c>
      <c r="H500" s="116">
        <v>25</v>
      </c>
      <c r="I500" s="113">
        <v>1135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91.230999999999995</v>
      </c>
      <c r="G501" s="116">
        <v>92.964299999999994</v>
      </c>
      <c r="H501" s="116">
        <v>5.63</v>
      </c>
      <c r="I501" s="113">
        <v>6892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98.38764893692732</v>
      </c>
      <c r="G502" s="116">
        <v>100.24764893692732</v>
      </c>
      <c r="H502" s="116">
        <v>2.91</v>
      </c>
      <c r="I502" s="113">
        <v>1175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97.697109988448716</v>
      </c>
      <c r="G503" s="116">
        <v>98.232609988448715</v>
      </c>
      <c r="H503" s="116">
        <v>2.74</v>
      </c>
      <c r="I503" s="113">
        <v>404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85.650659053502281</v>
      </c>
      <c r="G504" s="116">
        <v>88.450159053502276</v>
      </c>
      <c r="H504" s="116">
        <v>14.86</v>
      </c>
      <c r="I504" s="113">
        <v>754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72.330336884248467</v>
      </c>
      <c r="G505" s="116">
        <v>75.322136884248465</v>
      </c>
      <c r="H505" s="116">
        <v>14.99</v>
      </c>
      <c r="I505" s="113">
        <v>1846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94.1342591445257</v>
      </c>
      <c r="G506" s="116">
        <v>95.363859144525705</v>
      </c>
      <c r="H506" s="116">
        <v>15.2</v>
      </c>
      <c r="I506" s="113">
        <v>304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83.813991241690218</v>
      </c>
      <c r="G507" s="116">
        <v>85.078091241690217</v>
      </c>
      <c r="H507" s="116">
        <v>14.9</v>
      </c>
      <c r="I507" s="113">
        <v>1032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73.080791059474407</v>
      </c>
      <c r="G508" s="116">
        <v>74.382691059474411</v>
      </c>
      <c r="H508" s="116">
        <v>15.01</v>
      </c>
      <c r="I508" s="113">
        <v>2124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73.080791059474407</v>
      </c>
      <c r="G509" s="116">
        <v>74.382691059474411</v>
      </c>
      <c r="H509" s="116">
        <v>15.01</v>
      </c>
      <c r="I509" s="113">
        <v>2124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109.321</v>
      </c>
      <c r="G510" s="116">
        <v>109.8807</v>
      </c>
      <c r="H510" s="116">
        <v>5.71</v>
      </c>
      <c r="I510" s="113">
        <v>7169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97.721999999999994</v>
      </c>
      <c r="G511" s="116">
        <v>99.4636</v>
      </c>
      <c r="H511" s="116">
        <v>5.01</v>
      </c>
      <c r="I511" s="113">
        <v>3467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100.71299999999999</v>
      </c>
      <c r="G512" s="116">
        <v>101.4213</v>
      </c>
      <c r="H512" s="116">
        <v>4.88</v>
      </c>
      <c r="I512" s="113">
        <v>2469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100.955</v>
      </c>
      <c r="G513" s="116">
        <v>101.7342</v>
      </c>
      <c r="H513" s="116">
        <v>5.39</v>
      </c>
      <c r="I513" s="113">
        <v>4269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101.02376390909038</v>
      </c>
      <c r="G516" s="116">
        <v>109.82376390909037</v>
      </c>
      <c r="H516" s="116">
        <v>21.42</v>
      </c>
      <c r="I516" s="113">
        <v>936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58781.593150000008</v>
      </c>
      <c r="G517" s="116">
        <v>58781.593150000008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99.902176548606178</v>
      </c>
      <c r="G519" s="116">
        <v>108.64347654860617</v>
      </c>
      <c r="H519" s="116">
        <v>10.36</v>
      </c>
      <c r="I519" s="113">
        <v>45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316089.14120000007</v>
      </c>
      <c r="G521" s="116">
        <v>316089.14120000007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398844.57235000009</v>
      </c>
      <c r="G522" s="116">
        <v>398844.57235000009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95.129609866513633</v>
      </c>
      <c r="G523" s="116">
        <v>99.67960986651363</v>
      </c>
      <c r="H523" s="116">
        <v>22.24</v>
      </c>
      <c r="I523" s="113">
        <v>3432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99.691613281604347</v>
      </c>
      <c r="G524" s="116">
        <v>103.59721328160435</v>
      </c>
      <c r="H524" s="116">
        <v>20.04</v>
      </c>
      <c r="I524" s="113">
        <v>106</v>
      </c>
      <c r="J524" s="115" t="s">
        <v>271</v>
      </c>
    </row>
    <row r="525" spans="1:10" x14ac:dyDescent="0.25">
      <c r="A525" s="113">
        <v>522</v>
      </c>
      <c r="B525" s="114" t="s">
        <v>2402</v>
      </c>
      <c r="C525" s="115" t="s">
        <v>2403</v>
      </c>
      <c r="D525" s="115" t="s">
        <v>461</v>
      </c>
      <c r="E525" s="115" t="s">
        <v>1347</v>
      </c>
      <c r="F525" s="116">
        <v>99.93872143407458</v>
      </c>
      <c r="G525" s="116">
        <v>101.16092143407458</v>
      </c>
      <c r="H525" s="116">
        <v>20.04</v>
      </c>
      <c r="I525" s="113">
        <v>698</v>
      </c>
      <c r="J525" s="115" t="s">
        <v>271</v>
      </c>
    </row>
    <row r="526" spans="1:10" x14ac:dyDescent="0.25">
      <c r="A526" s="113">
        <v>523</v>
      </c>
      <c r="B526" s="114" t="s">
        <v>1348</v>
      </c>
      <c r="C526" s="115" t="s">
        <v>1349</v>
      </c>
      <c r="D526" s="115" t="s">
        <v>461</v>
      </c>
      <c r="E526" s="115" t="s">
        <v>1350</v>
      </c>
      <c r="F526" s="116">
        <v>100.03787406159434</v>
      </c>
      <c r="G526" s="116">
        <v>103.52117406159434</v>
      </c>
      <c r="H526" s="116">
        <v>21.2</v>
      </c>
      <c r="I526" s="113">
        <v>33</v>
      </c>
      <c r="J526" s="115" t="s">
        <v>271</v>
      </c>
    </row>
    <row r="527" spans="1:10" x14ac:dyDescent="0.25">
      <c r="A527" s="113">
        <v>524</v>
      </c>
      <c r="B527" s="114" t="s">
        <v>1351</v>
      </c>
      <c r="C527" s="115" t="s">
        <v>1352</v>
      </c>
      <c r="D527" s="115" t="s">
        <v>461</v>
      </c>
      <c r="E527" s="115" t="s">
        <v>1350</v>
      </c>
      <c r="F527" s="116">
        <v>99.978953081080974</v>
      </c>
      <c r="G527" s="116">
        <v>101.67895308108098</v>
      </c>
      <c r="H527" s="116">
        <v>12.09</v>
      </c>
      <c r="I527" s="113">
        <v>39</v>
      </c>
      <c r="J527" s="115" t="s">
        <v>271</v>
      </c>
    </row>
    <row r="528" spans="1:10" x14ac:dyDescent="0.25">
      <c r="A528" s="113">
        <v>525</v>
      </c>
      <c r="B528" s="114" t="s">
        <v>2263</v>
      </c>
      <c r="C528" s="115" t="s">
        <v>2264</v>
      </c>
      <c r="D528" s="115" t="s">
        <v>461</v>
      </c>
      <c r="E528" s="115" t="s">
        <v>1350</v>
      </c>
      <c r="F528" s="116">
        <v>100.33271282735392</v>
      </c>
      <c r="G528" s="116">
        <v>102.23271282735391</v>
      </c>
      <c r="H528" s="116">
        <v>11.57</v>
      </c>
      <c r="I528" s="113">
        <v>303</v>
      </c>
      <c r="J528" s="115" t="s">
        <v>271</v>
      </c>
    </row>
    <row r="529" spans="1:10" x14ac:dyDescent="0.25">
      <c r="A529" s="113">
        <v>526</v>
      </c>
      <c r="B529" s="114" t="s">
        <v>1354</v>
      </c>
      <c r="C529" s="115" t="s">
        <v>1355</v>
      </c>
      <c r="D529" s="115" t="s">
        <v>461</v>
      </c>
      <c r="E529" s="115" t="s">
        <v>1353</v>
      </c>
      <c r="F529" s="116">
        <v>99.805868164663138</v>
      </c>
      <c r="G529" s="116">
        <v>102.60586816466314</v>
      </c>
      <c r="H529" s="116">
        <v>25.17</v>
      </c>
      <c r="I529" s="113">
        <v>48</v>
      </c>
      <c r="J529" s="115" t="s">
        <v>271</v>
      </c>
    </row>
    <row r="530" spans="1:10" x14ac:dyDescent="0.25">
      <c r="A530" s="113">
        <v>527</v>
      </c>
      <c r="B530" s="114" t="s">
        <v>1356</v>
      </c>
      <c r="C530" s="115" t="s">
        <v>1357</v>
      </c>
      <c r="D530" s="115" t="s">
        <v>461</v>
      </c>
      <c r="E530" s="115" t="s">
        <v>1358</v>
      </c>
      <c r="F530" s="116">
        <v>99.71039922279347</v>
      </c>
      <c r="G530" s="116">
        <v>104.14369922279347</v>
      </c>
      <c r="H530" s="116">
        <v>21.09</v>
      </c>
      <c r="I530" s="113">
        <v>824</v>
      </c>
      <c r="J530" s="115" t="s">
        <v>271</v>
      </c>
    </row>
    <row r="531" spans="1:10" x14ac:dyDescent="0.25">
      <c r="A531" s="113">
        <v>528</v>
      </c>
      <c r="B531" s="114" t="s">
        <v>2296</v>
      </c>
      <c r="C531" s="115" t="s">
        <v>2297</v>
      </c>
      <c r="D531" s="115" t="s">
        <v>461</v>
      </c>
      <c r="E531" s="115" t="s">
        <v>1358</v>
      </c>
      <c r="F531" s="116">
        <v>101.11806167302477</v>
      </c>
      <c r="G531" s="116">
        <v>103.32776167302477</v>
      </c>
      <c r="H531" s="116">
        <v>20.53</v>
      </c>
      <c r="I531" s="113">
        <v>503</v>
      </c>
      <c r="J531" s="115" t="s">
        <v>271</v>
      </c>
    </row>
    <row r="532" spans="1:10" x14ac:dyDescent="0.25">
      <c r="A532" s="113">
        <v>529</v>
      </c>
      <c r="B532" s="114" t="s">
        <v>2298</v>
      </c>
      <c r="C532" s="115" t="s">
        <v>2299</v>
      </c>
      <c r="D532" s="115" t="s">
        <v>451</v>
      </c>
      <c r="E532" s="115" t="s">
        <v>1358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1359</v>
      </c>
      <c r="C533" s="115" t="s">
        <v>1360</v>
      </c>
      <c r="D533" s="115" t="s">
        <v>461</v>
      </c>
      <c r="E533" s="115" t="s">
        <v>1361</v>
      </c>
      <c r="F533" s="116">
        <v>98.911199999999994</v>
      </c>
      <c r="G533" s="116">
        <v>103.8695</v>
      </c>
      <c r="H533" s="116">
        <v>22</v>
      </c>
      <c r="I533" s="113">
        <v>455</v>
      </c>
      <c r="J533" s="115" t="s">
        <v>271</v>
      </c>
    </row>
    <row r="534" spans="1:10" x14ac:dyDescent="0.25">
      <c r="A534" s="113">
        <v>531</v>
      </c>
      <c r="B534" s="114" t="s">
        <v>2457</v>
      </c>
      <c r="C534" s="115" t="s">
        <v>2458</v>
      </c>
      <c r="D534" s="115" t="s">
        <v>451</v>
      </c>
      <c r="E534" s="115" t="s">
        <v>1361</v>
      </c>
      <c r="F534" s="116">
        <v>1006.24</v>
      </c>
      <c r="G534" s="116">
        <v>1006.24</v>
      </c>
      <c r="H534" s="116">
        <v>0</v>
      </c>
      <c r="I534" s="113">
        <v>0</v>
      </c>
      <c r="J534" s="115" t="s">
        <v>240</v>
      </c>
    </row>
    <row r="535" spans="1:10" x14ac:dyDescent="0.25">
      <c r="A535" s="113">
        <v>532</v>
      </c>
      <c r="B535" s="114" t="s">
        <v>1362</v>
      </c>
      <c r="C535" s="115" t="s">
        <v>1363</v>
      </c>
      <c r="D535" s="115" t="s">
        <v>461</v>
      </c>
      <c r="E535" s="115" t="s">
        <v>2088</v>
      </c>
      <c r="F535" s="116">
        <v>100</v>
      </c>
      <c r="G535" s="116">
        <v>100.55</v>
      </c>
      <c r="H535" s="116">
        <v>21.99</v>
      </c>
      <c r="I535" s="113">
        <v>621</v>
      </c>
      <c r="J535" s="115" t="s">
        <v>271</v>
      </c>
    </row>
    <row r="536" spans="1:10" x14ac:dyDescent="0.25">
      <c r="A536" s="113">
        <v>533</v>
      </c>
      <c r="B536" s="114" t="s">
        <v>1364</v>
      </c>
      <c r="C536" s="115" t="s">
        <v>1365</v>
      </c>
      <c r="D536" s="115" t="s">
        <v>461</v>
      </c>
      <c r="E536" s="115" t="s">
        <v>1366</v>
      </c>
      <c r="F536" s="116">
        <v>99.761031921156444</v>
      </c>
      <c r="G536" s="116">
        <v>101.49293192115644</v>
      </c>
      <c r="H536" s="116">
        <v>22.03</v>
      </c>
      <c r="I536" s="113">
        <v>151</v>
      </c>
      <c r="J536" s="115" t="s">
        <v>271</v>
      </c>
    </row>
    <row r="537" spans="1:10" x14ac:dyDescent="0.25">
      <c r="A537" s="113">
        <v>534</v>
      </c>
      <c r="B537" s="114" t="s">
        <v>1367</v>
      </c>
      <c r="C537" s="115" t="s">
        <v>1368</v>
      </c>
      <c r="D537" s="115" t="s">
        <v>461</v>
      </c>
      <c r="E537" s="115" t="s">
        <v>1366</v>
      </c>
      <c r="F537" s="116">
        <v>100.44947822682036</v>
      </c>
      <c r="G537" s="116">
        <v>101.45777822682037</v>
      </c>
      <c r="H537" s="116">
        <v>9.84</v>
      </c>
      <c r="I537" s="113">
        <v>147</v>
      </c>
      <c r="J537" s="115" t="s">
        <v>271</v>
      </c>
    </row>
    <row r="538" spans="1:10" x14ac:dyDescent="0.25">
      <c r="A538" s="113">
        <v>535</v>
      </c>
      <c r="B538" s="114" t="s">
        <v>2271</v>
      </c>
      <c r="C538" s="115" t="s">
        <v>2272</v>
      </c>
      <c r="D538" s="115" t="s">
        <v>461</v>
      </c>
      <c r="E538" s="115" t="s">
        <v>1366</v>
      </c>
      <c r="F538" s="116">
        <v>99.4</v>
      </c>
      <c r="G538" s="116">
        <v>100.91670000000001</v>
      </c>
      <c r="H538" s="116">
        <v>21.4</v>
      </c>
      <c r="I538" s="113">
        <v>664</v>
      </c>
      <c r="J538" s="115" t="s">
        <v>271</v>
      </c>
    </row>
    <row r="539" spans="1:10" x14ac:dyDescent="0.25">
      <c r="A539" s="113">
        <v>536</v>
      </c>
      <c r="B539" s="114" t="s">
        <v>1369</v>
      </c>
      <c r="C539" s="115" t="s">
        <v>1370</v>
      </c>
      <c r="D539" s="115" t="s">
        <v>461</v>
      </c>
      <c r="E539" s="115" t="s">
        <v>1371</v>
      </c>
      <c r="F539" s="116">
        <v>97.898399999999995</v>
      </c>
      <c r="G539" s="116">
        <v>98.081699999999998</v>
      </c>
      <c r="H539" s="116">
        <v>24</v>
      </c>
      <c r="I539" s="113">
        <v>447</v>
      </c>
      <c r="J539" s="115" t="s">
        <v>271</v>
      </c>
    </row>
    <row r="540" spans="1:10" x14ac:dyDescent="0.25">
      <c r="A540" s="113">
        <v>537</v>
      </c>
      <c r="B540" s="114" t="s">
        <v>1372</v>
      </c>
      <c r="C540" s="115" t="s">
        <v>1373</v>
      </c>
      <c r="D540" s="115" t="s">
        <v>461</v>
      </c>
      <c r="E540" s="115" t="s">
        <v>1374</v>
      </c>
      <c r="F540" s="116">
        <v>100.41542422248739</v>
      </c>
      <c r="G540" s="116">
        <v>101.94872422248739</v>
      </c>
      <c r="H540" s="116">
        <v>22.89</v>
      </c>
      <c r="I540" s="113">
        <v>157</v>
      </c>
      <c r="J540" s="115" t="s">
        <v>271</v>
      </c>
    </row>
    <row r="541" spans="1:10" x14ac:dyDescent="0.25">
      <c r="A541" s="113">
        <v>538</v>
      </c>
      <c r="B541" s="114" t="s">
        <v>1375</v>
      </c>
      <c r="C541" s="115" t="s">
        <v>1376</v>
      </c>
      <c r="D541" s="115" t="s">
        <v>461</v>
      </c>
      <c r="E541" s="115" t="s">
        <v>1374</v>
      </c>
      <c r="F541" s="116">
        <v>99.201336114315694</v>
      </c>
      <c r="G541" s="116">
        <v>100.79023611431569</v>
      </c>
      <c r="H541" s="116">
        <v>22.94</v>
      </c>
      <c r="I541" s="113">
        <v>334</v>
      </c>
      <c r="J541" s="115" t="s">
        <v>271</v>
      </c>
    </row>
    <row r="542" spans="1:10" x14ac:dyDescent="0.25">
      <c r="A542" s="113">
        <v>539</v>
      </c>
      <c r="B542" s="114" t="s">
        <v>2180</v>
      </c>
      <c r="C542" s="115" t="s">
        <v>2181</v>
      </c>
      <c r="D542" s="115" t="s">
        <v>461</v>
      </c>
      <c r="E542" s="115" t="s">
        <v>2443</v>
      </c>
      <c r="F542" s="116">
        <v>99.278189966737457</v>
      </c>
      <c r="G542" s="116">
        <v>104.58648996673746</v>
      </c>
      <c r="H542" s="116">
        <v>20.100000000000001</v>
      </c>
      <c r="I542" s="113">
        <v>262</v>
      </c>
      <c r="J542" s="115" t="s">
        <v>271</v>
      </c>
    </row>
    <row r="543" spans="1:10" x14ac:dyDescent="0.25">
      <c r="A543" s="113">
        <v>540</v>
      </c>
      <c r="B543" s="114" t="s">
        <v>2229</v>
      </c>
      <c r="C543" s="115" t="s">
        <v>2230</v>
      </c>
      <c r="D543" s="115" t="s">
        <v>461</v>
      </c>
      <c r="E543" s="115" t="s">
        <v>2443</v>
      </c>
      <c r="F543" s="116">
        <v>99.294302782201711</v>
      </c>
      <c r="G543" s="116">
        <v>103.79010278220171</v>
      </c>
      <c r="H543" s="116">
        <v>20.100000000000001</v>
      </c>
      <c r="I543" s="113">
        <v>277</v>
      </c>
      <c r="J543" s="115" t="s">
        <v>271</v>
      </c>
    </row>
    <row r="544" spans="1:10" x14ac:dyDescent="0.25">
      <c r="A544" s="113">
        <v>541</v>
      </c>
      <c r="B544" s="114" t="s">
        <v>2231</v>
      </c>
      <c r="C544" s="115" t="s">
        <v>2232</v>
      </c>
      <c r="D544" s="115" t="s">
        <v>461</v>
      </c>
      <c r="E544" s="115" t="s">
        <v>2443</v>
      </c>
      <c r="F544" s="116">
        <v>99.295582338355018</v>
      </c>
      <c r="G544" s="116">
        <v>103.73728233835502</v>
      </c>
      <c r="H544" s="116">
        <v>20.100000000000001</v>
      </c>
      <c r="I544" s="113">
        <v>278</v>
      </c>
      <c r="J544" s="115" t="s">
        <v>271</v>
      </c>
    </row>
    <row r="545" spans="1:10" x14ac:dyDescent="0.25">
      <c r="A545" s="113">
        <v>542</v>
      </c>
      <c r="B545" s="114" t="s">
        <v>1377</v>
      </c>
      <c r="C545" s="115" t="s">
        <v>1378</v>
      </c>
      <c r="D545" s="115" t="s">
        <v>461</v>
      </c>
      <c r="E545" s="115" t="s">
        <v>2175</v>
      </c>
      <c r="F545" s="116">
        <v>99.99</v>
      </c>
      <c r="G545" s="116">
        <v>101.6011</v>
      </c>
      <c r="H545" s="116">
        <v>19.989999999999998</v>
      </c>
      <c r="I545" s="113">
        <v>871</v>
      </c>
      <c r="J545" s="115" t="s">
        <v>271</v>
      </c>
    </row>
    <row r="546" spans="1:10" x14ac:dyDescent="0.25">
      <c r="A546" s="113">
        <v>543</v>
      </c>
      <c r="B546" s="114" t="s">
        <v>1379</v>
      </c>
      <c r="C546" s="115" t="s">
        <v>1380</v>
      </c>
      <c r="D546" s="115" t="s">
        <v>461</v>
      </c>
      <c r="E546" s="115" t="s">
        <v>2175</v>
      </c>
      <c r="F546" s="116">
        <v>101.09061039173734</v>
      </c>
      <c r="G546" s="116">
        <v>104.53501039173734</v>
      </c>
      <c r="H546" s="116">
        <v>19.510000000000002</v>
      </c>
      <c r="I546" s="113">
        <v>1108</v>
      </c>
      <c r="J546" s="115" t="s">
        <v>271</v>
      </c>
    </row>
    <row r="547" spans="1:10" x14ac:dyDescent="0.25">
      <c r="A547" s="113">
        <v>544</v>
      </c>
      <c r="B547" s="114" t="s">
        <v>1381</v>
      </c>
      <c r="C547" s="115" t="s">
        <v>1382</v>
      </c>
      <c r="D547" s="115" t="s">
        <v>461</v>
      </c>
      <c r="E547" s="115" t="s">
        <v>1383</v>
      </c>
      <c r="F547" s="116">
        <v>100.62913740512911</v>
      </c>
      <c r="G547" s="116">
        <v>100.93473740512911</v>
      </c>
      <c r="H547" s="116">
        <v>20.81</v>
      </c>
      <c r="I547" s="113">
        <v>205</v>
      </c>
      <c r="J547" s="115" t="s">
        <v>271</v>
      </c>
    </row>
    <row r="548" spans="1:10" x14ac:dyDescent="0.25">
      <c r="A548" s="113">
        <v>545</v>
      </c>
      <c r="B548" s="114" t="s">
        <v>2131</v>
      </c>
      <c r="C548" s="115" t="s">
        <v>2132</v>
      </c>
      <c r="D548" s="115" t="s">
        <v>461</v>
      </c>
      <c r="E548" s="115" t="s">
        <v>1383</v>
      </c>
      <c r="F548" s="116">
        <v>99.840464080641723</v>
      </c>
      <c r="G548" s="116">
        <v>108.33486408064172</v>
      </c>
      <c r="H548" s="116">
        <v>22.04</v>
      </c>
      <c r="I548" s="113">
        <v>581</v>
      </c>
      <c r="J548" s="115" t="s">
        <v>271</v>
      </c>
    </row>
    <row r="549" spans="1:10" x14ac:dyDescent="0.25">
      <c r="A549" s="113">
        <v>546</v>
      </c>
      <c r="B549" s="114" t="s">
        <v>2233</v>
      </c>
      <c r="C549" s="115" t="s">
        <v>2234</v>
      </c>
      <c r="D549" s="115" t="s">
        <v>461</v>
      </c>
      <c r="E549" s="115" t="s">
        <v>1383</v>
      </c>
      <c r="F549" s="116">
        <v>101.43955987422061</v>
      </c>
      <c r="G549" s="116">
        <v>102.6534598742206</v>
      </c>
      <c r="H549" s="116">
        <v>20.98</v>
      </c>
      <c r="I549" s="113">
        <v>281</v>
      </c>
      <c r="J549" s="115" t="s">
        <v>271</v>
      </c>
    </row>
    <row r="550" spans="1:10" x14ac:dyDescent="0.25">
      <c r="A550" s="113">
        <v>547</v>
      </c>
      <c r="B550" s="114" t="s">
        <v>2170</v>
      </c>
      <c r="C550" s="115" t="s">
        <v>2171</v>
      </c>
      <c r="D550" s="115" t="s">
        <v>461</v>
      </c>
      <c r="E550" s="115" t="s">
        <v>1383</v>
      </c>
      <c r="F550" s="116">
        <v>101.38804553267347</v>
      </c>
      <c r="G550" s="116">
        <v>102.02694553267347</v>
      </c>
      <c r="H550" s="116">
        <v>20.91</v>
      </c>
      <c r="I550" s="113">
        <v>260</v>
      </c>
      <c r="J550" s="115" t="s">
        <v>271</v>
      </c>
    </row>
    <row r="551" spans="1:10" x14ac:dyDescent="0.25">
      <c r="A551" s="113">
        <v>548</v>
      </c>
      <c r="B551" s="114" t="s">
        <v>1384</v>
      </c>
      <c r="C551" s="115" t="s">
        <v>1385</v>
      </c>
      <c r="D551" s="115" t="s">
        <v>461</v>
      </c>
      <c r="E551" s="115" t="s">
        <v>1383</v>
      </c>
      <c r="F551" s="116">
        <v>99.914060307741806</v>
      </c>
      <c r="G551" s="116">
        <v>100.5251603077418</v>
      </c>
      <c r="H551" s="116">
        <v>20.62</v>
      </c>
      <c r="I551" s="113">
        <v>49</v>
      </c>
      <c r="J551" s="115" t="s">
        <v>271</v>
      </c>
    </row>
    <row r="552" spans="1:10" x14ac:dyDescent="0.25">
      <c r="A552" s="113">
        <v>549</v>
      </c>
      <c r="B552" s="114" t="s">
        <v>1386</v>
      </c>
      <c r="C552" s="115" t="s">
        <v>1387</v>
      </c>
      <c r="D552" s="115" t="s">
        <v>461</v>
      </c>
      <c r="E552" s="115" t="s">
        <v>1383</v>
      </c>
      <c r="F552" s="116">
        <v>99.832618376153107</v>
      </c>
      <c r="G552" s="116">
        <v>101.05481837615311</v>
      </c>
      <c r="H552" s="116">
        <v>20.9</v>
      </c>
      <c r="I552" s="113">
        <v>68</v>
      </c>
      <c r="J552" s="115" t="s">
        <v>271</v>
      </c>
    </row>
    <row r="553" spans="1:10" x14ac:dyDescent="0.25">
      <c r="A553" s="113">
        <v>550</v>
      </c>
      <c r="B553" s="114" t="s">
        <v>1388</v>
      </c>
      <c r="C553" s="115" t="s">
        <v>1389</v>
      </c>
      <c r="D553" s="115" t="s">
        <v>461</v>
      </c>
      <c r="E553" s="115" t="s">
        <v>1383</v>
      </c>
      <c r="F553" s="116">
        <v>99.364033222161339</v>
      </c>
      <c r="G553" s="116">
        <v>99.919633222161352</v>
      </c>
      <c r="H553" s="116">
        <v>21.42</v>
      </c>
      <c r="I553" s="113">
        <v>170</v>
      </c>
      <c r="J553" s="115" t="s">
        <v>271</v>
      </c>
    </row>
    <row r="554" spans="1:10" x14ac:dyDescent="0.25">
      <c r="A554" s="113">
        <v>551</v>
      </c>
      <c r="B554" s="114" t="s">
        <v>1390</v>
      </c>
      <c r="C554" s="115" t="s">
        <v>1391</v>
      </c>
      <c r="D554" s="115" t="s">
        <v>461</v>
      </c>
      <c r="E554" s="115" t="s">
        <v>1383</v>
      </c>
      <c r="F554" s="116">
        <v>99.695178258402024</v>
      </c>
      <c r="G554" s="116">
        <v>104.41737825840202</v>
      </c>
      <c r="H554" s="116">
        <v>21.19</v>
      </c>
      <c r="I554" s="113">
        <v>95</v>
      </c>
      <c r="J554" s="115" t="s">
        <v>271</v>
      </c>
    </row>
    <row r="555" spans="1:10" x14ac:dyDescent="0.25">
      <c r="A555" s="113">
        <v>552</v>
      </c>
      <c r="B555" s="114" t="s">
        <v>1392</v>
      </c>
      <c r="C555" s="115" t="s">
        <v>1393</v>
      </c>
      <c r="D555" s="115" t="s">
        <v>461</v>
      </c>
      <c r="E555" s="115" t="s">
        <v>1383</v>
      </c>
      <c r="F555" s="116">
        <v>99.658841143594387</v>
      </c>
      <c r="G555" s="116">
        <v>103.88104114359439</v>
      </c>
      <c r="H555" s="116">
        <v>21.19</v>
      </c>
      <c r="I555" s="113">
        <v>104</v>
      </c>
      <c r="J555" s="115" t="s">
        <v>271</v>
      </c>
    </row>
    <row r="556" spans="1:10" x14ac:dyDescent="0.25">
      <c r="A556" s="113">
        <v>553</v>
      </c>
      <c r="B556" s="114" t="s">
        <v>2011</v>
      </c>
      <c r="C556" s="115" t="s">
        <v>2012</v>
      </c>
      <c r="D556" s="115" t="s">
        <v>461</v>
      </c>
      <c r="E556" s="115" t="s">
        <v>1383</v>
      </c>
      <c r="F556" s="116">
        <v>98.191351391832555</v>
      </c>
      <c r="G556" s="116">
        <v>99.802451391832548</v>
      </c>
      <c r="H556" s="116">
        <v>21.49</v>
      </c>
      <c r="I556" s="113">
        <v>511</v>
      </c>
      <c r="J556" s="115" t="s">
        <v>271</v>
      </c>
    </row>
    <row r="557" spans="1:10" x14ac:dyDescent="0.25">
      <c r="A557" s="113">
        <v>554</v>
      </c>
      <c r="B557" s="114" t="s">
        <v>2047</v>
      </c>
      <c r="C557" s="115" t="s">
        <v>2048</v>
      </c>
      <c r="D557" s="115" t="s">
        <v>461</v>
      </c>
      <c r="E557" s="115" t="s">
        <v>1383</v>
      </c>
      <c r="F557" s="116">
        <v>97.4756</v>
      </c>
      <c r="G557" s="116">
        <v>102.2534</v>
      </c>
      <c r="H557" s="116">
        <v>22</v>
      </c>
      <c r="I557" s="113">
        <v>544</v>
      </c>
      <c r="J557" s="115" t="s">
        <v>271</v>
      </c>
    </row>
    <row r="558" spans="1:10" x14ac:dyDescent="0.25">
      <c r="A558" s="113">
        <v>555</v>
      </c>
      <c r="B558" s="114" t="s">
        <v>2092</v>
      </c>
      <c r="C558" s="115" t="s">
        <v>2093</v>
      </c>
      <c r="D558" s="115" t="s">
        <v>461</v>
      </c>
      <c r="E558" s="115" t="s">
        <v>1383</v>
      </c>
      <c r="F558" s="116">
        <v>100.414186826519</v>
      </c>
      <c r="G558" s="116">
        <v>103.83638682651899</v>
      </c>
      <c r="H558" s="116">
        <v>21.18</v>
      </c>
      <c r="I558" s="113">
        <v>214</v>
      </c>
      <c r="J558" s="115" t="s">
        <v>271</v>
      </c>
    </row>
    <row r="559" spans="1:10" x14ac:dyDescent="0.25">
      <c r="A559" s="113">
        <v>556</v>
      </c>
      <c r="B559" s="114" t="s">
        <v>1394</v>
      </c>
      <c r="C559" s="115" t="s">
        <v>1395</v>
      </c>
      <c r="D559" s="115" t="s">
        <v>461</v>
      </c>
      <c r="E559" s="115" t="s">
        <v>1396</v>
      </c>
      <c r="F559" s="116">
        <v>100</v>
      </c>
      <c r="G559" s="116">
        <v>104</v>
      </c>
      <c r="H559" s="116">
        <v>23.88</v>
      </c>
      <c r="I559" s="113">
        <v>120</v>
      </c>
      <c r="J559" s="115" t="s">
        <v>271</v>
      </c>
    </row>
    <row r="560" spans="1:10" x14ac:dyDescent="0.25">
      <c r="A560" s="113">
        <v>557</v>
      </c>
      <c r="B560" s="114" t="s">
        <v>2003</v>
      </c>
      <c r="C560" s="115" t="s">
        <v>2004</v>
      </c>
      <c r="D560" s="115" t="s">
        <v>461</v>
      </c>
      <c r="E560" s="115" t="s">
        <v>1396</v>
      </c>
      <c r="F560" s="116">
        <v>95.3626</v>
      </c>
      <c r="G560" s="116">
        <v>97.695899999999995</v>
      </c>
      <c r="H560" s="116">
        <v>24.01</v>
      </c>
      <c r="I560" s="113">
        <v>498</v>
      </c>
      <c r="J560" s="115" t="s">
        <v>271</v>
      </c>
    </row>
    <row r="561" spans="1:10" x14ac:dyDescent="0.25">
      <c r="A561" s="113">
        <v>558</v>
      </c>
      <c r="B561" s="114" t="s">
        <v>1397</v>
      </c>
      <c r="C561" s="115" t="s">
        <v>1398</v>
      </c>
      <c r="D561" s="115" t="s">
        <v>461</v>
      </c>
      <c r="E561" s="115" t="s">
        <v>371</v>
      </c>
      <c r="F561" s="116">
        <v>97.799800000000005</v>
      </c>
      <c r="G561" s="116">
        <v>102.5637</v>
      </c>
      <c r="H561" s="116">
        <v>19.5</v>
      </c>
      <c r="I561" s="113">
        <v>442</v>
      </c>
      <c r="J561" s="115" t="s">
        <v>271</v>
      </c>
    </row>
    <row r="562" spans="1:10" x14ac:dyDescent="0.25">
      <c r="A562" s="113">
        <v>559</v>
      </c>
      <c r="B562" s="114" t="s">
        <v>426</v>
      </c>
      <c r="C562" s="115" t="s">
        <v>427</v>
      </c>
      <c r="D562" s="115" t="s">
        <v>461</v>
      </c>
      <c r="E562" s="115" t="s">
        <v>403</v>
      </c>
      <c r="F562" s="116">
        <v>99.883700000000005</v>
      </c>
      <c r="G562" s="116">
        <v>100.217</v>
      </c>
      <c r="H562" s="116">
        <v>12.1</v>
      </c>
      <c r="I562" s="113">
        <v>440</v>
      </c>
      <c r="J562" s="115" t="s">
        <v>271</v>
      </c>
    </row>
    <row r="563" spans="1:10" x14ac:dyDescent="0.25">
      <c r="A563" s="113">
        <v>560</v>
      </c>
      <c r="B563" s="114" t="s">
        <v>1986</v>
      </c>
      <c r="C563" s="115" t="s">
        <v>1987</v>
      </c>
      <c r="D563" s="115" t="s">
        <v>461</v>
      </c>
      <c r="E563" s="115" t="s">
        <v>403</v>
      </c>
      <c r="F563" s="116">
        <v>100.3804636085478</v>
      </c>
      <c r="G563" s="116">
        <v>100.9304636085478</v>
      </c>
      <c r="H563" s="116">
        <v>20.97</v>
      </c>
      <c r="I563" s="113">
        <v>141</v>
      </c>
      <c r="J563" s="115" t="s">
        <v>271</v>
      </c>
    </row>
    <row r="564" spans="1:10" x14ac:dyDescent="0.25">
      <c r="A564" s="113">
        <v>561</v>
      </c>
      <c r="B564" s="114" t="s">
        <v>1988</v>
      </c>
      <c r="C564" s="115" t="s">
        <v>1989</v>
      </c>
      <c r="D564" s="115" t="s">
        <v>461</v>
      </c>
      <c r="E564" s="115" t="s">
        <v>403</v>
      </c>
      <c r="F564" s="116">
        <v>100.42764978215749</v>
      </c>
      <c r="G564" s="116">
        <v>101.83324978215749</v>
      </c>
      <c r="H564" s="116">
        <v>20.96</v>
      </c>
      <c r="I564" s="113">
        <v>157</v>
      </c>
      <c r="J564" s="115" t="s">
        <v>271</v>
      </c>
    </row>
    <row r="565" spans="1:10" x14ac:dyDescent="0.25">
      <c r="A565" s="113">
        <v>562</v>
      </c>
      <c r="B565" s="114" t="s">
        <v>2034</v>
      </c>
      <c r="C565" s="115" t="s">
        <v>2035</v>
      </c>
      <c r="D565" s="115" t="s">
        <v>461</v>
      </c>
      <c r="E565" s="115" t="s">
        <v>403</v>
      </c>
      <c r="F565" s="116">
        <v>100.43107704325321</v>
      </c>
      <c r="G565" s="116">
        <v>100.61437704325321</v>
      </c>
      <c r="H565" s="116">
        <v>21.07</v>
      </c>
      <c r="I565" s="113">
        <v>177</v>
      </c>
      <c r="J565" s="115" t="s">
        <v>271</v>
      </c>
    </row>
    <row r="566" spans="1:10" x14ac:dyDescent="0.25">
      <c r="A566" s="113">
        <v>563</v>
      </c>
      <c r="B566" s="114" t="s">
        <v>2061</v>
      </c>
      <c r="C566" s="115" t="s">
        <v>2062</v>
      </c>
      <c r="D566" s="115" t="s">
        <v>461</v>
      </c>
      <c r="E566" s="115" t="s">
        <v>403</v>
      </c>
      <c r="F566" s="116">
        <v>100</v>
      </c>
      <c r="G566" s="116">
        <v>101.0389</v>
      </c>
      <c r="H566" s="116">
        <v>21.99</v>
      </c>
      <c r="I566" s="113">
        <v>193</v>
      </c>
      <c r="J566" s="115" t="s">
        <v>271</v>
      </c>
    </row>
    <row r="567" spans="1:10" x14ac:dyDescent="0.25">
      <c r="A567" s="113">
        <v>564</v>
      </c>
      <c r="B567" s="114" t="s">
        <v>2162</v>
      </c>
      <c r="C567" s="115" t="s">
        <v>2163</v>
      </c>
      <c r="D567" s="115" t="s">
        <v>451</v>
      </c>
      <c r="E567" s="115" t="s">
        <v>403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240</v>
      </c>
    </row>
    <row r="568" spans="1:10" x14ac:dyDescent="0.25">
      <c r="A568" s="113">
        <v>565</v>
      </c>
      <c r="B568" s="114" t="s">
        <v>2036</v>
      </c>
      <c r="C568" s="115" t="s">
        <v>2037</v>
      </c>
      <c r="D568" s="115" t="s">
        <v>461</v>
      </c>
      <c r="E568" s="115" t="s">
        <v>403</v>
      </c>
      <c r="F568" s="116">
        <v>98.49195865424791</v>
      </c>
      <c r="G568" s="116">
        <v>98.891958654247915</v>
      </c>
      <c r="H568" s="116">
        <v>15.37</v>
      </c>
      <c r="I568" s="113">
        <v>168</v>
      </c>
      <c r="J568" s="115" t="s">
        <v>271</v>
      </c>
    </row>
    <row r="569" spans="1:10" x14ac:dyDescent="0.25">
      <c r="A569" s="113">
        <v>566</v>
      </c>
      <c r="B569" s="114" t="s">
        <v>2043</v>
      </c>
      <c r="C569" s="115" t="s">
        <v>2044</v>
      </c>
      <c r="D569" s="115" t="s">
        <v>461</v>
      </c>
      <c r="E569" s="115" t="s">
        <v>403</v>
      </c>
      <c r="F569" s="116">
        <v>100.5</v>
      </c>
      <c r="G569" s="116">
        <v>100.5333</v>
      </c>
      <c r="H569" s="116">
        <v>10.96</v>
      </c>
      <c r="I569" s="113">
        <v>179</v>
      </c>
      <c r="J569" s="115" t="s">
        <v>271</v>
      </c>
    </row>
    <row r="570" spans="1:10" x14ac:dyDescent="0.25">
      <c r="A570" s="113">
        <v>567</v>
      </c>
      <c r="B570" s="114" t="s">
        <v>2049</v>
      </c>
      <c r="C570" s="115" t="s">
        <v>2050</v>
      </c>
      <c r="D570" s="115" t="s">
        <v>461</v>
      </c>
      <c r="E570" s="115" t="s">
        <v>403</v>
      </c>
      <c r="F570" s="116">
        <v>100.44973703031518</v>
      </c>
      <c r="G570" s="116">
        <v>102.03863703031517</v>
      </c>
      <c r="H570" s="116">
        <v>21.06</v>
      </c>
      <c r="I570" s="113">
        <v>184</v>
      </c>
      <c r="J570" s="115" t="s">
        <v>271</v>
      </c>
    </row>
    <row r="571" spans="1:10" x14ac:dyDescent="0.25">
      <c r="A571" s="113">
        <v>568</v>
      </c>
      <c r="B571" s="114" t="s">
        <v>2055</v>
      </c>
      <c r="C571" s="115" t="s">
        <v>2056</v>
      </c>
      <c r="D571" s="115" t="s">
        <v>461</v>
      </c>
      <c r="E571" s="115" t="s">
        <v>403</v>
      </c>
      <c r="F571" s="116">
        <v>98.374239715244542</v>
      </c>
      <c r="G571" s="116">
        <v>99.20753971524455</v>
      </c>
      <c r="H571" s="116">
        <v>15.31</v>
      </c>
      <c r="I571" s="113">
        <v>185</v>
      </c>
      <c r="J571" s="115" t="s">
        <v>271</v>
      </c>
    </row>
    <row r="572" spans="1:10" x14ac:dyDescent="0.25">
      <c r="A572" s="113">
        <v>569</v>
      </c>
      <c r="B572" s="114" t="s">
        <v>2057</v>
      </c>
      <c r="C572" s="115" t="s">
        <v>2058</v>
      </c>
      <c r="D572" s="115" t="s">
        <v>461</v>
      </c>
      <c r="E572" s="115" t="s">
        <v>403</v>
      </c>
      <c r="F572" s="116">
        <v>98.374239715244542</v>
      </c>
      <c r="G572" s="116">
        <v>99.20753971524455</v>
      </c>
      <c r="H572" s="116">
        <v>15.31</v>
      </c>
      <c r="I572" s="113">
        <v>185</v>
      </c>
      <c r="J572" s="115" t="s">
        <v>271</v>
      </c>
    </row>
    <row r="573" spans="1:10" x14ac:dyDescent="0.25">
      <c r="A573" s="113">
        <v>570</v>
      </c>
      <c r="B573" s="114" t="s">
        <v>2126</v>
      </c>
      <c r="C573" s="115" t="s">
        <v>2127</v>
      </c>
      <c r="D573" s="115" t="s">
        <v>461</v>
      </c>
      <c r="E573" s="115" t="s">
        <v>403</v>
      </c>
      <c r="F573" s="116">
        <v>98.172502437916393</v>
      </c>
      <c r="G573" s="116">
        <v>98.839202437916384</v>
      </c>
      <c r="H573" s="116">
        <v>15.15</v>
      </c>
      <c r="I573" s="113">
        <v>220</v>
      </c>
      <c r="J573" s="115" t="s">
        <v>271</v>
      </c>
    </row>
    <row r="574" spans="1:10" x14ac:dyDescent="0.25">
      <c r="A574" s="113">
        <v>571</v>
      </c>
      <c r="B574" s="114" t="s">
        <v>2133</v>
      </c>
      <c r="C574" s="115" t="s">
        <v>2134</v>
      </c>
      <c r="D574" s="115" t="s">
        <v>461</v>
      </c>
      <c r="E574" s="115" t="s">
        <v>403</v>
      </c>
      <c r="F574" s="116">
        <v>97.842956094764133</v>
      </c>
      <c r="G574" s="116">
        <v>98.809656094764136</v>
      </c>
      <c r="H574" s="116">
        <v>15.05</v>
      </c>
      <c r="I574" s="113">
        <v>271</v>
      </c>
      <c r="J574" s="115" t="s">
        <v>271</v>
      </c>
    </row>
    <row r="575" spans="1:10" x14ac:dyDescent="0.25">
      <c r="A575" s="113">
        <v>572</v>
      </c>
      <c r="B575" s="114" t="s">
        <v>2186</v>
      </c>
      <c r="C575" s="115" t="s">
        <v>2187</v>
      </c>
      <c r="D575" s="115" t="s">
        <v>461</v>
      </c>
      <c r="E575" s="115" t="s">
        <v>403</v>
      </c>
      <c r="F575" s="116">
        <v>101.02103793427608</v>
      </c>
      <c r="G575" s="116">
        <v>101.38773793427607</v>
      </c>
      <c r="H575" s="116">
        <v>21.29</v>
      </c>
      <c r="I575" s="113">
        <v>624</v>
      </c>
      <c r="J575" s="115" t="s">
        <v>271</v>
      </c>
    </row>
    <row r="576" spans="1:10" x14ac:dyDescent="0.25">
      <c r="A576" s="113">
        <v>573</v>
      </c>
      <c r="B576" s="114" t="s">
        <v>2247</v>
      </c>
      <c r="C576" s="115" t="s">
        <v>2248</v>
      </c>
      <c r="D576" s="115" t="s">
        <v>461</v>
      </c>
      <c r="E576" s="115" t="s">
        <v>403</v>
      </c>
      <c r="F576" s="116">
        <v>98.491600000000005</v>
      </c>
      <c r="G576" s="116">
        <v>99.713800000000006</v>
      </c>
      <c r="H576" s="116">
        <v>23</v>
      </c>
      <c r="I576" s="113">
        <v>670</v>
      </c>
      <c r="J576" s="115" t="s">
        <v>271</v>
      </c>
    </row>
    <row r="577" spans="1:10" x14ac:dyDescent="0.25">
      <c r="A577" s="113">
        <v>574</v>
      </c>
      <c r="B577" s="114" t="s">
        <v>2249</v>
      </c>
      <c r="C577" s="115" t="s">
        <v>2250</v>
      </c>
      <c r="D577" s="115" t="s">
        <v>461</v>
      </c>
      <c r="E577" s="115" t="s">
        <v>403</v>
      </c>
      <c r="F577" s="116">
        <v>99.998999999999995</v>
      </c>
      <c r="G577" s="116">
        <v>100.6712</v>
      </c>
      <c r="H577" s="116">
        <v>22</v>
      </c>
      <c r="I577" s="113">
        <v>709</v>
      </c>
      <c r="J577" s="115" t="s">
        <v>271</v>
      </c>
    </row>
    <row r="578" spans="1:10" x14ac:dyDescent="0.25">
      <c r="A578" s="113">
        <v>575</v>
      </c>
      <c r="B578" s="114" t="s">
        <v>2188</v>
      </c>
      <c r="C578" s="115" t="s">
        <v>2189</v>
      </c>
      <c r="D578" s="115" t="s">
        <v>461</v>
      </c>
      <c r="E578" s="115" t="s">
        <v>403</v>
      </c>
      <c r="F578" s="116">
        <v>99</v>
      </c>
      <c r="G578" s="116">
        <v>99.2</v>
      </c>
      <c r="H578" s="116">
        <v>12.64</v>
      </c>
      <c r="I578" s="113">
        <v>624</v>
      </c>
      <c r="J578" s="115" t="s">
        <v>271</v>
      </c>
    </row>
    <row r="579" spans="1:10" x14ac:dyDescent="0.25">
      <c r="A579" s="113">
        <v>576</v>
      </c>
      <c r="B579" s="114" t="s">
        <v>2251</v>
      </c>
      <c r="C579" s="115" t="s">
        <v>2252</v>
      </c>
      <c r="D579" s="115" t="s">
        <v>461</v>
      </c>
      <c r="E579" s="115" t="s">
        <v>403</v>
      </c>
      <c r="F579" s="116">
        <v>95.438540632420981</v>
      </c>
      <c r="G579" s="116">
        <v>96.071840632420972</v>
      </c>
      <c r="H579" s="116">
        <v>14.81</v>
      </c>
      <c r="I579" s="113">
        <v>671</v>
      </c>
      <c r="J579" s="115" t="s">
        <v>271</v>
      </c>
    </row>
    <row r="580" spans="1:10" x14ac:dyDescent="0.25">
      <c r="A580" s="113">
        <v>577</v>
      </c>
      <c r="B580" s="114" t="s">
        <v>2253</v>
      </c>
      <c r="C580" s="115" t="s">
        <v>2254</v>
      </c>
      <c r="D580" s="115" t="s">
        <v>461</v>
      </c>
      <c r="E580" s="115" t="s">
        <v>403</v>
      </c>
      <c r="F580" s="116">
        <v>95.506468735297105</v>
      </c>
      <c r="G580" s="116">
        <v>95.573168735297102</v>
      </c>
      <c r="H580" s="116">
        <v>14.82</v>
      </c>
      <c r="I580" s="113">
        <v>658</v>
      </c>
      <c r="J580" s="115" t="s">
        <v>271</v>
      </c>
    </row>
    <row r="581" spans="1:10" x14ac:dyDescent="0.25">
      <c r="A581" s="113">
        <v>578</v>
      </c>
      <c r="B581" s="114" t="s">
        <v>2444</v>
      </c>
      <c r="C581" s="115" t="s">
        <v>2445</v>
      </c>
      <c r="D581" s="115" t="s">
        <v>451</v>
      </c>
      <c r="E581" s="115" t="s">
        <v>403</v>
      </c>
      <c r="F581" s="116">
        <v>53769.125900000006</v>
      </c>
      <c r="G581" s="116">
        <v>53769.125900000006</v>
      </c>
      <c r="H581" s="116">
        <v>0</v>
      </c>
      <c r="I581" s="113">
        <v>0</v>
      </c>
      <c r="J581" s="115" t="s">
        <v>240</v>
      </c>
    </row>
    <row r="582" spans="1:10" x14ac:dyDescent="0.25">
      <c r="A582" s="113">
        <v>579</v>
      </c>
      <c r="B582" s="114" t="s">
        <v>1399</v>
      </c>
      <c r="C582" s="115" t="s">
        <v>1400</v>
      </c>
      <c r="D582" s="115" t="s">
        <v>461</v>
      </c>
      <c r="E582" s="115" t="s">
        <v>403</v>
      </c>
      <c r="F582" s="116">
        <v>99.848971263566753</v>
      </c>
      <c r="G582" s="116">
        <v>100.48227126356676</v>
      </c>
      <c r="H582" s="116">
        <v>16.940000000000001</v>
      </c>
      <c r="I582" s="113">
        <v>11</v>
      </c>
      <c r="J582" s="115" t="s">
        <v>271</v>
      </c>
    </row>
    <row r="583" spans="1:10" x14ac:dyDescent="0.25">
      <c r="A583" s="113">
        <v>580</v>
      </c>
      <c r="B583" s="114" t="s">
        <v>1401</v>
      </c>
      <c r="C583" s="115" t="s">
        <v>1402</v>
      </c>
      <c r="D583" s="115" t="s">
        <v>461</v>
      </c>
      <c r="E583" s="115" t="s">
        <v>403</v>
      </c>
      <c r="F583" s="116">
        <v>100.48273632971589</v>
      </c>
      <c r="G583" s="116">
        <v>101.46053632971589</v>
      </c>
      <c r="H583" s="116">
        <v>21.51</v>
      </c>
      <c r="I583" s="113">
        <v>434</v>
      </c>
      <c r="J583" s="115" t="s">
        <v>271</v>
      </c>
    </row>
    <row r="584" spans="1:10" x14ac:dyDescent="0.25">
      <c r="A584" s="113">
        <v>581</v>
      </c>
      <c r="B584" s="114" t="s">
        <v>1403</v>
      </c>
      <c r="C584" s="115" t="s">
        <v>1404</v>
      </c>
      <c r="D584" s="115" t="s">
        <v>461</v>
      </c>
      <c r="E584" s="115" t="s">
        <v>403</v>
      </c>
      <c r="F584" s="116">
        <v>100.0172143922542</v>
      </c>
      <c r="G584" s="116">
        <v>100.95051439225419</v>
      </c>
      <c r="H584" s="116">
        <v>20.89</v>
      </c>
      <c r="I584" s="113">
        <v>74</v>
      </c>
      <c r="J584" s="115" t="s">
        <v>271</v>
      </c>
    </row>
    <row r="585" spans="1:10" x14ac:dyDescent="0.25">
      <c r="A585" s="113">
        <v>582</v>
      </c>
      <c r="B585" s="114" t="s">
        <v>1405</v>
      </c>
      <c r="C585" s="115" t="s">
        <v>1406</v>
      </c>
      <c r="D585" s="115" t="s">
        <v>461</v>
      </c>
      <c r="E585" s="115" t="s">
        <v>403</v>
      </c>
      <c r="F585" s="116">
        <v>99.073838627688488</v>
      </c>
      <c r="G585" s="116">
        <v>99.562738627688489</v>
      </c>
      <c r="H585" s="116">
        <v>15.6</v>
      </c>
      <c r="I585" s="113">
        <v>74</v>
      </c>
      <c r="J585" s="115" t="s">
        <v>271</v>
      </c>
    </row>
    <row r="586" spans="1:10" x14ac:dyDescent="0.25">
      <c r="A586" s="113">
        <v>583</v>
      </c>
      <c r="B586" s="114" t="s">
        <v>1407</v>
      </c>
      <c r="C586" s="115" t="s">
        <v>1408</v>
      </c>
      <c r="D586" s="115" t="s">
        <v>461</v>
      </c>
      <c r="E586" s="115" t="s">
        <v>1409</v>
      </c>
      <c r="F586" s="116">
        <v>100</v>
      </c>
      <c r="G586" s="116">
        <v>102.4889</v>
      </c>
      <c r="H586" s="116">
        <v>13.98</v>
      </c>
      <c r="I586" s="113">
        <v>296</v>
      </c>
      <c r="J586" s="115" t="s">
        <v>271</v>
      </c>
    </row>
    <row r="587" spans="1:10" x14ac:dyDescent="0.25">
      <c r="A587" s="113">
        <v>584</v>
      </c>
      <c r="B587" s="114" t="s">
        <v>113</v>
      </c>
      <c r="C587" s="115" t="s">
        <v>114</v>
      </c>
      <c r="D587" s="115" t="s">
        <v>461</v>
      </c>
      <c r="E587" s="115" t="s">
        <v>112</v>
      </c>
      <c r="F587" s="116">
        <v>99.794991025639661</v>
      </c>
      <c r="G587" s="116">
        <v>100.31259102563966</v>
      </c>
      <c r="H587" s="116">
        <v>24.21</v>
      </c>
      <c r="I587" s="113">
        <v>82</v>
      </c>
      <c r="J587" s="115" t="s">
        <v>271</v>
      </c>
    </row>
    <row r="588" spans="1:10" x14ac:dyDescent="0.25">
      <c r="A588" s="113">
        <v>585</v>
      </c>
      <c r="B588" s="114" t="s">
        <v>115</v>
      </c>
      <c r="C588" s="115" t="s">
        <v>116</v>
      </c>
      <c r="D588" s="115" t="s">
        <v>461</v>
      </c>
      <c r="E588" s="115" t="s">
        <v>112</v>
      </c>
      <c r="F588" s="116">
        <v>99.666806654037316</v>
      </c>
      <c r="G588" s="116">
        <v>101.11120665403732</v>
      </c>
      <c r="H588" s="116">
        <v>20.53</v>
      </c>
      <c r="I588" s="113">
        <v>244</v>
      </c>
      <c r="J588" s="115" t="s">
        <v>271</v>
      </c>
    </row>
    <row r="589" spans="1:10" x14ac:dyDescent="0.25">
      <c r="A589" s="113">
        <v>586</v>
      </c>
      <c r="B589" s="114" t="s">
        <v>1410</v>
      </c>
      <c r="C589" s="115" t="s">
        <v>1411</v>
      </c>
      <c r="D589" s="115" t="s">
        <v>461</v>
      </c>
      <c r="E589" s="115" t="s">
        <v>112</v>
      </c>
      <c r="F589" s="116">
        <v>99.955944746000554</v>
      </c>
      <c r="G589" s="116">
        <v>100.06704474600055</v>
      </c>
      <c r="H589" s="116">
        <v>10.029999999999999</v>
      </c>
      <c r="I589" s="113">
        <v>566</v>
      </c>
      <c r="J589" s="115" t="s">
        <v>271</v>
      </c>
    </row>
    <row r="590" spans="1:10" x14ac:dyDescent="0.25">
      <c r="A590" s="113">
        <v>587</v>
      </c>
      <c r="B590" s="114" t="s">
        <v>356</v>
      </c>
      <c r="C590" s="115" t="s">
        <v>357</v>
      </c>
      <c r="D590" s="115" t="s">
        <v>461</v>
      </c>
      <c r="E590" s="115" t="s">
        <v>112</v>
      </c>
      <c r="F590" s="116">
        <v>100.23</v>
      </c>
      <c r="G590" s="116">
        <v>100.67100000000001</v>
      </c>
      <c r="H590" s="116">
        <v>22.49</v>
      </c>
      <c r="I590" s="113">
        <v>713</v>
      </c>
      <c r="J590" s="115" t="s">
        <v>271</v>
      </c>
    </row>
    <row r="591" spans="1:10" x14ac:dyDescent="0.25">
      <c r="A591" s="113">
        <v>588</v>
      </c>
      <c r="B591" s="114" t="s">
        <v>1412</v>
      </c>
      <c r="C591" s="115" t="s">
        <v>1413</v>
      </c>
      <c r="D591" s="115" t="s">
        <v>461</v>
      </c>
      <c r="E591" s="115" t="s">
        <v>112</v>
      </c>
      <c r="F591" s="116">
        <v>96.648690205742099</v>
      </c>
      <c r="G591" s="116">
        <v>97.915390205742099</v>
      </c>
      <c r="H591" s="116">
        <v>20.76</v>
      </c>
      <c r="I591" s="113">
        <v>876</v>
      </c>
      <c r="J591" s="115" t="s">
        <v>271</v>
      </c>
    </row>
    <row r="592" spans="1:10" x14ac:dyDescent="0.25">
      <c r="A592" s="113">
        <v>589</v>
      </c>
      <c r="B592" s="114" t="s">
        <v>389</v>
      </c>
      <c r="C592" s="115" t="s">
        <v>390</v>
      </c>
      <c r="D592" s="115" t="s">
        <v>461</v>
      </c>
      <c r="E592" s="115" t="s">
        <v>112</v>
      </c>
      <c r="F592" s="116">
        <v>97.2</v>
      </c>
      <c r="G592" s="116">
        <v>97.252799999999993</v>
      </c>
      <c r="H592" s="116">
        <v>21.74</v>
      </c>
      <c r="I592" s="113">
        <v>419</v>
      </c>
      <c r="J592" s="115" t="s">
        <v>271</v>
      </c>
    </row>
    <row r="593" spans="1:10" x14ac:dyDescent="0.25">
      <c r="A593" s="113">
        <v>590</v>
      </c>
      <c r="B593" s="114" t="s">
        <v>2045</v>
      </c>
      <c r="C593" s="115" t="s">
        <v>2046</v>
      </c>
      <c r="D593" s="115" t="s">
        <v>461</v>
      </c>
      <c r="E593" s="115" t="s">
        <v>112</v>
      </c>
      <c r="F593" s="116">
        <v>100.42990676243927</v>
      </c>
      <c r="G593" s="116">
        <v>100.60490676243927</v>
      </c>
      <c r="H593" s="116">
        <v>20.78</v>
      </c>
      <c r="I593" s="113">
        <v>897</v>
      </c>
      <c r="J593" s="115" t="s">
        <v>271</v>
      </c>
    </row>
    <row r="594" spans="1:10" x14ac:dyDescent="0.25">
      <c r="A594" s="113">
        <v>591</v>
      </c>
      <c r="B594" s="114" t="s">
        <v>2073</v>
      </c>
      <c r="C594" s="115" t="s">
        <v>2074</v>
      </c>
      <c r="D594" s="115" t="s">
        <v>461</v>
      </c>
      <c r="E594" s="115" t="s">
        <v>112</v>
      </c>
      <c r="F594" s="116">
        <v>100.47604497781226</v>
      </c>
      <c r="G594" s="116">
        <v>101.05934497781227</v>
      </c>
      <c r="H594" s="116">
        <v>20.76</v>
      </c>
      <c r="I594" s="113">
        <v>920</v>
      </c>
      <c r="J594" s="115" t="s">
        <v>271</v>
      </c>
    </row>
    <row r="595" spans="1:10" x14ac:dyDescent="0.25">
      <c r="A595" s="113">
        <v>592</v>
      </c>
      <c r="B595" s="114" t="s">
        <v>2118</v>
      </c>
      <c r="C595" s="115" t="s">
        <v>2119</v>
      </c>
      <c r="D595" s="115" t="s">
        <v>461</v>
      </c>
      <c r="E595" s="115" t="s">
        <v>112</v>
      </c>
      <c r="F595" s="116">
        <v>103.44985157255799</v>
      </c>
      <c r="G595" s="116">
        <v>104.82485157255799</v>
      </c>
      <c r="H595" s="116">
        <v>20.78</v>
      </c>
      <c r="I595" s="113">
        <v>938</v>
      </c>
      <c r="J595" s="115" t="s">
        <v>271</v>
      </c>
    </row>
    <row r="596" spans="1:10" x14ac:dyDescent="0.25">
      <c r="A596" s="113">
        <v>593</v>
      </c>
      <c r="B596" s="114" t="s">
        <v>2120</v>
      </c>
      <c r="C596" s="115" t="s">
        <v>2121</v>
      </c>
      <c r="D596" s="115" t="s">
        <v>461</v>
      </c>
      <c r="E596" s="115" t="s">
        <v>112</v>
      </c>
      <c r="F596" s="116">
        <v>101.8678408802797</v>
      </c>
      <c r="G596" s="116">
        <v>101.9881408802797</v>
      </c>
      <c r="H596" s="116">
        <v>20.77</v>
      </c>
      <c r="I596" s="113">
        <v>1018</v>
      </c>
      <c r="J596" s="115" t="s">
        <v>271</v>
      </c>
    </row>
    <row r="597" spans="1:10" x14ac:dyDescent="0.25">
      <c r="A597" s="113">
        <v>594</v>
      </c>
      <c r="B597" s="114" t="s">
        <v>2190</v>
      </c>
      <c r="C597" s="115" t="s">
        <v>2191</v>
      </c>
      <c r="D597" s="115" t="s">
        <v>461</v>
      </c>
      <c r="E597" s="115" t="s">
        <v>2192</v>
      </c>
      <c r="F597" s="116">
        <v>100.47627675371297</v>
      </c>
      <c r="G597" s="116">
        <v>100.67067675371297</v>
      </c>
      <c r="H597" s="116">
        <v>9.6999999999999993</v>
      </c>
      <c r="I597" s="113">
        <v>623</v>
      </c>
      <c r="J597" s="115" t="s">
        <v>271</v>
      </c>
    </row>
    <row r="598" spans="1:10" x14ac:dyDescent="0.25">
      <c r="A598" s="113">
        <v>595</v>
      </c>
      <c r="B598" s="114" t="s">
        <v>1414</v>
      </c>
      <c r="C598" s="115" t="s">
        <v>1415</v>
      </c>
      <c r="D598" s="115" t="s">
        <v>461</v>
      </c>
      <c r="E598" s="115" t="s">
        <v>386</v>
      </c>
      <c r="F598" s="116">
        <v>91.135594214430924</v>
      </c>
      <c r="G598" s="116">
        <v>92.157794214430922</v>
      </c>
      <c r="H598" s="116">
        <v>44.85</v>
      </c>
      <c r="I598" s="113">
        <v>164</v>
      </c>
      <c r="J598" s="115" t="s">
        <v>271</v>
      </c>
    </row>
    <row r="599" spans="1:10" x14ac:dyDescent="0.25">
      <c r="A599" s="113">
        <v>596</v>
      </c>
      <c r="B599" s="114" t="s">
        <v>384</v>
      </c>
      <c r="C599" s="115" t="s">
        <v>385</v>
      </c>
      <c r="D599" s="115" t="s">
        <v>461</v>
      </c>
      <c r="E599" s="115" t="s">
        <v>386</v>
      </c>
      <c r="F599" s="116">
        <v>96.458094118209488</v>
      </c>
      <c r="G599" s="116">
        <v>96.633094118209499</v>
      </c>
      <c r="H599" s="116">
        <v>44.56</v>
      </c>
      <c r="I599" s="113">
        <v>57</v>
      </c>
      <c r="J599" s="115" t="s">
        <v>271</v>
      </c>
    </row>
    <row r="600" spans="1:10" x14ac:dyDescent="0.25">
      <c r="A600" s="113">
        <v>597</v>
      </c>
      <c r="B600" s="114" t="s">
        <v>401</v>
      </c>
      <c r="C600" s="115" t="s">
        <v>402</v>
      </c>
      <c r="D600" s="115" t="s">
        <v>461</v>
      </c>
      <c r="E600" s="115" t="s">
        <v>386</v>
      </c>
      <c r="F600" s="116">
        <v>71.763357117441018</v>
      </c>
      <c r="G600" s="116">
        <v>72.802257117441016</v>
      </c>
      <c r="H600" s="116">
        <v>44.51</v>
      </c>
      <c r="I600" s="113">
        <v>673</v>
      </c>
      <c r="J600" s="115" t="s">
        <v>271</v>
      </c>
    </row>
    <row r="601" spans="1:10" x14ac:dyDescent="0.25">
      <c r="A601" s="113">
        <v>598</v>
      </c>
      <c r="B601" s="114" t="s">
        <v>393</v>
      </c>
      <c r="C601" s="115" t="s">
        <v>394</v>
      </c>
      <c r="D601" s="115" t="s">
        <v>461</v>
      </c>
      <c r="E601" s="115" t="s">
        <v>386</v>
      </c>
      <c r="F601" s="116">
        <v>78.600825330639765</v>
      </c>
      <c r="G601" s="116">
        <v>79.884125330639762</v>
      </c>
      <c r="H601" s="116">
        <v>44.5</v>
      </c>
      <c r="I601" s="113">
        <v>428</v>
      </c>
      <c r="J601" s="115" t="s">
        <v>271</v>
      </c>
    </row>
    <row r="602" spans="1:10" x14ac:dyDescent="0.25">
      <c r="A602" s="113">
        <v>599</v>
      </c>
      <c r="B602" s="114" t="s">
        <v>2104</v>
      </c>
      <c r="C602" s="115" t="s">
        <v>2105</v>
      </c>
      <c r="D602" s="115" t="s">
        <v>461</v>
      </c>
      <c r="E602" s="115" t="s">
        <v>386</v>
      </c>
      <c r="F602" s="116">
        <v>64.109917500489644</v>
      </c>
      <c r="G602" s="116">
        <v>65.509917500489649</v>
      </c>
      <c r="H602" s="116">
        <v>44.53</v>
      </c>
      <c r="I602" s="113">
        <v>936</v>
      </c>
      <c r="J602" s="115" t="s">
        <v>271</v>
      </c>
    </row>
    <row r="603" spans="1:10" x14ac:dyDescent="0.25">
      <c r="A603" s="113">
        <v>600</v>
      </c>
      <c r="B603" s="114" t="s">
        <v>2212</v>
      </c>
      <c r="C603" s="115" t="s">
        <v>2213</v>
      </c>
      <c r="D603" s="115" t="s">
        <v>461</v>
      </c>
      <c r="E603" s="115" t="s">
        <v>386</v>
      </c>
      <c r="F603" s="116">
        <v>84.121757786495607</v>
      </c>
      <c r="G603" s="116">
        <v>84.174557786495612</v>
      </c>
      <c r="H603" s="116">
        <v>44.35</v>
      </c>
      <c r="I603" s="113">
        <v>269</v>
      </c>
      <c r="J603" s="115" t="s">
        <v>271</v>
      </c>
    </row>
    <row r="604" spans="1:10" x14ac:dyDescent="0.25">
      <c r="A604" s="113">
        <v>601</v>
      </c>
      <c r="B604" s="114" t="s">
        <v>2348</v>
      </c>
      <c r="C604" s="115" t="s">
        <v>2349</v>
      </c>
      <c r="D604" s="115" t="s">
        <v>461</v>
      </c>
      <c r="E604" s="115" t="s">
        <v>386</v>
      </c>
      <c r="F604" s="116">
        <v>73.10537652020659</v>
      </c>
      <c r="G604" s="116">
        <v>73.10537652020659</v>
      </c>
      <c r="H604" s="116">
        <v>42.8</v>
      </c>
      <c r="I604" s="113">
        <v>690</v>
      </c>
      <c r="J604" s="115" t="s">
        <v>271</v>
      </c>
    </row>
    <row r="605" spans="1:10" x14ac:dyDescent="0.25">
      <c r="A605" s="113">
        <v>602</v>
      </c>
      <c r="B605" s="114" t="s">
        <v>2276</v>
      </c>
      <c r="C605" s="115" t="s">
        <v>2277</v>
      </c>
      <c r="D605" s="115" t="s">
        <v>461</v>
      </c>
      <c r="E605" s="115" t="s">
        <v>386</v>
      </c>
      <c r="F605" s="116">
        <v>97.826300000000003</v>
      </c>
      <c r="G605" s="116">
        <v>99.343000000000004</v>
      </c>
      <c r="H605" s="116">
        <v>22.03</v>
      </c>
      <c r="I605" s="113">
        <v>1024</v>
      </c>
      <c r="J605" s="115" t="s">
        <v>271</v>
      </c>
    </row>
    <row r="606" spans="1:10" x14ac:dyDescent="0.25">
      <c r="A606" s="113">
        <v>603</v>
      </c>
      <c r="B606" s="114" t="s">
        <v>2432</v>
      </c>
      <c r="C606" s="115" t="s">
        <v>2433</v>
      </c>
      <c r="D606" s="115" t="s">
        <v>461</v>
      </c>
      <c r="E606" s="115" t="s">
        <v>386</v>
      </c>
      <c r="F606" s="116">
        <v>99.995900000000006</v>
      </c>
      <c r="G606" s="116">
        <v>100.8515</v>
      </c>
      <c r="H606" s="116">
        <v>22</v>
      </c>
      <c r="I606" s="113">
        <v>706</v>
      </c>
      <c r="J606" s="115" t="s">
        <v>271</v>
      </c>
    </row>
    <row r="607" spans="1:10" x14ac:dyDescent="0.25">
      <c r="A607" s="113">
        <v>604</v>
      </c>
      <c r="B607" s="114" t="s">
        <v>1416</v>
      </c>
      <c r="C607" s="115" t="s">
        <v>1417</v>
      </c>
      <c r="D607" s="115" t="s">
        <v>461</v>
      </c>
      <c r="E607" s="115" t="s">
        <v>386</v>
      </c>
      <c r="F607" s="116">
        <v>90.020013022437155</v>
      </c>
      <c r="G607" s="116">
        <v>91.686713022437146</v>
      </c>
      <c r="H607" s="116">
        <v>44.23</v>
      </c>
      <c r="I607" s="113">
        <v>216</v>
      </c>
      <c r="J607" s="115" t="s">
        <v>271</v>
      </c>
    </row>
    <row r="608" spans="1:10" x14ac:dyDescent="0.25">
      <c r="A608" s="113">
        <v>605</v>
      </c>
      <c r="B608" s="114" t="s">
        <v>1418</v>
      </c>
      <c r="C608" s="115" t="s">
        <v>1419</v>
      </c>
      <c r="D608" s="115" t="s">
        <v>461</v>
      </c>
      <c r="E608" s="115" t="s">
        <v>386</v>
      </c>
      <c r="F608" s="116">
        <v>80.85715738334973</v>
      </c>
      <c r="G608" s="116">
        <v>81.412757383349728</v>
      </c>
      <c r="H608" s="116">
        <v>44.53</v>
      </c>
      <c r="I608" s="113">
        <v>472</v>
      </c>
      <c r="J608" s="115" t="s">
        <v>271</v>
      </c>
    </row>
    <row r="609" spans="1:10" x14ac:dyDescent="0.25">
      <c r="A609" s="113">
        <v>606</v>
      </c>
      <c r="B609" s="114" t="s">
        <v>1420</v>
      </c>
      <c r="C609" s="115" t="s">
        <v>1421</v>
      </c>
      <c r="D609" s="115" t="s">
        <v>451</v>
      </c>
      <c r="E609" s="115" t="s">
        <v>1422</v>
      </c>
      <c r="F609" s="116">
        <v>1000</v>
      </c>
      <c r="G609" s="116">
        <v>1000</v>
      </c>
      <c r="H609" s="116">
        <v>0</v>
      </c>
      <c r="I609" s="113">
        <v>0</v>
      </c>
      <c r="J609" s="115" t="s">
        <v>240</v>
      </c>
    </row>
    <row r="610" spans="1:10" x14ac:dyDescent="0.25">
      <c r="A610" s="113">
        <v>607</v>
      </c>
      <c r="B610" s="114" t="s">
        <v>1424</v>
      </c>
      <c r="C610" s="115" t="s">
        <v>1425</v>
      </c>
      <c r="D610" s="115" t="s">
        <v>461</v>
      </c>
      <c r="E610" s="115" t="s">
        <v>1423</v>
      </c>
      <c r="F610" s="116">
        <v>100</v>
      </c>
      <c r="G610" s="116">
        <v>101.575</v>
      </c>
      <c r="H610" s="116">
        <v>21</v>
      </c>
      <c r="I610" s="113">
        <v>303</v>
      </c>
      <c r="J610" s="115" t="s">
        <v>271</v>
      </c>
    </row>
    <row r="611" spans="1:10" x14ac:dyDescent="0.25">
      <c r="A611" s="113">
        <v>608</v>
      </c>
      <c r="B611" s="114" t="s">
        <v>2153</v>
      </c>
      <c r="C611" s="115" t="s">
        <v>2154</v>
      </c>
      <c r="D611" s="115" t="s">
        <v>461</v>
      </c>
      <c r="E611" s="115" t="s">
        <v>1423</v>
      </c>
      <c r="F611" s="116">
        <v>100.52200590827047</v>
      </c>
      <c r="G611" s="116">
        <v>101.30950590827047</v>
      </c>
      <c r="H611" s="116">
        <v>10.16</v>
      </c>
      <c r="I611" s="113">
        <v>603</v>
      </c>
      <c r="J611" s="115" t="s">
        <v>271</v>
      </c>
    </row>
    <row r="612" spans="1:10" x14ac:dyDescent="0.25">
      <c r="A612" s="113">
        <v>609</v>
      </c>
      <c r="B612" s="114" t="s">
        <v>2176</v>
      </c>
      <c r="C612" s="115" t="s">
        <v>2177</v>
      </c>
      <c r="D612" s="115" t="s">
        <v>461</v>
      </c>
      <c r="E612" s="115" t="s">
        <v>1428</v>
      </c>
      <c r="F612" s="116">
        <v>99.559715632456189</v>
      </c>
      <c r="G612" s="116">
        <v>103.05971563245619</v>
      </c>
      <c r="H612" s="116">
        <v>20.56</v>
      </c>
      <c r="I612" s="113">
        <v>297</v>
      </c>
      <c r="J612" s="115" t="s">
        <v>271</v>
      </c>
    </row>
    <row r="613" spans="1:10" x14ac:dyDescent="0.25">
      <c r="A613" s="113">
        <v>610</v>
      </c>
      <c r="B613" s="114" t="s">
        <v>2436</v>
      </c>
      <c r="C613" s="115" t="s">
        <v>2437</v>
      </c>
      <c r="D613" s="115" t="s">
        <v>461</v>
      </c>
      <c r="E613" s="115" t="s">
        <v>1428</v>
      </c>
      <c r="F613" s="116">
        <v>100.33066262497333</v>
      </c>
      <c r="G613" s="116">
        <v>100.79736262497333</v>
      </c>
      <c r="H613" s="116">
        <v>20.73</v>
      </c>
      <c r="I613" s="113">
        <v>532</v>
      </c>
      <c r="J613" s="115" t="s">
        <v>271</v>
      </c>
    </row>
    <row r="614" spans="1:10" x14ac:dyDescent="0.25">
      <c r="A614" s="113">
        <v>611</v>
      </c>
      <c r="B614" s="114" t="s">
        <v>1426</v>
      </c>
      <c r="C614" s="115" t="s">
        <v>1427</v>
      </c>
      <c r="D614" s="115" t="s">
        <v>461</v>
      </c>
      <c r="E614" s="115" t="s">
        <v>1428</v>
      </c>
      <c r="F614" s="116">
        <v>99.883039500328607</v>
      </c>
      <c r="G614" s="116">
        <v>103.83303950032861</v>
      </c>
      <c r="H614" s="116">
        <v>21.51</v>
      </c>
      <c r="I614" s="113">
        <v>11</v>
      </c>
      <c r="J614" s="115" t="s">
        <v>271</v>
      </c>
    </row>
    <row r="615" spans="1:10" x14ac:dyDescent="0.25">
      <c r="A615" s="113">
        <v>612</v>
      </c>
      <c r="B615" s="114" t="s">
        <v>1429</v>
      </c>
      <c r="C615" s="115" t="s">
        <v>1430</v>
      </c>
      <c r="D615" s="115" t="s">
        <v>461</v>
      </c>
      <c r="E615" s="115" t="s">
        <v>1428</v>
      </c>
      <c r="F615" s="116">
        <v>99.998999999999995</v>
      </c>
      <c r="G615" s="116">
        <v>102.9157</v>
      </c>
      <c r="H615" s="116">
        <v>20.97</v>
      </c>
      <c r="I615" s="113">
        <v>400</v>
      </c>
      <c r="J615" s="115" t="s">
        <v>271</v>
      </c>
    </row>
    <row r="616" spans="1:10" x14ac:dyDescent="0.25">
      <c r="A616" s="113">
        <v>613</v>
      </c>
      <c r="B616" s="114" t="s">
        <v>1431</v>
      </c>
      <c r="C616" s="115" t="s">
        <v>1432</v>
      </c>
      <c r="D616" s="115" t="s">
        <v>461</v>
      </c>
      <c r="E616" s="115" t="s">
        <v>1428</v>
      </c>
      <c r="F616" s="116">
        <v>100.27211895513636</v>
      </c>
      <c r="G616" s="116">
        <v>102.43041895513636</v>
      </c>
      <c r="H616" s="116">
        <v>20.49</v>
      </c>
      <c r="I616" s="113">
        <v>233</v>
      </c>
      <c r="J616" s="115" t="s">
        <v>271</v>
      </c>
    </row>
    <row r="617" spans="1:10" x14ac:dyDescent="0.25">
      <c r="A617" s="113">
        <v>614</v>
      </c>
      <c r="B617" s="114" t="s">
        <v>1433</v>
      </c>
      <c r="C617" s="115" t="s">
        <v>1434</v>
      </c>
      <c r="D617" s="115" t="s">
        <v>461</v>
      </c>
      <c r="E617" s="115" t="s">
        <v>1428</v>
      </c>
      <c r="F617" s="116">
        <v>100.41380432040933</v>
      </c>
      <c r="G617" s="116">
        <v>102.57210432040934</v>
      </c>
      <c r="H617" s="116">
        <v>20.67</v>
      </c>
      <c r="I617" s="113">
        <v>593</v>
      </c>
      <c r="J617" s="115" t="s">
        <v>271</v>
      </c>
    </row>
    <row r="618" spans="1:10" x14ac:dyDescent="0.25">
      <c r="A618" s="113">
        <v>615</v>
      </c>
      <c r="B618" s="114" t="s">
        <v>1435</v>
      </c>
      <c r="C618" s="115" t="s">
        <v>1436</v>
      </c>
      <c r="D618" s="115" t="s">
        <v>451</v>
      </c>
      <c r="E618" s="115" t="s">
        <v>1428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240</v>
      </c>
    </row>
    <row r="619" spans="1:10" x14ac:dyDescent="0.25">
      <c r="A619" s="113">
        <v>616</v>
      </c>
      <c r="B619" s="114" t="s">
        <v>2005</v>
      </c>
      <c r="C619" s="115" t="s">
        <v>2006</v>
      </c>
      <c r="D619" s="115" t="s">
        <v>461</v>
      </c>
      <c r="E619" s="115" t="s">
        <v>1428</v>
      </c>
      <c r="F619" s="116">
        <v>92.259067950329126</v>
      </c>
      <c r="G619" s="116">
        <v>92.259067950329126</v>
      </c>
      <c r="H619" s="116">
        <v>20.98</v>
      </c>
      <c r="I619" s="113">
        <v>144</v>
      </c>
      <c r="J619" s="115" t="s">
        <v>271</v>
      </c>
    </row>
    <row r="620" spans="1:10" x14ac:dyDescent="0.25">
      <c r="A620" s="113">
        <v>617</v>
      </c>
      <c r="B620" s="114" t="s">
        <v>1437</v>
      </c>
      <c r="C620" s="115" t="s">
        <v>1438</v>
      </c>
      <c r="D620" s="115" t="s">
        <v>461</v>
      </c>
      <c r="E620" s="115" t="s">
        <v>1439</v>
      </c>
      <c r="F620" s="116">
        <v>94.645899999999997</v>
      </c>
      <c r="G620" s="116">
        <v>95.531999999999996</v>
      </c>
      <c r="H620" s="116">
        <v>17.52</v>
      </c>
      <c r="I620" s="113">
        <v>331</v>
      </c>
      <c r="J620" s="115" t="s">
        <v>271</v>
      </c>
    </row>
    <row r="621" spans="1:10" x14ac:dyDescent="0.25">
      <c r="A621" s="113">
        <v>618</v>
      </c>
      <c r="B621" s="114" t="s">
        <v>1440</v>
      </c>
      <c r="C621" s="115" t="s">
        <v>1441</v>
      </c>
      <c r="D621" s="115" t="s">
        <v>461</v>
      </c>
      <c r="E621" s="115" t="s">
        <v>1439</v>
      </c>
      <c r="F621" s="116">
        <v>90.985921478667777</v>
      </c>
      <c r="G621" s="116">
        <v>92.035921478667774</v>
      </c>
      <c r="H621" s="116">
        <v>18.09</v>
      </c>
      <c r="I621" s="113">
        <v>1053</v>
      </c>
      <c r="J621" s="115" t="s">
        <v>271</v>
      </c>
    </row>
    <row r="622" spans="1:10" x14ac:dyDescent="0.25">
      <c r="A622" s="113">
        <v>619</v>
      </c>
      <c r="B622" s="114" t="s">
        <v>1442</v>
      </c>
      <c r="C622" s="115" t="s">
        <v>1443</v>
      </c>
      <c r="D622" s="115" t="s">
        <v>451</v>
      </c>
      <c r="E622" s="115" t="s">
        <v>1439</v>
      </c>
      <c r="F622" s="116">
        <v>1003</v>
      </c>
      <c r="G622" s="116">
        <v>1003</v>
      </c>
      <c r="H622" s="116">
        <v>0</v>
      </c>
      <c r="I622" s="113">
        <v>1473</v>
      </c>
      <c r="J622" s="115" t="s">
        <v>240</v>
      </c>
    </row>
    <row r="623" spans="1:10" x14ac:dyDescent="0.25">
      <c r="A623" s="113">
        <v>620</v>
      </c>
      <c r="B623" s="114" t="s">
        <v>2164</v>
      </c>
      <c r="C623" s="115" t="s">
        <v>2165</v>
      </c>
      <c r="D623" s="115" t="s">
        <v>451</v>
      </c>
      <c r="E623" s="115" t="s">
        <v>1439</v>
      </c>
      <c r="F623" s="116">
        <v>100.62</v>
      </c>
      <c r="G623" s="116">
        <v>100.62</v>
      </c>
      <c r="H623" s="116">
        <v>0</v>
      </c>
      <c r="I623" s="113">
        <v>1352</v>
      </c>
      <c r="J623" s="115" t="s">
        <v>240</v>
      </c>
    </row>
    <row r="624" spans="1:10" x14ac:dyDescent="0.25">
      <c r="A624" s="113">
        <v>621</v>
      </c>
      <c r="B624" s="114" t="s">
        <v>1444</v>
      </c>
      <c r="C624" s="115" t="s">
        <v>1445</v>
      </c>
      <c r="D624" s="115" t="s">
        <v>461</v>
      </c>
      <c r="E624" s="115" t="s">
        <v>1446</v>
      </c>
      <c r="F624" s="116">
        <v>100.20106887067172</v>
      </c>
      <c r="G624" s="116">
        <v>104.35666887067173</v>
      </c>
      <c r="H624" s="116">
        <v>21.23</v>
      </c>
      <c r="I624" s="113">
        <v>112</v>
      </c>
      <c r="J624" s="115" t="s">
        <v>271</v>
      </c>
    </row>
    <row r="625" spans="1:10" x14ac:dyDescent="0.25">
      <c r="A625" s="113">
        <v>622</v>
      </c>
      <c r="B625" s="114" t="s">
        <v>1447</v>
      </c>
      <c r="C625" s="115" t="s">
        <v>1448</v>
      </c>
      <c r="D625" s="115" t="s">
        <v>461</v>
      </c>
      <c r="E625" s="115" t="s">
        <v>1446</v>
      </c>
      <c r="F625" s="116">
        <v>99.234480496721034</v>
      </c>
      <c r="G625" s="116">
        <v>101.11368049672105</v>
      </c>
      <c r="H625" s="116">
        <v>21.41</v>
      </c>
      <c r="I625" s="113">
        <v>327</v>
      </c>
      <c r="J625" s="115" t="s">
        <v>271</v>
      </c>
    </row>
    <row r="626" spans="1:10" x14ac:dyDescent="0.25">
      <c r="A626" s="113">
        <v>623</v>
      </c>
      <c r="B626" s="114" t="s">
        <v>2323</v>
      </c>
      <c r="C626" s="115" t="s">
        <v>2324</v>
      </c>
      <c r="D626" s="115" t="s">
        <v>461</v>
      </c>
      <c r="E626" s="115" t="s">
        <v>1446</v>
      </c>
      <c r="F626" s="116">
        <v>99.144668286087793</v>
      </c>
      <c r="G626" s="116">
        <v>101.3029682860878</v>
      </c>
      <c r="H626" s="116">
        <v>21.54</v>
      </c>
      <c r="I626" s="113">
        <v>683</v>
      </c>
      <c r="J626" s="115" t="s">
        <v>271</v>
      </c>
    </row>
    <row r="627" spans="1:10" x14ac:dyDescent="0.25">
      <c r="A627" s="113">
        <v>624</v>
      </c>
      <c r="B627" s="114" t="s">
        <v>1450</v>
      </c>
      <c r="C627" s="115" t="s">
        <v>1451</v>
      </c>
      <c r="D627" s="115" t="s">
        <v>461</v>
      </c>
      <c r="E627" s="115" t="s">
        <v>1449</v>
      </c>
      <c r="F627" s="116">
        <v>99.652814490788202</v>
      </c>
      <c r="G627" s="116">
        <v>101.04171449078819</v>
      </c>
      <c r="H627" s="116">
        <v>13.11</v>
      </c>
      <c r="I627" s="113">
        <v>40</v>
      </c>
      <c r="J627" s="115" t="s">
        <v>271</v>
      </c>
    </row>
    <row r="628" spans="1:10" x14ac:dyDescent="0.25">
      <c r="A628" s="113">
        <v>625</v>
      </c>
      <c r="B628" s="114" t="s">
        <v>1452</v>
      </c>
      <c r="C628" s="115" t="s">
        <v>1453</v>
      </c>
      <c r="D628" s="115" t="s">
        <v>461</v>
      </c>
      <c r="E628" s="115" t="s">
        <v>1449</v>
      </c>
      <c r="F628" s="116">
        <v>99.65994999320705</v>
      </c>
      <c r="G628" s="116">
        <v>101.07664999320706</v>
      </c>
      <c r="H628" s="116">
        <v>13.12</v>
      </c>
      <c r="I628" s="113">
        <v>39</v>
      </c>
      <c r="J628" s="115" t="s">
        <v>271</v>
      </c>
    </row>
    <row r="629" spans="1:10" x14ac:dyDescent="0.25">
      <c r="A629" s="113">
        <v>626</v>
      </c>
      <c r="B629" s="114" t="s">
        <v>1454</v>
      </c>
      <c r="C629" s="115" t="s">
        <v>1455</v>
      </c>
      <c r="D629" s="115" t="s">
        <v>461</v>
      </c>
      <c r="E629" s="115" t="s">
        <v>1449</v>
      </c>
      <c r="F629" s="116">
        <v>97.869469579753414</v>
      </c>
      <c r="G629" s="116">
        <v>99.925069579753426</v>
      </c>
      <c r="H629" s="116">
        <v>22.65</v>
      </c>
      <c r="I629" s="113">
        <v>323</v>
      </c>
      <c r="J629" s="115" t="s">
        <v>271</v>
      </c>
    </row>
    <row r="630" spans="1:10" x14ac:dyDescent="0.25">
      <c r="A630" s="113">
        <v>627</v>
      </c>
      <c r="B630" s="114" t="s">
        <v>2027</v>
      </c>
      <c r="C630" s="115" t="s">
        <v>2028</v>
      </c>
      <c r="D630" s="115" t="s">
        <v>461</v>
      </c>
      <c r="E630" s="115" t="s">
        <v>1449</v>
      </c>
      <c r="F630" s="116">
        <v>100.97122690537478</v>
      </c>
      <c r="G630" s="116">
        <v>103.24622690537478</v>
      </c>
      <c r="H630" s="116">
        <v>12.3</v>
      </c>
      <c r="I630" s="113">
        <v>567</v>
      </c>
      <c r="J630" s="115" t="s">
        <v>271</v>
      </c>
    </row>
    <row r="631" spans="1:10" x14ac:dyDescent="0.25">
      <c r="A631" s="113">
        <v>628</v>
      </c>
      <c r="B631" s="114" t="s">
        <v>2257</v>
      </c>
      <c r="C631" s="115" t="s">
        <v>2258</v>
      </c>
      <c r="D631" s="115" t="s">
        <v>461</v>
      </c>
      <c r="E631" s="115" t="s">
        <v>1449</v>
      </c>
      <c r="F631" s="116">
        <v>94.1940455284645</v>
      </c>
      <c r="G631" s="116">
        <v>97.749645528464512</v>
      </c>
      <c r="H631" s="116">
        <v>22.83</v>
      </c>
      <c r="I631" s="113">
        <v>1016</v>
      </c>
      <c r="J631" s="115" t="s">
        <v>271</v>
      </c>
    </row>
    <row r="632" spans="1:10" x14ac:dyDescent="0.25">
      <c r="A632" s="113">
        <v>629</v>
      </c>
      <c r="B632" s="114" t="s">
        <v>1456</v>
      </c>
      <c r="C632" s="115" t="s">
        <v>1457</v>
      </c>
      <c r="D632" s="115" t="s">
        <v>461</v>
      </c>
      <c r="E632" s="115" t="s">
        <v>1458</v>
      </c>
      <c r="F632" s="116">
        <v>100</v>
      </c>
      <c r="G632" s="116">
        <v>100.0009</v>
      </c>
      <c r="H632" s="116">
        <v>0.02</v>
      </c>
      <c r="I632" s="113">
        <v>3098</v>
      </c>
      <c r="J632" s="115" t="s">
        <v>271</v>
      </c>
    </row>
    <row r="633" spans="1:10" x14ac:dyDescent="0.25">
      <c r="A633" s="113">
        <v>630</v>
      </c>
      <c r="B633" s="114" t="s">
        <v>1459</v>
      </c>
      <c r="C633" s="115" t="s">
        <v>1460</v>
      </c>
      <c r="D633" s="115" t="s">
        <v>461</v>
      </c>
      <c r="E633" s="115" t="s">
        <v>1458</v>
      </c>
      <c r="F633" s="116">
        <v>100</v>
      </c>
      <c r="G633" s="116">
        <v>105.16719999999999</v>
      </c>
      <c r="H633" s="116">
        <v>7.06</v>
      </c>
      <c r="I633" s="113">
        <v>2195</v>
      </c>
      <c r="J633" s="115" t="s">
        <v>271</v>
      </c>
    </row>
    <row r="634" spans="1:10" x14ac:dyDescent="0.25">
      <c r="A634" s="113">
        <v>631</v>
      </c>
      <c r="B634" s="114" t="s">
        <v>1461</v>
      </c>
      <c r="C634" s="115" t="s">
        <v>1462</v>
      </c>
      <c r="D634" s="115" t="s">
        <v>461</v>
      </c>
      <c r="E634" s="115" t="s">
        <v>1458</v>
      </c>
      <c r="F634" s="116">
        <v>100</v>
      </c>
      <c r="G634" s="116">
        <v>100.9658</v>
      </c>
      <c r="H634" s="116">
        <v>6.08</v>
      </c>
      <c r="I634" s="113">
        <v>1713</v>
      </c>
      <c r="J634" s="115" t="s">
        <v>271</v>
      </c>
    </row>
    <row r="635" spans="1:10" x14ac:dyDescent="0.25">
      <c r="A635" s="113">
        <v>632</v>
      </c>
      <c r="B635" s="114" t="s">
        <v>1463</v>
      </c>
      <c r="C635" s="115" t="s">
        <v>1464</v>
      </c>
      <c r="D635" s="115" t="s">
        <v>461</v>
      </c>
      <c r="E635" s="115" t="s">
        <v>1458</v>
      </c>
      <c r="F635" s="116">
        <v>100</v>
      </c>
      <c r="G635" s="116">
        <v>105.8181</v>
      </c>
      <c r="H635" s="116">
        <v>7.08</v>
      </c>
      <c r="I635" s="113">
        <v>2195</v>
      </c>
      <c r="J635" s="115" t="s">
        <v>271</v>
      </c>
    </row>
    <row r="636" spans="1:10" x14ac:dyDescent="0.25">
      <c r="A636" s="113">
        <v>633</v>
      </c>
      <c r="B636" s="114" t="s">
        <v>2404</v>
      </c>
      <c r="C636" s="115" t="s">
        <v>2405</v>
      </c>
      <c r="D636" s="115" t="s">
        <v>461</v>
      </c>
      <c r="E636" s="115" t="s">
        <v>1458</v>
      </c>
      <c r="F636" s="116">
        <v>90.5614830951546</v>
      </c>
      <c r="G636" s="116">
        <v>91.673683095154601</v>
      </c>
      <c r="H636" s="116">
        <v>20.47</v>
      </c>
      <c r="I636" s="113">
        <v>3578</v>
      </c>
      <c r="J636" s="115" t="s">
        <v>271</v>
      </c>
    </row>
    <row r="637" spans="1:10" x14ac:dyDescent="0.25">
      <c r="A637" s="113">
        <v>634</v>
      </c>
      <c r="B637" s="114" t="s">
        <v>1465</v>
      </c>
      <c r="C637" s="115" t="s">
        <v>1466</v>
      </c>
      <c r="D637" s="115" t="s">
        <v>461</v>
      </c>
      <c r="E637" s="115" t="s">
        <v>1458</v>
      </c>
      <c r="F637" s="116">
        <v>100</v>
      </c>
      <c r="G637" s="116">
        <v>104.43940000000001</v>
      </c>
      <c r="H637" s="116">
        <v>6.07</v>
      </c>
      <c r="I637" s="113">
        <v>2550</v>
      </c>
      <c r="J637" s="115" t="s">
        <v>271</v>
      </c>
    </row>
    <row r="638" spans="1:10" x14ac:dyDescent="0.25">
      <c r="A638" s="113">
        <v>635</v>
      </c>
      <c r="B638" s="114" t="s">
        <v>1467</v>
      </c>
      <c r="C638" s="115" t="s">
        <v>1468</v>
      </c>
      <c r="D638" s="115" t="s">
        <v>461</v>
      </c>
      <c r="E638" s="115" t="s">
        <v>1458</v>
      </c>
      <c r="F638" s="116">
        <v>100</v>
      </c>
      <c r="G638" s="116">
        <v>100.1356</v>
      </c>
      <c r="H638" s="116">
        <v>6.09</v>
      </c>
      <c r="I638" s="113">
        <v>2122</v>
      </c>
      <c r="J638" s="115" t="s">
        <v>271</v>
      </c>
    </row>
    <row r="639" spans="1:10" x14ac:dyDescent="0.25">
      <c r="A639" s="113">
        <v>636</v>
      </c>
      <c r="B639" s="114" t="s">
        <v>1469</v>
      </c>
      <c r="C639" s="115" t="s">
        <v>1470</v>
      </c>
      <c r="D639" s="115" t="s">
        <v>461</v>
      </c>
      <c r="E639" s="115" t="s">
        <v>1458</v>
      </c>
      <c r="F639" s="116">
        <v>100</v>
      </c>
      <c r="G639" s="116">
        <v>104.43940000000001</v>
      </c>
      <c r="H639" s="116">
        <v>6.09</v>
      </c>
      <c r="I639" s="113">
        <v>2617</v>
      </c>
      <c r="J639" s="115" t="s">
        <v>271</v>
      </c>
    </row>
    <row r="640" spans="1:10" x14ac:dyDescent="0.25">
      <c r="A640" s="113">
        <v>637</v>
      </c>
      <c r="B640" s="114" t="s">
        <v>1471</v>
      </c>
      <c r="C640" s="115" t="s">
        <v>1472</v>
      </c>
      <c r="D640" s="115" t="s">
        <v>461</v>
      </c>
      <c r="E640" s="115" t="s">
        <v>1458</v>
      </c>
      <c r="F640" s="116">
        <v>100</v>
      </c>
      <c r="G640" s="116">
        <v>105.08329999999999</v>
      </c>
      <c r="H640" s="116">
        <v>6.08</v>
      </c>
      <c r="I640" s="113">
        <v>2550</v>
      </c>
      <c r="J640" s="115" t="s">
        <v>271</v>
      </c>
    </row>
    <row r="641" spans="1:10" x14ac:dyDescent="0.25">
      <c r="A641" s="113">
        <v>638</v>
      </c>
      <c r="B641" s="114" t="s">
        <v>1473</v>
      </c>
      <c r="C641" s="115" t="s">
        <v>1474</v>
      </c>
      <c r="D641" s="115" t="s">
        <v>461</v>
      </c>
      <c r="E641" s="115" t="s">
        <v>1458</v>
      </c>
      <c r="F641" s="116">
        <v>100</v>
      </c>
      <c r="G641" s="116">
        <v>105.08329999999999</v>
      </c>
      <c r="H641" s="116">
        <v>6.08</v>
      </c>
      <c r="I641" s="113">
        <v>2550</v>
      </c>
      <c r="J641" s="115" t="s">
        <v>271</v>
      </c>
    </row>
    <row r="642" spans="1:10" x14ac:dyDescent="0.25">
      <c r="A642" s="113">
        <v>639</v>
      </c>
      <c r="B642" s="114" t="s">
        <v>1475</v>
      </c>
      <c r="C642" s="115" t="s">
        <v>1476</v>
      </c>
      <c r="D642" s="115" t="s">
        <v>461</v>
      </c>
      <c r="E642" s="115" t="s">
        <v>1458</v>
      </c>
      <c r="F642" s="116">
        <v>100</v>
      </c>
      <c r="G642" s="116">
        <v>103.9481</v>
      </c>
      <c r="H642" s="116">
        <v>6.08</v>
      </c>
      <c r="I642" s="113">
        <v>2617</v>
      </c>
      <c r="J642" s="115" t="s">
        <v>271</v>
      </c>
    </row>
    <row r="643" spans="1:10" x14ac:dyDescent="0.25">
      <c r="A643" s="113">
        <v>640</v>
      </c>
      <c r="B643" s="114" t="s">
        <v>2389</v>
      </c>
      <c r="C643" s="115" t="s">
        <v>2390</v>
      </c>
      <c r="D643" s="115" t="s">
        <v>461</v>
      </c>
      <c r="E643" s="115" t="s">
        <v>2391</v>
      </c>
      <c r="F643" s="116">
        <v>100.51341514904996</v>
      </c>
      <c r="G643" s="116">
        <v>101.18561514904997</v>
      </c>
      <c r="H643" s="116">
        <v>10.79</v>
      </c>
      <c r="I643" s="113">
        <v>1058</v>
      </c>
      <c r="J643" s="115" t="s">
        <v>271</v>
      </c>
    </row>
    <row r="644" spans="1:10" x14ac:dyDescent="0.25">
      <c r="A644" s="113">
        <v>641</v>
      </c>
      <c r="B644" s="114" t="s">
        <v>2273</v>
      </c>
      <c r="C644" s="115" t="s">
        <v>2274</v>
      </c>
      <c r="D644" s="115" t="s">
        <v>461</v>
      </c>
      <c r="E644" s="115" t="s">
        <v>2275</v>
      </c>
      <c r="F644" s="116">
        <v>101.98735789858938</v>
      </c>
      <c r="G644" s="116">
        <v>106.03175789858939</v>
      </c>
      <c r="H644" s="116">
        <v>24.98</v>
      </c>
      <c r="I644" s="113">
        <v>1024</v>
      </c>
      <c r="J644" s="115" t="s">
        <v>271</v>
      </c>
    </row>
    <row r="645" spans="1:10" x14ac:dyDescent="0.25">
      <c r="A645" s="113">
        <v>642</v>
      </c>
      <c r="B645" s="114" t="s">
        <v>1477</v>
      </c>
      <c r="C645" s="115" t="s">
        <v>1478</v>
      </c>
      <c r="D645" s="115" t="s">
        <v>451</v>
      </c>
      <c r="E645" s="115" t="s">
        <v>1479</v>
      </c>
      <c r="F645" s="116">
        <v>52664.62</v>
      </c>
      <c r="G645" s="116">
        <v>52664.62</v>
      </c>
      <c r="H645" s="116">
        <v>0</v>
      </c>
      <c r="I645" s="113">
        <v>0</v>
      </c>
      <c r="J645" s="115" t="s">
        <v>240</v>
      </c>
    </row>
    <row r="646" spans="1:10" x14ac:dyDescent="0.25">
      <c r="A646" s="113">
        <v>643</v>
      </c>
      <c r="B646" s="114" t="s">
        <v>387</v>
      </c>
      <c r="C646" s="115" t="s">
        <v>388</v>
      </c>
      <c r="D646" s="115" t="s">
        <v>461</v>
      </c>
      <c r="E646" s="115" t="s">
        <v>111</v>
      </c>
      <c r="F646" s="116">
        <v>97.476900000000001</v>
      </c>
      <c r="G646" s="116">
        <v>97.476900000000001</v>
      </c>
      <c r="H646" s="116">
        <v>15</v>
      </c>
      <c r="I646" s="113">
        <v>63</v>
      </c>
      <c r="J646" s="115" t="s">
        <v>271</v>
      </c>
    </row>
    <row r="647" spans="1:10" x14ac:dyDescent="0.25">
      <c r="A647" s="113">
        <v>644</v>
      </c>
      <c r="B647" s="114" t="s">
        <v>2031</v>
      </c>
      <c r="C647" s="115" t="s">
        <v>2032</v>
      </c>
      <c r="D647" s="115" t="s">
        <v>461</v>
      </c>
      <c r="E647" s="115" t="s">
        <v>111</v>
      </c>
      <c r="F647" s="116">
        <v>93.277100000000004</v>
      </c>
      <c r="G647" s="116">
        <v>93.277100000000004</v>
      </c>
      <c r="H647" s="116">
        <v>15.66</v>
      </c>
      <c r="I647" s="113">
        <v>168</v>
      </c>
      <c r="J647" s="115" t="s">
        <v>271</v>
      </c>
    </row>
    <row r="648" spans="1:10" x14ac:dyDescent="0.25">
      <c r="A648" s="113">
        <v>645</v>
      </c>
      <c r="B648" s="114" t="s">
        <v>2184</v>
      </c>
      <c r="C648" s="115" t="s">
        <v>2185</v>
      </c>
      <c r="D648" s="115" t="s">
        <v>461</v>
      </c>
      <c r="E648" s="115" t="s">
        <v>111</v>
      </c>
      <c r="F648" s="116">
        <v>89.479900000000001</v>
      </c>
      <c r="G648" s="116">
        <v>89.479900000000001</v>
      </c>
      <c r="H648" s="116">
        <v>16.13</v>
      </c>
      <c r="I648" s="113">
        <v>266</v>
      </c>
      <c r="J648" s="115" t="s">
        <v>271</v>
      </c>
    </row>
    <row r="649" spans="1:10" x14ac:dyDescent="0.25">
      <c r="A649" s="113">
        <v>646</v>
      </c>
      <c r="B649" s="114" t="s">
        <v>1480</v>
      </c>
      <c r="C649" s="115" t="s">
        <v>1481</v>
      </c>
      <c r="D649" s="115" t="s">
        <v>451</v>
      </c>
      <c r="E649" s="115" t="s">
        <v>1482</v>
      </c>
      <c r="F649" s="116">
        <v>0.01</v>
      </c>
      <c r="G649" s="116">
        <v>0.01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1483</v>
      </c>
      <c r="C650" s="115" t="s">
        <v>1484</v>
      </c>
      <c r="D650" s="115" t="s">
        <v>451</v>
      </c>
      <c r="E650" s="115" t="s">
        <v>1482</v>
      </c>
      <c r="F650" s="116">
        <v>5695</v>
      </c>
      <c r="G650" s="116">
        <v>5695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1485</v>
      </c>
      <c r="C651" s="115" t="s">
        <v>1486</v>
      </c>
      <c r="D651" s="115" t="s">
        <v>451</v>
      </c>
      <c r="E651" s="115" t="s">
        <v>1487</v>
      </c>
      <c r="F651" s="116">
        <v>13000</v>
      </c>
      <c r="G651" s="116">
        <v>13000</v>
      </c>
      <c r="H651" s="116">
        <v>0</v>
      </c>
      <c r="I651" s="113">
        <v>0</v>
      </c>
      <c r="J651" s="115" t="s">
        <v>240</v>
      </c>
    </row>
    <row r="652" spans="1:10" x14ac:dyDescent="0.25">
      <c r="A652" s="113">
        <v>649</v>
      </c>
      <c r="B652" s="114" t="s">
        <v>1488</v>
      </c>
      <c r="C652" s="115" t="s">
        <v>1489</v>
      </c>
      <c r="D652" s="115" t="s">
        <v>461</v>
      </c>
      <c r="E652" s="115" t="s">
        <v>1490</v>
      </c>
      <c r="F652" s="116">
        <v>89.369637231649079</v>
      </c>
      <c r="G652" s="116">
        <v>91.769637231649071</v>
      </c>
      <c r="H652" s="116">
        <v>10.79</v>
      </c>
      <c r="I652" s="113">
        <v>936</v>
      </c>
      <c r="J652" s="115" t="s">
        <v>271</v>
      </c>
    </row>
    <row r="653" spans="1:10" x14ac:dyDescent="0.25">
      <c r="A653" s="113">
        <v>650</v>
      </c>
      <c r="B653" s="114" t="s">
        <v>117</v>
      </c>
      <c r="C653" s="115" t="s">
        <v>4</v>
      </c>
      <c r="D653" s="115" t="s">
        <v>461</v>
      </c>
      <c r="E653" s="115" t="s">
        <v>111</v>
      </c>
      <c r="F653" s="116">
        <v>98.001300000000001</v>
      </c>
      <c r="G653" s="116">
        <v>98.920100000000005</v>
      </c>
      <c r="H653" s="116">
        <v>15.77</v>
      </c>
      <c r="I653" s="113">
        <v>149</v>
      </c>
      <c r="J653" s="115" t="s">
        <v>271</v>
      </c>
    </row>
    <row r="654" spans="1:10" x14ac:dyDescent="0.25">
      <c r="A654" s="113">
        <v>651</v>
      </c>
      <c r="B654" s="114" t="s">
        <v>118</v>
      </c>
      <c r="C654" s="115" t="s">
        <v>119</v>
      </c>
      <c r="D654" s="115" t="s">
        <v>461</v>
      </c>
      <c r="E654" s="115" t="s">
        <v>111</v>
      </c>
      <c r="F654" s="116">
        <v>98.337500000000006</v>
      </c>
      <c r="G654" s="116">
        <v>100.5528</v>
      </c>
      <c r="H654" s="116">
        <v>15.87</v>
      </c>
      <c r="I654" s="113">
        <v>302</v>
      </c>
      <c r="J654" s="115" t="s">
        <v>271</v>
      </c>
    </row>
    <row r="655" spans="1:10" x14ac:dyDescent="0.25">
      <c r="A655" s="113">
        <v>652</v>
      </c>
      <c r="B655" s="114" t="s">
        <v>120</v>
      </c>
      <c r="C655" s="115" t="s">
        <v>121</v>
      </c>
      <c r="D655" s="115" t="s">
        <v>461</v>
      </c>
      <c r="E655" s="115" t="s">
        <v>111</v>
      </c>
      <c r="F655" s="116">
        <v>98.021600000000007</v>
      </c>
      <c r="G655" s="116">
        <v>104.0449</v>
      </c>
      <c r="H655" s="116">
        <v>15.96</v>
      </c>
      <c r="I655" s="113">
        <v>384</v>
      </c>
      <c r="J655" s="115" t="s">
        <v>271</v>
      </c>
    </row>
    <row r="656" spans="1:10" x14ac:dyDescent="0.25">
      <c r="A656" s="113">
        <v>653</v>
      </c>
      <c r="B656" s="114" t="s">
        <v>2422</v>
      </c>
      <c r="C656" s="115" t="s">
        <v>2421</v>
      </c>
      <c r="D656" s="115" t="s">
        <v>461</v>
      </c>
      <c r="E656" s="115" t="s">
        <v>111</v>
      </c>
      <c r="F656" s="116">
        <v>102.59099999999999</v>
      </c>
      <c r="G656" s="116">
        <v>103.2998</v>
      </c>
      <c r="H656" s="116">
        <v>16.09</v>
      </c>
      <c r="I656" s="113">
        <v>1425</v>
      </c>
      <c r="J656" s="115" t="s">
        <v>271</v>
      </c>
    </row>
    <row r="657" spans="1:10" x14ac:dyDescent="0.25">
      <c r="A657" s="113">
        <v>654</v>
      </c>
      <c r="B657" s="114" t="s">
        <v>122</v>
      </c>
      <c r="C657" s="115" t="s">
        <v>123</v>
      </c>
      <c r="D657" s="115" t="s">
        <v>461</v>
      </c>
      <c r="E657" s="115" t="s">
        <v>111</v>
      </c>
      <c r="F657" s="116">
        <v>95.366600000000005</v>
      </c>
      <c r="G657" s="116">
        <v>95.891599999999997</v>
      </c>
      <c r="H657" s="116">
        <v>15.93</v>
      </c>
      <c r="I657" s="113">
        <v>342</v>
      </c>
      <c r="J657" s="115" t="s">
        <v>271</v>
      </c>
    </row>
    <row r="658" spans="1:10" x14ac:dyDescent="0.25">
      <c r="A658" s="113">
        <v>655</v>
      </c>
      <c r="B658" s="114" t="s">
        <v>124</v>
      </c>
      <c r="C658" s="115" t="s">
        <v>125</v>
      </c>
      <c r="D658" s="115" t="s">
        <v>461</v>
      </c>
      <c r="E658" s="115" t="s">
        <v>111</v>
      </c>
      <c r="F658" s="116">
        <v>98.658100000000005</v>
      </c>
      <c r="G658" s="116">
        <v>102.6662</v>
      </c>
      <c r="H658" s="116">
        <v>16.05</v>
      </c>
      <c r="I658" s="113">
        <v>806</v>
      </c>
      <c r="J658" s="115" t="s">
        <v>271</v>
      </c>
    </row>
    <row r="659" spans="1:10" x14ac:dyDescent="0.25">
      <c r="A659" s="113">
        <v>656</v>
      </c>
      <c r="B659" s="114" t="s">
        <v>1491</v>
      </c>
      <c r="C659" s="115" t="s">
        <v>1492</v>
      </c>
      <c r="D659" s="115" t="s">
        <v>451</v>
      </c>
      <c r="E659" s="115" t="s">
        <v>1493</v>
      </c>
      <c r="F659" s="116">
        <v>0.01</v>
      </c>
      <c r="G659" s="116">
        <v>0.01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1494</v>
      </c>
      <c r="C660" s="115" t="s">
        <v>1495</v>
      </c>
      <c r="D660" s="115" t="s">
        <v>451</v>
      </c>
      <c r="E660" s="115" t="s">
        <v>1496</v>
      </c>
      <c r="F660" s="116">
        <v>14166.603150000003</v>
      </c>
      <c r="G660" s="116">
        <v>14166.603150000003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1497</v>
      </c>
      <c r="C661" s="115" t="s">
        <v>1498</v>
      </c>
      <c r="D661" s="115" t="s">
        <v>451</v>
      </c>
      <c r="E661" s="115" t="s">
        <v>1499</v>
      </c>
      <c r="F661" s="116">
        <v>272304.63505000004</v>
      </c>
      <c r="G661" s="116">
        <v>272304.63505000004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1500</v>
      </c>
      <c r="C662" s="115" t="s">
        <v>1501</v>
      </c>
      <c r="D662" s="115" t="s">
        <v>451</v>
      </c>
      <c r="E662" s="115" t="s">
        <v>1502</v>
      </c>
      <c r="F662" s="116">
        <v>103162.75760000003</v>
      </c>
      <c r="G662" s="116">
        <v>103162.75760000003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2394</v>
      </c>
      <c r="C663" s="115" t="s">
        <v>2388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16.652999999999999</v>
      </c>
      <c r="I663" s="113">
        <v>1438</v>
      </c>
      <c r="J663" s="115" t="s">
        <v>271</v>
      </c>
    </row>
    <row r="664" spans="1:10" x14ac:dyDescent="0.25">
      <c r="A664" s="113">
        <v>661</v>
      </c>
      <c r="B664" s="114" t="s">
        <v>126</v>
      </c>
      <c r="C664" s="115" t="s">
        <v>127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17.053999999999998</v>
      </c>
      <c r="I664" s="113">
        <v>377</v>
      </c>
      <c r="J664" s="115" t="s">
        <v>271</v>
      </c>
    </row>
    <row r="665" spans="1:10" x14ac:dyDescent="0.25">
      <c r="A665" s="113">
        <v>662</v>
      </c>
      <c r="B665" s="114" t="s">
        <v>128</v>
      </c>
      <c r="C665" s="115" t="s">
        <v>129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17.207999999999998</v>
      </c>
      <c r="I665" s="113">
        <v>772</v>
      </c>
      <c r="J665" s="115" t="s">
        <v>271</v>
      </c>
    </row>
    <row r="666" spans="1:10" x14ac:dyDescent="0.25">
      <c r="A666" s="113">
        <v>663</v>
      </c>
      <c r="B666" s="114" t="s">
        <v>130</v>
      </c>
      <c r="C666" s="115" t="s">
        <v>131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17.408000000000001</v>
      </c>
      <c r="I666" s="113">
        <v>1166</v>
      </c>
      <c r="J666" s="115" t="s">
        <v>271</v>
      </c>
    </row>
    <row r="667" spans="1:10" x14ac:dyDescent="0.25">
      <c r="A667" s="113">
        <v>664</v>
      </c>
      <c r="B667" s="114" t="s">
        <v>132</v>
      </c>
      <c r="C667" s="115" t="s">
        <v>133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17.48</v>
      </c>
      <c r="I667" s="113">
        <v>1631</v>
      </c>
      <c r="J667" s="115" t="s">
        <v>271</v>
      </c>
    </row>
    <row r="668" spans="1:10" x14ac:dyDescent="0.25">
      <c r="A668" s="113">
        <v>665</v>
      </c>
      <c r="B668" s="114" t="s">
        <v>134</v>
      </c>
      <c r="C668" s="115" t="s">
        <v>135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17.608000000000001</v>
      </c>
      <c r="I668" s="113">
        <v>1941</v>
      </c>
      <c r="J668" s="115" t="s">
        <v>271</v>
      </c>
    </row>
    <row r="669" spans="1:10" x14ac:dyDescent="0.25">
      <c r="A669" s="113">
        <v>666</v>
      </c>
      <c r="B669" s="114" t="s">
        <v>285</v>
      </c>
      <c r="C669" s="115" t="s">
        <v>286</v>
      </c>
      <c r="D669" s="115" t="s">
        <v>461</v>
      </c>
      <c r="E669" s="115" t="s">
        <v>111</v>
      </c>
      <c r="F669" s="116">
        <v>99.871099999999998</v>
      </c>
      <c r="G669" s="116">
        <v>99.871099999999998</v>
      </c>
      <c r="H669" s="116">
        <v>11.798</v>
      </c>
      <c r="I669" s="113">
        <v>95</v>
      </c>
      <c r="J669" s="115" t="s">
        <v>271</v>
      </c>
    </row>
    <row r="670" spans="1:10" x14ac:dyDescent="0.25">
      <c r="A670" s="113">
        <v>667</v>
      </c>
      <c r="B670" s="114" t="s">
        <v>287</v>
      </c>
      <c r="C670" s="115" t="s">
        <v>288</v>
      </c>
      <c r="D670" s="115" t="s">
        <v>461</v>
      </c>
      <c r="E670" s="115" t="s">
        <v>111</v>
      </c>
      <c r="F670" s="116">
        <v>99.936999999999998</v>
      </c>
      <c r="G670" s="116">
        <v>99.936999999999998</v>
      </c>
      <c r="H670" s="116">
        <v>11.798</v>
      </c>
      <c r="I670" s="113">
        <v>398</v>
      </c>
      <c r="J670" s="115" t="s">
        <v>271</v>
      </c>
    </row>
    <row r="671" spans="1:10" x14ac:dyDescent="0.25">
      <c r="A671" s="113">
        <v>668</v>
      </c>
      <c r="B671" s="114" t="s">
        <v>289</v>
      </c>
      <c r="C671" s="115" t="s">
        <v>290</v>
      </c>
      <c r="D671" s="115" t="s">
        <v>461</v>
      </c>
      <c r="E671" s="115" t="s">
        <v>111</v>
      </c>
      <c r="F671" s="116">
        <v>99.843100000000007</v>
      </c>
      <c r="G671" s="116">
        <v>99.843100000000007</v>
      </c>
      <c r="H671" s="116">
        <v>11.798</v>
      </c>
      <c r="I671" s="113">
        <v>217</v>
      </c>
      <c r="J671" s="115" t="s">
        <v>271</v>
      </c>
    </row>
    <row r="672" spans="1:10" x14ac:dyDescent="0.25">
      <c r="A672" s="113">
        <v>669</v>
      </c>
      <c r="B672" s="114" t="s">
        <v>291</v>
      </c>
      <c r="C672" s="115" t="s">
        <v>292</v>
      </c>
      <c r="D672" s="115" t="s">
        <v>461</v>
      </c>
      <c r="E672" s="115" t="s">
        <v>111</v>
      </c>
      <c r="F672" s="116">
        <v>99.989000000000004</v>
      </c>
      <c r="G672" s="116">
        <v>99.989000000000004</v>
      </c>
      <c r="H672" s="116">
        <v>11.798</v>
      </c>
      <c r="I672" s="113">
        <v>366</v>
      </c>
      <c r="J672" s="115" t="s">
        <v>271</v>
      </c>
    </row>
    <row r="673" spans="1:10" x14ac:dyDescent="0.25">
      <c r="A673" s="113">
        <v>670</v>
      </c>
      <c r="B673" s="114" t="s">
        <v>293</v>
      </c>
      <c r="C673" s="115" t="s">
        <v>294</v>
      </c>
      <c r="D673" s="115" t="s">
        <v>461</v>
      </c>
      <c r="E673" s="115" t="s">
        <v>111</v>
      </c>
      <c r="F673" s="116">
        <v>99.900400000000005</v>
      </c>
      <c r="G673" s="116">
        <v>99.900400000000005</v>
      </c>
      <c r="H673" s="116">
        <v>11.798</v>
      </c>
      <c r="I673" s="113">
        <v>66</v>
      </c>
      <c r="J673" s="115" t="s">
        <v>271</v>
      </c>
    </row>
    <row r="674" spans="1:10" x14ac:dyDescent="0.25">
      <c r="A674" s="113">
        <v>671</v>
      </c>
      <c r="B674" s="114" t="s">
        <v>295</v>
      </c>
      <c r="C674" s="115" t="s">
        <v>296</v>
      </c>
      <c r="D674" s="115" t="s">
        <v>461</v>
      </c>
      <c r="E674" s="115" t="s">
        <v>111</v>
      </c>
      <c r="F674" s="116">
        <v>99.8566</v>
      </c>
      <c r="G674" s="116">
        <v>99.8566</v>
      </c>
      <c r="H674" s="116">
        <v>11.888</v>
      </c>
      <c r="I674" s="113">
        <v>1191</v>
      </c>
      <c r="J674" s="115" t="s">
        <v>271</v>
      </c>
    </row>
    <row r="675" spans="1:10" x14ac:dyDescent="0.25">
      <c r="A675" s="113">
        <v>672</v>
      </c>
      <c r="B675" s="114" t="s">
        <v>297</v>
      </c>
      <c r="C675" s="115" t="s">
        <v>298</v>
      </c>
      <c r="D675" s="115" t="s">
        <v>461</v>
      </c>
      <c r="E675" s="115" t="s">
        <v>111</v>
      </c>
      <c r="F675" s="116">
        <v>99.899199999999993</v>
      </c>
      <c r="G675" s="116">
        <v>99.899199999999993</v>
      </c>
      <c r="H675" s="116">
        <v>11.798</v>
      </c>
      <c r="I675" s="113">
        <v>67</v>
      </c>
      <c r="J675" s="115" t="s">
        <v>271</v>
      </c>
    </row>
    <row r="676" spans="1:10" x14ac:dyDescent="0.25">
      <c r="A676" s="113">
        <v>673</v>
      </c>
      <c r="B676" s="114" t="s">
        <v>299</v>
      </c>
      <c r="C676" s="115" t="s">
        <v>300</v>
      </c>
      <c r="D676" s="115" t="s">
        <v>461</v>
      </c>
      <c r="E676" s="115" t="s">
        <v>111</v>
      </c>
      <c r="F676" s="116">
        <v>99.883499999999998</v>
      </c>
      <c r="G676" s="116">
        <v>99.883499999999998</v>
      </c>
      <c r="H676" s="116">
        <v>11.798</v>
      </c>
      <c r="I676" s="113">
        <v>276</v>
      </c>
      <c r="J676" s="115" t="s">
        <v>271</v>
      </c>
    </row>
    <row r="677" spans="1:10" x14ac:dyDescent="0.25">
      <c r="A677" s="113">
        <v>674</v>
      </c>
      <c r="B677" s="114" t="s">
        <v>301</v>
      </c>
      <c r="C677" s="115" t="s">
        <v>302</v>
      </c>
      <c r="D677" s="115" t="s">
        <v>461</v>
      </c>
      <c r="E677" s="115" t="s">
        <v>111</v>
      </c>
      <c r="F677" s="116">
        <v>99.833200000000005</v>
      </c>
      <c r="G677" s="116">
        <v>99.833200000000005</v>
      </c>
      <c r="H677" s="116">
        <v>11.888</v>
      </c>
      <c r="I677" s="113">
        <v>1622</v>
      </c>
      <c r="J677" s="115" t="s">
        <v>271</v>
      </c>
    </row>
    <row r="678" spans="1:10" x14ac:dyDescent="0.25">
      <c r="A678" s="113">
        <v>675</v>
      </c>
      <c r="B678" s="114" t="s">
        <v>303</v>
      </c>
      <c r="C678" s="115" t="s">
        <v>304</v>
      </c>
      <c r="D678" s="115" t="s">
        <v>461</v>
      </c>
      <c r="E678" s="115" t="s">
        <v>111</v>
      </c>
      <c r="F678" s="116">
        <v>99.883499999999998</v>
      </c>
      <c r="G678" s="116">
        <v>99.883499999999998</v>
      </c>
      <c r="H678" s="116">
        <v>11.798</v>
      </c>
      <c r="I678" s="113">
        <v>276</v>
      </c>
      <c r="J678" s="115" t="s">
        <v>271</v>
      </c>
    </row>
    <row r="679" spans="1:10" x14ac:dyDescent="0.25">
      <c r="A679" s="113">
        <v>676</v>
      </c>
      <c r="B679" s="114" t="s">
        <v>305</v>
      </c>
      <c r="C679" s="115" t="s">
        <v>306</v>
      </c>
      <c r="D679" s="115" t="s">
        <v>461</v>
      </c>
      <c r="E679" s="115" t="s">
        <v>111</v>
      </c>
      <c r="F679" s="116">
        <v>99.962900000000005</v>
      </c>
      <c r="G679" s="116">
        <v>99.962900000000005</v>
      </c>
      <c r="H679" s="116">
        <v>11.798</v>
      </c>
      <c r="I679" s="113">
        <v>338</v>
      </c>
      <c r="J679" s="115" t="s">
        <v>271</v>
      </c>
    </row>
    <row r="680" spans="1:10" x14ac:dyDescent="0.25">
      <c r="A680" s="113">
        <v>677</v>
      </c>
      <c r="B680" s="114" t="s">
        <v>307</v>
      </c>
      <c r="C680" s="115" t="s">
        <v>308</v>
      </c>
      <c r="D680" s="115" t="s">
        <v>461</v>
      </c>
      <c r="E680" s="115" t="s">
        <v>111</v>
      </c>
      <c r="F680" s="116">
        <v>99.859300000000005</v>
      </c>
      <c r="G680" s="116">
        <v>99.859300000000005</v>
      </c>
      <c r="H680" s="116">
        <v>11.798</v>
      </c>
      <c r="I680" s="113">
        <v>607</v>
      </c>
      <c r="J680" s="115" t="s">
        <v>271</v>
      </c>
    </row>
    <row r="681" spans="1:10" x14ac:dyDescent="0.25">
      <c r="A681" s="113">
        <v>678</v>
      </c>
      <c r="B681" s="114" t="s">
        <v>309</v>
      </c>
      <c r="C681" s="115" t="s">
        <v>310</v>
      </c>
      <c r="D681" s="115" t="s">
        <v>461</v>
      </c>
      <c r="E681" s="115" t="s">
        <v>111</v>
      </c>
      <c r="F681" s="116">
        <v>99.961299999999994</v>
      </c>
      <c r="G681" s="116">
        <v>99.961299999999994</v>
      </c>
      <c r="H681" s="116">
        <v>11.798</v>
      </c>
      <c r="I681" s="113">
        <v>697</v>
      </c>
      <c r="J681" s="115" t="s">
        <v>271</v>
      </c>
    </row>
    <row r="682" spans="1:10" x14ac:dyDescent="0.25">
      <c r="A682" s="113">
        <v>679</v>
      </c>
      <c r="B682" s="114" t="s">
        <v>311</v>
      </c>
      <c r="C682" s="115" t="s">
        <v>312</v>
      </c>
      <c r="D682" s="115" t="s">
        <v>461</v>
      </c>
      <c r="E682" s="115" t="s">
        <v>111</v>
      </c>
      <c r="F682" s="116">
        <v>99.835899999999995</v>
      </c>
      <c r="G682" s="116">
        <v>99.835899999999995</v>
      </c>
      <c r="H682" s="116">
        <v>11.798</v>
      </c>
      <c r="I682" s="113">
        <v>1266</v>
      </c>
      <c r="J682" s="115" t="s">
        <v>271</v>
      </c>
    </row>
    <row r="683" spans="1:10" x14ac:dyDescent="0.25">
      <c r="A683" s="113">
        <v>680</v>
      </c>
      <c r="B683" s="114" t="s">
        <v>313</v>
      </c>
      <c r="C683" s="115" t="s">
        <v>314</v>
      </c>
      <c r="D683" s="115" t="s">
        <v>461</v>
      </c>
      <c r="E683" s="115" t="s">
        <v>111</v>
      </c>
      <c r="F683" s="116">
        <v>99.917199999999994</v>
      </c>
      <c r="G683" s="116">
        <v>99.917199999999994</v>
      </c>
      <c r="H683" s="116">
        <v>11.798</v>
      </c>
      <c r="I683" s="113">
        <v>1386</v>
      </c>
      <c r="J683" s="115" t="s">
        <v>271</v>
      </c>
    </row>
    <row r="684" spans="1:10" x14ac:dyDescent="0.25">
      <c r="A684" s="113">
        <v>681</v>
      </c>
      <c r="B684" s="114" t="s">
        <v>315</v>
      </c>
      <c r="C684" s="115" t="s">
        <v>316</v>
      </c>
      <c r="D684" s="115" t="s">
        <v>461</v>
      </c>
      <c r="E684" s="115" t="s">
        <v>111</v>
      </c>
      <c r="F684" s="116">
        <v>99.918499999999995</v>
      </c>
      <c r="G684" s="116">
        <v>99.918499999999995</v>
      </c>
      <c r="H684" s="116">
        <v>11.798</v>
      </c>
      <c r="I684" s="113">
        <v>667</v>
      </c>
      <c r="J684" s="115" t="s">
        <v>271</v>
      </c>
    </row>
    <row r="685" spans="1:10" x14ac:dyDescent="0.25">
      <c r="A685" s="113">
        <v>682</v>
      </c>
      <c r="B685" s="114" t="s">
        <v>317</v>
      </c>
      <c r="C685" s="115" t="s">
        <v>318</v>
      </c>
      <c r="D685" s="115" t="s">
        <v>461</v>
      </c>
      <c r="E685" s="115" t="s">
        <v>111</v>
      </c>
      <c r="F685" s="116">
        <v>99.872</v>
      </c>
      <c r="G685" s="116">
        <v>99.872</v>
      </c>
      <c r="H685" s="116">
        <v>11.798</v>
      </c>
      <c r="I685" s="113">
        <v>814</v>
      </c>
      <c r="J685" s="115" t="s">
        <v>271</v>
      </c>
    </row>
    <row r="686" spans="1:10" x14ac:dyDescent="0.25">
      <c r="A686" s="113">
        <v>683</v>
      </c>
      <c r="B686" s="114" t="s">
        <v>319</v>
      </c>
      <c r="C686" s="115" t="s">
        <v>320</v>
      </c>
      <c r="D686" s="115" t="s">
        <v>461</v>
      </c>
      <c r="E686" s="115" t="s">
        <v>111</v>
      </c>
      <c r="F686" s="116">
        <v>99.835700000000003</v>
      </c>
      <c r="G686" s="116">
        <v>99.835700000000003</v>
      </c>
      <c r="H686" s="116">
        <v>11.798</v>
      </c>
      <c r="I686" s="113">
        <v>903</v>
      </c>
      <c r="J686" s="115" t="s">
        <v>271</v>
      </c>
    </row>
    <row r="687" spans="1:10" x14ac:dyDescent="0.25">
      <c r="A687" s="113">
        <v>684</v>
      </c>
      <c r="B687" s="114" t="s">
        <v>321</v>
      </c>
      <c r="C687" s="115" t="s">
        <v>322</v>
      </c>
      <c r="D687" s="115" t="s">
        <v>461</v>
      </c>
      <c r="E687" s="115" t="s">
        <v>111</v>
      </c>
      <c r="F687" s="116">
        <v>99.990799999999993</v>
      </c>
      <c r="G687" s="116">
        <v>99.990799999999993</v>
      </c>
      <c r="H687" s="116">
        <v>11.798</v>
      </c>
      <c r="I687" s="113">
        <v>1445</v>
      </c>
      <c r="J687" s="115" t="s">
        <v>271</v>
      </c>
    </row>
    <row r="688" spans="1:10" x14ac:dyDescent="0.25">
      <c r="A688" s="113">
        <v>685</v>
      </c>
      <c r="B688" s="114" t="s">
        <v>323</v>
      </c>
      <c r="C688" s="115" t="s">
        <v>324</v>
      </c>
      <c r="D688" s="115" t="s">
        <v>461</v>
      </c>
      <c r="E688" s="115" t="s">
        <v>111</v>
      </c>
      <c r="F688" s="116">
        <v>99.885499999999993</v>
      </c>
      <c r="G688" s="116">
        <v>99.885499999999993</v>
      </c>
      <c r="H688" s="116">
        <v>11.798</v>
      </c>
      <c r="I688" s="113">
        <v>1718</v>
      </c>
      <c r="J688" s="115" t="s">
        <v>271</v>
      </c>
    </row>
    <row r="689" spans="1:10" x14ac:dyDescent="0.25">
      <c r="A689" s="113">
        <v>686</v>
      </c>
      <c r="B689" s="114" t="s">
        <v>325</v>
      </c>
      <c r="C689" s="115" t="s">
        <v>326</v>
      </c>
      <c r="D689" s="115" t="s">
        <v>461</v>
      </c>
      <c r="E689" s="115" t="s">
        <v>111</v>
      </c>
      <c r="F689" s="116">
        <v>99.990799999999993</v>
      </c>
      <c r="G689" s="116">
        <v>99.990799999999993</v>
      </c>
      <c r="H689" s="116">
        <v>11.798</v>
      </c>
      <c r="I689" s="113">
        <v>1085</v>
      </c>
      <c r="J689" s="115" t="s">
        <v>271</v>
      </c>
    </row>
    <row r="690" spans="1:10" x14ac:dyDescent="0.25">
      <c r="A690" s="113">
        <v>687</v>
      </c>
      <c r="B690" s="114" t="s">
        <v>327</v>
      </c>
      <c r="C690" s="115" t="s">
        <v>328</v>
      </c>
      <c r="D690" s="115" t="s">
        <v>461</v>
      </c>
      <c r="E690" s="115" t="s">
        <v>111</v>
      </c>
      <c r="F690" s="116">
        <v>99.848500000000001</v>
      </c>
      <c r="G690" s="116">
        <v>99.848500000000001</v>
      </c>
      <c r="H690" s="116">
        <v>11.798</v>
      </c>
      <c r="I690" s="113">
        <v>1208</v>
      </c>
      <c r="J690" s="115" t="s">
        <v>271</v>
      </c>
    </row>
    <row r="691" spans="1:10" x14ac:dyDescent="0.25">
      <c r="A691" s="113">
        <v>688</v>
      </c>
      <c r="B691" s="114" t="s">
        <v>329</v>
      </c>
      <c r="C691" s="115" t="s">
        <v>330</v>
      </c>
      <c r="D691" s="115" t="s">
        <v>461</v>
      </c>
      <c r="E691" s="115" t="s">
        <v>111</v>
      </c>
      <c r="F691" s="116">
        <v>99.918499999999995</v>
      </c>
      <c r="G691" s="116">
        <v>99.918499999999995</v>
      </c>
      <c r="H691" s="116">
        <v>11.798</v>
      </c>
      <c r="I691" s="113">
        <v>1387</v>
      </c>
      <c r="J691" s="115" t="s">
        <v>271</v>
      </c>
    </row>
    <row r="692" spans="1:10" x14ac:dyDescent="0.25">
      <c r="A692" s="113">
        <v>689</v>
      </c>
      <c r="B692" s="114" t="s">
        <v>331</v>
      </c>
      <c r="C692" s="115" t="s">
        <v>332</v>
      </c>
      <c r="D692" s="115" t="s">
        <v>461</v>
      </c>
      <c r="E692" s="115" t="s">
        <v>111</v>
      </c>
      <c r="F692" s="116">
        <v>99.838099999999997</v>
      </c>
      <c r="G692" s="116">
        <v>99.838099999999997</v>
      </c>
      <c r="H692" s="116">
        <v>11.798</v>
      </c>
      <c r="I692" s="113">
        <v>1596</v>
      </c>
      <c r="J692" s="115" t="s">
        <v>271</v>
      </c>
    </row>
    <row r="693" spans="1:10" x14ac:dyDescent="0.25">
      <c r="A693" s="113">
        <v>690</v>
      </c>
      <c r="B693" s="114" t="s">
        <v>333</v>
      </c>
      <c r="C693" s="115" t="s">
        <v>334</v>
      </c>
      <c r="D693" s="115" t="s">
        <v>461</v>
      </c>
      <c r="E693" s="115" t="s">
        <v>111</v>
      </c>
      <c r="F693" s="116">
        <v>99.938400000000001</v>
      </c>
      <c r="G693" s="116">
        <v>99.938400000000001</v>
      </c>
      <c r="H693" s="116">
        <v>11.798</v>
      </c>
      <c r="I693" s="113">
        <v>1837</v>
      </c>
      <c r="J693" s="115" t="s">
        <v>271</v>
      </c>
    </row>
    <row r="694" spans="1:10" x14ac:dyDescent="0.25">
      <c r="A694" s="113">
        <v>691</v>
      </c>
      <c r="B694" s="114" t="s">
        <v>335</v>
      </c>
      <c r="C694" s="115" t="s">
        <v>336</v>
      </c>
      <c r="D694" s="115" t="s">
        <v>461</v>
      </c>
      <c r="E694" s="115" t="s">
        <v>111</v>
      </c>
      <c r="F694" s="116">
        <v>99.941400000000002</v>
      </c>
      <c r="G694" s="116">
        <v>99.941400000000002</v>
      </c>
      <c r="H694" s="116">
        <v>11.798</v>
      </c>
      <c r="I694" s="113">
        <v>2195</v>
      </c>
      <c r="J694" s="115" t="s">
        <v>271</v>
      </c>
    </row>
    <row r="695" spans="1:10" x14ac:dyDescent="0.25">
      <c r="A695" s="113">
        <v>692</v>
      </c>
      <c r="B695" s="114" t="s">
        <v>337</v>
      </c>
      <c r="C695" s="115" t="s">
        <v>338</v>
      </c>
      <c r="D695" s="115" t="s">
        <v>461</v>
      </c>
      <c r="E695" s="115" t="s">
        <v>111</v>
      </c>
      <c r="F695" s="116">
        <v>99.849000000000004</v>
      </c>
      <c r="G695" s="116">
        <v>99.849000000000004</v>
      </c>
      <c r="H695" s="116">
        <v>11.798</v>
      </c>
      <c r="I695" s="113">
        <v>2287</v>
      </c>
      <c r="J695" s="115" t="s">
        <v>271</v>
      </c>
    </row>
    <row r="696" spans="1:10" x14ac:dyDescent="0.25">
      <c r="A696" s="113">
        <v>693</v>
      </c>
      <c r="B696" s="114" t="s">
        <v>136</v>
      </c>
      <c r="C696" s="115" t="s">
        <v>137</v>
      </c>
      <c r="D696" s="115" t="s">
        <v>461</v>
      </c>
      <c r="E696" s="115" t="s">
        <v>111</v>
      </c>
      <c r="F696" s="116">
        <v>91.042900000000003</v>
      </c>
      <c r="G696" s="116">
        <v>93.729600000000005</v>
      </c>
      <c r="H696" s="116">
        <v>16.63</v>
      </c>
      <c r="I696" s="113">
        <v>627</v>
      </c>
      <c r="J696" s="115" t="s">
        <v>271</v>
      </c>
    </row>
    <row r="697" spans="1:10" x14ac:dyDescent="0.25">
      <c r="A697" s="113">
        <v>694</v>
      </c>
      <c r="B697" s="114" t="s">
        <v>138</v>
      </c>
      <c r="C697" s="115" t="s">
        <v>139</v>
      </c>
      <c r="D697" s="115" t="s">
        <v>461</v>
      </c>
      <c r="E697" s="115" t="s">
        <v>111</v>
      </c>
      <c r="F697" s="116">
        <v>96.150899999999993</v>
      </c>
      <c r="G697" s="116">
        <v>103.3334</v>
      </c>
      <c r="H697" s="116">
        <v>16.71</v>
      </c>
      <c r="I697" s="113">
        <v>1271</v>
      </c>
      <c r="J697" s="115" t="s">
        <v>271</v>
      </c>
    </row>
    <row r="698" spans="1:10" x14ac:dyDescent="0.25">
      <c r="A698" s="113">
        <v>695</v>
      </c>
      <c r="B698" s="114" t="s">
        <v>140</v>
      </c>
      <c r="C698" s="115" t="s">
        <v>141</v>
      </c>
      <c r="D698" s="115" t="s">
        <v>461</v>
      </c>
      <c r="E698" s="115" t="s">
        <v>111</v>
      </c>
      <c r="F698" s="116">
        <v>85.503900000000002</v>
      </c>
      <c r="G698" s="116">
        <v>91.003900000000002</v>
      </c>
      <c r="H698" s="116">
        <v>16.73</v>
      </c>
      <c r="I698" s="113">
        <v>1635</v>
      </c>
      <c r="J698" s="115" t="s">
        <v>271</v>
      </c>
    </row>
    <row r="699" spans="1:10" x14ac:dyDescent="0.25">
      <c r="A699" s="113">
        <v>696</v>
      </c>
      <c r="B699" s="114" t="s">
        <v>142</v>
      </c>
      <c r="C699" s="115" t="s">
        <v>6</v>
      </c>
      <c r="D699" s="115" t="s">
        <v>461</v>
      </c>
      <c r="E699" s="115" t="s">
        <v>111</v>
      </c>
      <c r="F699" s="116">
        <v>87.174700000000001</v>
      </c>
      <c r="G699" s="116">
        <v>90.930300000000003</v>
      </c>
      <c r="H699" s="116">
        <v>16.71</v>
      </c>
      <c r="I699" s="113">
        <v>950</v>
      </c>
      <c r="J699" s="115" t="s">
        <v>271</v>
      </c>
    </row>
    <row r="700" spans="1:10" x14ac:dyDescent="0.25">
      <c r="A700" s="113">
        <v>697</v>
      </c>
      <c r="B700" s="114" t="s">
        <v>143</v>
      </c>
      <c r="C700" s="115" t="s">
        <v>144</v>
      </c>
      <c r="D700" s="115" t="s">
        <v>461</v>
      </c>
      <c r="E700" s="115" t="s">
        <v>111</v>
      </c>
      <c r="F700" s="116">
        <v>83.468100000000007</v>
      </c>
      <c r="G700" s="116">
        <v>89.468100000000007</v>
      </c>
      <c r="H700" s="116">
        <v>16.760000000000002</v>
      </c>
      <c r="I700" s="113">
        <v>1980</v>
      </c>
      <c r="J700" s="115" t="s">
        <v>271</v>
      </c>
    </row>
    <row r="701" spans="1:10" x14ac:dyDescent="0.25">
      <c r="A701" s="113">
        <v>698</v>
      </c>
      <c r="B701" s="114" t="s">
        <v>2065</v>
      </c>
      <c r="C701" s="115" t="s">
        <v>2066</v>
      </c>
      <c r="D701" s="115" t="s">
        <v>461</v>
      </c>
      <c r="E701" s="115" t="s">
        <v>111</v>
      </c>
      <c r="F701" s="116">
        <v>91.561300000000003</v>
      </c>
      <c r="G701" s="116">
        <v>98.293499999999995</v>
      </c>
      <c r="H701" s="116">
        <v>16.75</v>
      </c>
      <c r="I701" s="113">
        <v>2354</v>
      </c>
      <c r="J701" s="115" t="s">
        <v>271</v>
      </c>
    </row>
    <row r="702" spans="1:10" x14ac:dyDescent="0.25">
      <c r="A702" s="113">
        <v>699</v>
      </c>
      <c r="B702" s="114" t="s">
        <v>145</v>
      </c>
      <c r="C702" s="115" t="s">
        <v>146</v>
      </c>
      <c r="D702" s="115" t="s">
        <v>461</v>
      </c>
      <c r="E702" s="115" t="s">
        <v>111</v>
      </c>
      <c r="F702" s="116">
        <v>85.350999999999999</v>
      </c>
      <c r="G702" s="116">
        <v>93.930599999999998</v>
      </c>
      <c r="H702" s="116">
        <v>16.72</v>
      </c>
      <c r="I702" s="113">
        <v>1145</v>
      </c>
      <c r="J702" s="115" t="s">
        <v>271</v>
      </c>
    </row>
    <row r="703" spans="1:10" x14ac:dyDescent="0.25">
      <c r="A703" s="113">
        <v>700</v>
      </c>
      <c r="B703" s="114" t="s">
        <v>147</v>
      </c>
      <c r="C703" s="115" t="s">
        <v>8</v>
      </c>
      <c r="D703" s="115" t="s">
        <v>461</v>
      </c>
      <c r="E703" s="115" t="s">
        <v>111</v>
      </c>
      <c r="F703" s="116">
        <v>83.120900000000006</v>
      </c>
      <c r="G703" s="116">
        <v>83.824200000000005</v>
      </c>
      <c r="H703" s="116">
        <v>16.73</v>
      </c>
      <c r="I703" s="113">
        <v>1416</v>
      </c>
      <c r="J703" s="115" t="s">
        <v>271</v>
      </c>
    </row>
    <row r="704" spans="1:10" x14ac:dyDescent="0.25">
      <c r="A704" s="113">
        <v>701</v>
      </c>
      <c r="B704" s="114" t="s">
        <v>148</v>
      </c>
      <c r="C704" s="115" t="s">
        <v>149</v>
      </c>
      <c r="D704" s="115" t="s">
        <v>461</v>
      </c>
      <c r="E704" s="115" t="s">
        <v>111</v>
      </c>
      <c r="F704" s="116">
        <v>82.659700000000001</v>
      </c>
      <c r="G704" s="116">
        <v>88.709699999999998</v>
      </c>
      <c r="H704" s="116">
        <v>16.760000000000002</v>
      </c>
      <c r="I704" s="113">
        <v>1602</v>
      </c>
      <c r="J704" s="115" t="s">
        <v>271</v>
      </c>
    </row>
    <row r="705" spans="1:10" x14ac:dyDescent="0.25">
      <c r="A705" s="113">
        <v>702</v>
      </c>
      <c r="B705" s="114" t="s">
        <v>150</v>
      </c>
      <c r="C705" s="115" t="s">
        <v>151</v>
      </c>
      <c r="D705" s="115" t="s">
        <v>461</v>
      </c>
      <c r="E705" s="115" t="s">
        <v>111</v>
      </c>
      <c r="F705" s="116">
        <v>90.170500000000004</v>
      </c>
      <c r="G705" s="116">
        <v>94.059399999999997</v>
      </c>
      <c r="H705" s="116">
        <v>16.739999999999998</v>
      </c>
      <c r="I705" s="113">
        <v>2060</v>
      </c>
      <c r="J705" s="115" t="s">
        <v>271</v>
      </c>
    </row>
    <row r="706" spans="1:10" x14ac:dyDescent="0.25">
      <c r="A706" s="113">
        <v>703</v>
      </c>
      <c r="B706" s="114" t="s">
        <v>2242</v>
      </c>
      <c r="C706" s="115" t="s">
        <v>2243</v>
      </c>
      <c r="D706" s="115" t="s">
        <v>461</v>
      </c>
      <c r="E706" s="115" t="s">
        <v>111</v>
      </c>
      <c r="F706" s="116">
        <v>90.158000000000001</v>
      </c>
      <c r="G706" s="116">
        <v>93.248699999999999</v>
      </c>
      <c r="H706" s="116">
        <v>16.760000000000002</v>
      </c>
      <c r="I706" s="113">
        <v>2803</v>
      </c>
      <c r="J706" s="115" t="s">
        <v>271</v>
      </c>
    </row>
    <row r="707" spans="1:10" x14ac:dyDescent="0.25">
      <c r="A707" s="113">
        <v>704</v>
      </c>
      <c r="B707" s="114" t="s">
        <v>152</v>
      </c>
      <c r="C707" s="115" t="s">
        <v>153</v>
      </c>
      <c r="D707" s="115" t="s">
        <v>461</v>
      </c>
      <c r="E707" s="115" t="s">
        <v>111</v>
      </c>
      <c r="F707" s="116">
        <v>94.372100000000003</v>
      </c>
      <c r="G707" s="116">
        <v>95.610699999999994</v>
      </c>
      <c r="H707" s="116">
        <v>16.510000000000002</v>
      </c>
      <c r="I707" s="113">
        <v>311</v>
      </c>
      <c r="J707" s="115" t="s">
        <v>271</v>
      </c>
    </row>
    <row r="708" spans="1:10" x14ac:dyDescent="0.25">
      <c r="A708" s="113">
        <v>705</v>
      </c>
      <c r="B708" s="114" t="s">
        <v>154</v>
      </c>
      <c r="C708" s="115" t="s">
        <v>7</v>
      </c>
      <c r="D708" s="115" t="s">
        <v>461</v>
      </c>
      <c r="E708" s="115" t="s">
        <v>111</v>
      </c>
      <c r="F708" s="116">
        <v>85.156999999999996</v>
      </c>
      <c r="G708" s="116">
        <v>89.495900000000006</v>
      </c>
      <c r="H708" s="116">
        <v>16.73</v>
      </c>
      <c r="I708" s="113">
        <v>1298</v>
      </c>
      <c r="J708" s="115" t="s">
        <v>271</v>
      </c>
    </row>
    <row r="709" spans="1:10" x14ac:dyDescent="0.25">
      <c r="A709" s="113">
        <v>706</v>
      </c>
      <c r="B709" s="114" t="s">
        <v>155</v>
      </c>
      <c r="C709" s="115" t="s">
        <v>156</v>
      </c>
      <c r="D709" s="115" t="s">
        <v>461</v>
      </c>
      <c r="E709" s="115" t="s">
        <v>111</v>
      </c>
      <c r="F709" s="116">
        <v>89.162700000000001</v>
      </c>
      <c r="G709" s="116">
        <v>92.779399999999995</v>
      </c>
      <c r="H709" s="116">
        <v>16.75</v>
      </c>
      <c r="I709" s="113">
        <v>2427</v>
      </c>
      <c r="J709" s="115" t="s">
        <v>271</v>
      </c>
    </row>
    <row r="710" spans="1:10" x14ac:dyDescent="0.25">
      <c r="A710" s="113">
        <v>707</v>
      </c>
      <c r="B710" s="114" t="s">
        <v>2067</v>
      </c>
      <c r="C710" s="115" t="s">
        <v>2068</v>
      </c>
      <c r="D710" s="115" t="s">
        <v>461</v>
      </c>
      <c r="E710" s="115" t="s">
        <v>111</v>
      </c>
      <c r="F710" s="116">
        <v>89.858999999999995</v>
      </c>
      <c r="G710" s="116">
        <v>96.545100000000005</v>
      </c>
      <c r="H710" s="116">
        <v>16.75</v>
      </c>
      <c r="I710" s="113">
        <v>3074</v>
      </c>
      <c r="J710" s="115" t="s">
        <v>271</v>
      </c>
    </row>
    <row r="711" spans="1:10" x14ac:dyDescent="0.25">
      <c r="A711" s="113">
        <v>708</v>
      </c>
      <c r="B711" s="114" t="s">
        <v>157</v>
      </c>
      <c r="C711" s="115" t="s">
        <v>158</v>
      </c>
      <c r="D711" s="115" t="s">
        <v>461</v>
      </c>
      <c r="E711" s="115" t="s">
        <v>111</v>
      </c>
      <c r="F711" s="116">
        <v>90.180499999999995</v>
      </c>
      <c r="G711" s="116">
        <v>94.330500000000001</v>
      </c>
      <c r="H711" s="116">
        <v>16.61</v>
      </c>
      <c r="I711" s="113">
        <v>554</v>
      </c>
      <c r="J711" s="115" t="s">
        <v>271</v>
      </c>
    </row>
    <row r="712" spans="1:10" x14ac:dyDescent="0.25">
      <c r="A712" s="113">
        <v>709</v>
      </c>
      <c r="B712" s="114" t="s">
        <v>159</v>
      </c>
      <c r="C712" s="115" t="s">
        <v>160</v>
      </c>
      <c r="D712" s="115" t="s">
        <v>461</v>
      </c>
      <c r="E712" s="115" t="s">
        <v>111</v>
      </c>
      <c r="F712" s="116">
        <v>88.450299999999999</v>
      </c>
      <c r="G712" s="116">
        <v>89.675299999999993</v>
      </c>
      <c r="H712" s="116">
        <v>16.649999999999999</v>
      </c>
      <c r="I712" s="113">
        <v>671</v>
      </c>
      <c r="J712" s="115" t="s">
        <v>271</v>
      </c>
    </row>
    <row r="713" spans="1:10" x14ac:dyDescent="0.25">
      <c r="A713" s="113">
        <v>710</v>
      </c>
      <c r="B713" s="114" t="s">
        <v>161</v>
      </c>
      <c r="C713" s="115" t="s">
        <v>9</v>
      </c>
      <c r="D713" s="115" t="s">
        <v>461</v>
      </c>
      <c r="E713" s="115" t="s">
        <v>111</v>
      </c>
      <c r="F713" s="116">
        <v>77.587000000000003</v>
      </c>
      <c r="G713" s="116">
        <v>82.021699999999996</v>
      </c>
      <c r="H713" s="116">
        <v>16.739999999999998</v>
      </c>
      <c r="I713" s="113">
        <v>2005</v>
      </c>
      <c r="J713" s="115" t="s">
        <v>271</v>
      </c>
    </row>
    <row r="714" spans="1:10" x14ac:dyDescent="0.25">
      <c r="A714" s="113">
        <v>711</v>
      </c>
      <c r="B714" s="114" t="s">
        <v>2040</v>
      </c>
      <c r="C714" s="115" t="s">
        <v>2041</v>
      </c>
      <c r="D714" s="115" t="s">
        <v>461</v>
      </c>
      <c r="E714" s="115" t="s">
        <v>111</v>
      </c>
      <c r="F714" s="116">
        <v>86.991100000000003</v>
      </c>
      <c r="G714" s="116">
        <v>94.341099999999997</v>
      </c>
      <c r="H714" s="116">
        <v>16.78</v>
      </c>
      <c r="I714" s="113">
        <v>3411</v>
      </c>
      <c r="J714" s="115" t="s">
        <v>271</v>
      </c>
    </row>
    <row r="715" spans="1:10" x14ac:dyDescent="0.25">
      <c r="A715" s="113">
        <v>712</v>
      </c>
      <c r="B715" s="114" t="s">
        <v>162</v>
      </c>
      <c r="C715" s="115" t="s">
        <v>11</v>
      </c>
      <c r="D715" s="115" t="s">
        <v>461</v>
      </c>
      <c r="E715" s="115" t="s">
        <v>111</v>
      </c>
      <c r="F715" s="116">
        <v>75.971400000000003</v>
      </c>
      <c r="G715" s="116">
        <v>76.740600000000001</v>
      </c>
      <c r="H715" s="116">
        <v>16.75</v>
      </c>
      <c r="I715" s="113">
        <v>2494</v>
      </c>
      <c r="J715" s="115" t="s">
        <v>271</v>
      </c>
    </row>
    <row r="716" spans="1:10" x14ac:dyDescent="0.25">
      <c r="A716" s="113">
        <v>713</v>
      </c>
      <c r="B716" s="114" t="s">
        <v>163</v>
      </c>
      <c r="C716" s="115" t="s">
        <v>164</v>
      </c>
      <c r="D716" s="115" t="s">
        <v>461</v>
      </c>
      <c r="E716" s="115" t="s">
        <v>111</v>
      </c>
      <c r="F716" s="116">
        <v>74.251099999999994</v>
      </c>
      <c r="G716" s="116">
        <v>84.9114</v>
      </c>
      <c r="H716" s="116">
        <v>16.760000000000002</v>
      </c>
      <c r="I716" s="113">
        <v>2881</v>
      </c>
      <c r="J716" s="115" t="s">
        <v>271</v>
      </c>
    </row>
    <row r="717" spans="1:10" x14ac:dyDescent="0.25">
      <c r="A717" s="113">
        <v>714</v>
      </c>
      <c r="B717" s="114" t="s">
        <v>165</v>
      </c>
      <c r="C717" s="115" t="s">
        <v>166</v>
      </c>
      <c r="D717" s="115" t="s">
        <v>461</v>
      </c>
      <c r="E717" s="115" t="s">
        <v>111</v>
      </c>
      <c r="F717" s="116">
        <v>86.383399999999995</v>
      </c>
      <c r="G717" s="116">
        <v>87.669899999999998</v>
      </c>
      <c r="H717" s="116">
        <v>16.66</v>
      </c>
      <c r="I717" s="113">
        <v>658</v>
      </c>
      <c r="J717" s="115" t="s">
        <v>271</v>
      </c>
    </row>
    <row r="718" spans="1:10" x14ac:dyDescent="0.25">
      <c r="A718" s="113">
        <v>715</v>
      </c>
      <c r="B718" s="114" t="s">
        <v>167</v>
      </c>
      <c r="C718" s="115" t="s">
        <v>168</v>
      </c>
      <c r="D718" s="115" t="s">
        <v>461</v>
      </c>
      <c r="E718" s="115" t="s">
        <v>111</v>
      </c>
      <c r="F718" s="116">
        <v>70.740700000000004</v>
      </c>
      <c r="G718" s="116">
        <v>73.132000000000005</v>
      </c>
      <c r="H718" s="116">
        <v>16.739999999999998</v>
      </c>
      <c r="I718" s="113">
        <v>2058</v>
      </c>
      <c r="J718" s="115" t="s">
        <v>271</v>
      </c>
    </row>
    <row r="719" spans="1:10" x14ac:dyDescent="0.25">
      <c r="A719" s="113">
        <v>716</v>
      </c>
      <c r="B719" s="114" t="s">
        <v>169</v>
      </c>
      <c r="C719" s="115" t="s">
        <v>170</v>
      </c>
      <c r="D719" s="115" t="s">
        <v>461</v>
      </c>
      <c r="E719" s="115" t="s">
        <v>111</v>
      </c>
      <c r="F719" s="116">
        <v>70.768000000000001</v>
      </c>
      <c r="G719" s="116">
        <v>75.968599999999995</v>
      </c>
      <c r="H719" s="116">
        <v>16.78</v>
      </c>
      <c r="I719" s="113">
        <v>3055</v>
      </c>
      <c r="J719" s="115" t="s">
        <v>271</v>
      </c>
    </row>
    <row r="720" spans="1:10" x14ac:dyDescent="0.25">
      <c r="A720" s="113">
        <v>717</v>
      </c>
      <c r="B720" s="114" t="s">
        <v>2214</v>
      </c>
      <c r="C720" s="115" t="s">
        <v>2215</v>
      </c>
      <c r="D720" s="115" t="s">
        <v>461</v>
      </c>
      <c r="E720" s="115" t="s">
        <v>111</v>
      </c>
      <c r="F720" s="116">
        <v>86.120999999999995</v>
      </c>
      <c r="G720" s="116">
        <v>89.646000000000001</v>
      </c>
      <c r="H720" s="116">
        <v>16.760000000000002</v>
      </c>
      <c r="I720" s="113">
        <v>4590</v>
      </c>
      <c r="J720" s="115" t="s">
        <v>271</v>
      </c>
    </row>
    <row r="721" spans="1:10" x14ac:dyDescent="0.25">
      <c r="A721" s="113">
        <v>718</v>
      </c>
      <c r="B721" s="114" t="s">
        <v>171</v>
      </c>
      <c r="C721" s="115" t="s">
        <v>172</v>
      </c>
      <c r="D721" s="115" t="s">
        <v>461</v>
      </c>
      <c r="E721" s="115" t="s">
        <v>111</v>
      </c>
      <c r="F721" s="116">
        <v>98.822900000000004</v>
      </c>
      <c r="G721" s="116">
        <v>103.38639999999999</v>
      </c>
      <c r="H721" s="116">
        <v>16.010000000000002</v>
      </c>
      <c r="I721" s="113">
        <v>41</v>
      </c>
      <c r="J721" s="115" t="s">
        <v>271</v>
      </c>
    </row>
    <row r="722" spans="1:10" x14ac:dyDescent="0.25">
      <c r="A722" s="113">
        <v>719</v>
      </c>
      <c r="B722" s="114" t="s">
        <v>173</v>
      </c>
      <c r="C722" s="115" t="s">
        <v>174</v>
      </c>
      <c r="D722" s="115" t="s">
        <v>461</v>
      </c>
      <c r="E722" s="115" t="s">
        <v>111</v>
      </c>
      <c r="F722" s="116">
        <v>97.544200000000004</v>
      </c>
      <c r="G722" s="116">
        <v>101.3775</v>
      </c>
      <c r="H722" s="116">
        <v>16.239999999999998</v>
      </c>
      <c r="I722" s="113">
        <v>84</v>
      </c>
      <c r="J722" s="115" t="s">
        <v>271</v>
      </c>
    </row>
    <row r="723" spans="1:10" x14ac:dyDescent="0.25">
      <c r="A723" s="113">
        <v>720</v>
      </c>
      <c r="B723" s="114" t="s">
        <v>175</v>
      </c>
      <c r="C723" s="115" t="s">
        <v>10</v>
      </c>
      <c r="D723" s="115" t="s">
        <v>461</v>
      </c>
      <c r="E723" s="115" t="s">
        <v>111</v>
      </c>
      <c r="F723" s="116">
        <v>67.969300000000004</v>
      </c>
      <c r="G723" s="116">
        <v>70.9268</v>
      </c>
      <c r="H723" s="116">
        <v>16.760000000000002</v>
      </c>
      <c r="I723" s="113">
        <v>2394</v>
      </c>
      <c r="J723" s="115" t="s">
        <v>271</v>
      </c>
    </row>
    <row r="724" spans="1:10" x14ac:dyDescent="0.25">
      <c r="A724" s="113">
        <v>721</v>
      </c>
      <c r="B724" s="114" t="s">
        <v>176</v>
      </c>
      <c r="C724" s="115" t="s">
        <v>177</v>
      </c>
      <c r="D724" s="115" t="s">
        <v>461</v>
      </c>
      <c r="E724" s="115" t="s">
        <v>111</v>
      </c>
      <c r="F724" s="116">
        <v>69.8142</v>
      </c>
      <c r="G724" s="116">
        <v>74.426699999999997</v>
      </c>
      <c r="H724" s="116">
        <v>16.760000000000002</v>
      </c>
      <c r="I724" s="113">
        <v>3438</v>
      </c>
      <c r="J724" s="115" t="s">
        <v>271</v>
      </c>
    </row>
    <row r="725" spans="1:10" x14ac:dyDescent="0.25">
      <c r="A725" s="113">
        <v>722</v>
      </c>
      <c r="B725" s="114" t="s">
        <v>178</v>
      </c>
      <c r="C725" s="115" t="s">
        <v>179</v>
      </c>
      <c r="D725" s="115" t="s">
        <v>461</v>
      </c>
      <c r="E725" s="115" t="s">
        <v>111</v>
      </c>
      <c r="F725" s="116">
        <v>97.447999999999993</v>
      </c>
      <c r="G725" s="116">
        <v>101.6169</v>
      </c>
      <c r="H725" s="116">
        <v>16.239999999999998</v>
      </c>
      <c r="I725" s="113">
        <v>92</v>
      </c>
      <c r="J725" s="115" t="s">
        <v>271</v>
      </c>
    </row>
    <row r="726" spans="1:10" x14ac:dyDescent="0.25">
      <c r="A726" s="113">
        <v>723</v>
      </c>
      <c r="B726" s="114" t="s">
        <v>180</v>
      </c>
      <c r="C726" s="115" t="s">
        <v>181</v>
      </c>
      <c r="D726" s="115" t="s">
        <v>461</v>
      </c>
      <c r="E726" s="115" t="s">
        <v>111</v>
      </c>
      <c r="F726" s="116">
        <v>90.604100000000003</v>
      </c>
      <c r="G726" s="116">
        <v>90.665199999999999</v>
      </c>
      <c r="H726" s="116">
        <v>16.559999999999999</v>
      </c>
      <c r="I726" s="113">
        <v>356</v>
      </c>
      <c r="J726" s="115" t="s">
        <v>271</v>
      </c>
    </row>
    <row r="727" spans="1:10" x14ac:dyDescent="0.25">
      <c r="A727" s="113">
        <v>724</v>
      </c>
      <c r="B727" s="114" t="s">
        <v>182</v>
      </c>
      <c r="C727" s="115" t="s">
        <v>183</v>
      </c>
      <c r="D727" s="115" t="s">
        <v>461</v>
      </c>
      <c r="E727" s="115" t="s">
        <v>111</v>
      </c>
      <c r="F727" s="116">
        <v>87.6661</v>
      </c>
      <c r="G727" s="116">
        <v>91.402199999999993</v>
      </c>
      <c r="H727" s="116">
        <v>16.63</v>
      </c>
      <c r="I727" s="113">
        <v>451</v>
      </c>
      <c r="J727" s="115" t="s">
        <v>271</v>
      </c>
    </row>
    <row r="728" spans="1:10" x14ac:dyDescent="0.25">
      <c r="A728" s="113">
        <v>725</v>
      </c>
      <c r="B728" s="114" t="s">
        <v>184</v>
      </c>
      <c r="C728" s="115" t="s">
        <v>5</v>
      </c>
      <c r="D728" s="115" t="s">
        <v>461</v>
      </c>
      <c r="E728" s="115" t="s">
        <v>111</v>
      </c>
      <c r="F728" s="116">
        <v>85.328000000000003</v>
      </c>
      <c r="G728" s="116">
        <v>87.539299999999997</v>
      </c>
      <c r="H728" s="116">
        <v>16.61</v>
      </c>
      <c r="I728" s="113">
        <v>575</v>
      </c>
      <c r="J728" s="115" t="s">
        <v>271</v>
      </c>
    </row>
    <row r="729" spans="1:10" x14ac:dyDescent="0.25">
      <c r="A729" s="113">
        <v>726</v>
      </c>
      <c r="B729" s="114" t="s">
        <v>185</v>
      </c>
      <c r="C729" s="115" t="s">
        <v>186</v>
      </c>
      <c r="D729" s="115" t="s">
        <v>461</v>
      </c>
      <c r="E729" s="115" t="s">
        <v>111</v>
      </c>
      <c r="F729" s="116">
        <v>81.5976</v>
      </c>
      <c r="G729" s="116">
        <v>86.691100000000006</v>
      </c>
      <c r="H729" s="116">
        <v>16.690000000000001</v>
      </c>
      <c r="I729" s="113">
        <v>746</v>
      </c>
      <c r="J729" s="115" t="s">
        <v>271</v>
      </c>
    </row>
    <row r="730" spans="1:10" x14ac:dyDescent="0.25">
      <c r="A730" s="113">
        <v>727</v>
      </c>
      <c r="B730" s="114" t="s">
        <v>187</v>
      </c>
      <c r="C730" s="115" t="s">
        <v>188</v>
      </c>
      <c r="D730" s="115" t="s">
        <v>461</v>
      </c>
      <c r="E730" s="115" t="s">
        <v>111</v>
      </c>
      <c r="F730" s="116">
        <v>82.546599999999998</v>
      </c>
      <c r="G730" s="116">
        <v>87.927199999999999</v>
      </c>
      <c r="H730" s="116">
        <v>16.68</v>
      </c>
      <c r="I730" s="113">
        <v>782</v>
      </c>
      <c r="J730" s="115" t="s">
        <v>271</v>
      </c>
    </row>
    <row r="731" spans="1:10" x14ac:dyDescent="0.25">
      <c r="A731" s="113">
        <v>728</v>
      </c>
      <c r="B731" s="114" t="s">
        <v>189</v>
      </c>
      <c r="C731" s="115" t="s">
        <v>190</v>
      </c>
      <c r="D731" s="115" t="s">
        <v>461</v>
      </c>
      <c r="E731" s="115" t="s">
        <v>111</v>
      </c>
      <c r="F731" s="116">
        <v>77.1434</v>
      </c>
      <c r="G731" s="116">
        <v>82.197400000000002</v>
      </c>
      <c r="H731" s="116">
        <v>16.739999999999998</v>
      </c>
      <c r="I731" s="113">
        <v>1188</v>
      </c>
      <c r="J731" s="115" t="s">
        <v>271</v>
      </c>
    </row>
    <row r="732" spans="1:10" x14ac:dyDescent="0.25">
      <c r="A732" s="113">
        <v>729</v>
      </c>
      <c r="B732" s="114" t="s">
        <v>191</v>
      </c>
      <c r="C732" s="115" t="s">
        <v>192</v>
      </c>
      <c r="D732" s="115" t="s">
        <v>461</v>
      </c>
      <c r="E732" s="115" t="s">
        <v>111</v>
      </c>
      <c r="F732" s="116">
        <v>75.113799999999998</v>
      </c>
      <c r="G732" s="116">
        <v>75.305800000000005</v>
      </c>
      <c r="H732" s="116">
        <v>16.739999999999998</v>
      </c>
      <c r="I732" s="113">
        <v>1431</v>
      </c>
      <c r="J732" s="115" t="s">
        <v>271</v>
      </c>
    </row>
    <row r="733" spans="1:10" x14ac:dyDescent="0.25">
      <c r="A733" s="113">
        <v>730</v>
      </c>
      <c r="B733" s="114" t="s">
        <v>193</v>
      </c>
      <c r="C733" s="115" t="s">
        <v>194</v>
      </c>
      <c r="D733" s="115" t="s">
        <v>461</v>
      </c>
      <c r="E733" s="115" t="s">
        <v>111</v>
      </c>
      <c r="F733" s="116">
        <v>72.849599999999995</v>
      </c>
      <c r="G733" s="116">
        <v>77.073599999999999</v>
      </c>
      <c r="H733" s="116">
        <v>16.77</v>
      </c>
      <c r="I733" s="113">
        <v>1602</v>
      </c>
      <c r="J733" s="115" t="s">
        <v>271</v>
      </c>
    </row>
    <row r="734" spans="1:10" x14ac:dyDescent="0.25">
      <c r="A734" s="113">
        <v>731</v>
      </c>
      <c r="B734" s="114" t="s">
        <v>195</v>
      </c>
      <c r="C734" s="115" t="s">
        <v>196</v>
      </c>
      <c r="D734" s="115" t="s">
        <v>461</v>
      </c>
      <c r="E734" s="115" t="s">
        <v>111</v>
      </c>
      <c r="F734" s="116">
        <v>66.354399999999998</v>
      </c>
      <c r="G734" s="116">
        <v>69.674099999999996</v>
      </c>
      <c r="H734" s="116">
        <v>16.760000000000002</v>
      </c>
      <c r="I734" s="113">
        <v>2742</v>
      </c>
      <c r="J734" s="115" t="s">
        <v>271</v>
      </c>
    </row>
    <row r="735" spans="1:10" x14ac:dyDescent="0.25">
      <c r="A735" s="113">
        <v>732</v>
      </c>
      <c r="B735" s="114" t="s">
        <v>197</v>
      </c>
      <c r="C735" s="115" t="s">
        <v>198</v>
      </c>
      <c r="D735" s="115" t="s">
        <v>461</v>
      </c>
      <c r="E735" s="115" t="s">
        <v>111</v>
      </c>
      <c r="F735" s="116">
        <v>65.423699999999997</v>
      </c>
      <c r="G735" s="116">
        <v>68.220200000000006</v>
      </c>
      <c r="H735" s="116">
        <v>16.760000000000002</v>
      </c>
      <c r="I735" s="113">
        <v>2761</v>
      </c>
      <c r="J735" s="115" t="s">
        <v>271</v>
      </c>
    </row>
    <row r="736" spans="1:10" x14ac:dyDescent="0.25">
      <c r="A736" s="113">
        <v>733</v>
      </c>
      <c r="B736" s="114" t="s">
        <v>199</v>
      </c>
      <c r="C736" s="115" t="s">
        <v>200</v>
      </c>
      <c r="D736" s="115" t="s">
        <v>461</v>
      </c>
      <c r="E736" s="115" t="s">
        <v>111</v>
      </c>
      <c r="F736" s="116">
        <v>70.761300000000006</v>
      </c>
      <c r="G736" s="116">
        <v>81.451499999999996</v>
      </c>
      <c r="H736" s="116">
        <v>16.77</v>
      </c>
      <c r="I736" s="113">
        <v>3963</v>
      </c>
      <c r="J736" s="115" t="s">
        <v>271</v>
      </c>
    </row>
    <row r="737" spans="1:10" x14ac:dyDescent="0.25">
      <c r="A737" s="113">
        <v>734</v>
      </c>
      <c r="B737" s="114" t="s">
        <v>201</v>
      </c>
      <c r="C737" s="115" t="s">
        <v>202</v>
      </c>
      <c r="D737" s="115" t="s">
        <v>461</v>
      </c>
      <c r="E737" s="115" t="s">
        <v>111</v>
      </c>
      <c r="F737" s="116">
        <v>71.463099999999997</v>
      </c>
      <c r="G737" s="116">
        <v>77.724800000000002</v>
      </c>
      <c r="H737" s="116">
        <v>16.77</v>
      </c>
      <c r="I737" s="113">
        <v>4116</v>
      </c>
      <c r="J737" s="115" t="s">
        <v>271</v>
      </c>
    </row>
    <row r="738" spans="1:10" x14ac:dyDescent="0.25">
      <c r="A738" s="113">
        <v>735</v>
      </c>
      <c r="B738" s="114" t="s">
        <v>203</v>
      </c>
      <c r="C738" s="115" t="s">
        <v>204</v>
      </c>
      <c r="D738" s="115" t="s">
        <v>461</v>
      </c>
      <c r="E738" s="115" t="s">
        <v>111</v>
      </c>
      <c r="F738" s="116">
        <v>80.616600000000005</v>
      </c>
      <c r="G738" s="116">
        <v>85.077399999999997</v>
      </c>
      <c r="H738" s="116">
        <v>16.68</v>
      </c>
      <c r="I738" s="113">
        <v>777</v>
      </c>
      <c r="J738" s="115" t="s">
        <v>271</v>
      </c>
    </row>
    <row r="739" spans="1:10" x14ac:dyDescent="0.25">
      <c r="A739" s="113">
        <v>736</v>
      </c>
      <c r="B739" s="114" t="s">
        <v>205</v>
      </c>
      <c r="C739" s="115" t="s">
        <v>206</v>
      </c>
      <c r="D739" s="115" t="s">
        <v>461</v>
      </c>
      <c r="E739" s="115" t="s">
        <v>111</v>
      </c>
      <c r="F739" s="116">
        <v>76.322100000000006</v>
      </c>
      <c r="G739" s="116">
        <v>78.044300000000007</v>
      </c>
      <c r="H739" s="116">
        <v>16.71</v>
      </c>
      <c r="I739" s="113">
        <v>956</v>
      </c>
      <c r="J739" s="115" t="s">
        <v>271</v>
      </c>
    </row>
    <row r="740" spans="1:10" x14ac:dyDescent="0.25">
      <c r="A740" s="113">
        <v>737</v>
      </c>
      <c r="B740" s="114" t="s">
        <v>207</v>
      </c>
      <c r="C740" s="115" t="s">
        <v>208</v>
      </c>
      <c r="D740" s="115" t="s">
        <v>461</v>
      </c>
      <c r="E740" s="115" t="s">
        <v>111</v>
      </c>
      <c r="F740" s="116">
        <v>74.526200000000003</v>
      </c>
      <c r="G740" s="116">
        <v>79.598399999999998</v>
      </c>
      <c r="H740" s="116">
        <v>16.739999999999998</v>
      </c>
      <c r="I740" s="113">
        <v>1108</v>
      </c>
      <c r="J740" s="115" t="s">
        <v>271</v>
      </c>
    </row>
    <row r="741" spans="1:10" x14ac:dyDescent="0.25">
      <c r="A741" s="113">
        <v>738</v>
      </c>
      <c r="B741" s="114" t="s">
        <v>209</v>
      </c>
      <c r="C741" s="115" t="s">
        <v>210</v>
      </c>
      <c r="D741" s="115" t="s">
        <v>461</v>
      </c>
      <c r="E741" s="115" t="s">
        <v>111</v>
      </c>
      <c r="F741" s="116">
        <v>59.611699999999999</v>
      </c>
      <c r="G741" s="116">
        <v>60.129899999999999</v>
      </c>
      <c r="H741" s="116">
        <v>16.77</v>
      </c>
      <c r="I741" s="113">
        <v>3938</v>
      </c>
      <c r="J741" s="115" t="s">
        <v>271</v>
      </c>
    </row>
    <row r="742" spans="1:10" x14ac:dyDescent="0.25">
      <c r="A742" s="113">
        <v>739</v>
      </c>
      <c r="B742" s="114" t="s">
        <v>211</v>
      </c>
      <c r="C742" s="115" t="s">
        <v>212</v>
      </c>
      <c r="D742" s="115" t="s">
        <v>461</v>
      </c>
      <c r="E742" s="115" t="s">
        <v>111</v>
      </c>
      <c r="F742" s="116">
        <v>59.800400000000003</v>
      </c>
      <c r="G742" s="116">
        <v>64.416200000000003</v>
      </c>
      <c r="H742" s="116">
        <v>16.78</v>
      </c>
      <c r="I742" s="113">
        <v>4129</v>
      </c>
      <c r="J742" s="115" t="s">
        <v>271</v>
      </c>
    </row>
    <row r="743" spans="1:10" x14ac:dyDescent="0.25">
      <c r="A743" s="113">
        <v>740</v>
      </c>
      <c r="B743" s="114" t="s">
        <v>213</v>
      </c>
      <c r="C743" s="115" t="s">
        <v>214</v>
      </c>
      <c r="D743" s="115" t="s">
        <v>461</v>
      </c>
      <c r="E743" s="115" t="s">
        <v>111</v>
      </c>
      <c r="F743" s="116">
        <v>56.6126</v>
      </c>
      <c r="G743" s="116">
        <v>58.415399999999998</v>
      </c>
      <c r="H743" s="116">
        <v>16.760000000000002</v>
      </c>
      <c r="I743" s="113">
        <v>2402</v>
      </c>
      <c r="J743" s="115" t="s">
        <v>271</v>
      </c>
    </row>
    <row r="744" spans="1:10" x14ac:dyDescent="0.25">
      <c r="A744" s="113">
        <v>741</v>
      </c>
      <c r="B744" s="114" t="s">
        <v>215</v>
      </c>
      <c r="C744" s="115" t="s">
        <v>12</v>
      </c>
      <c r="D744" s="115" t="s">
        <v>461</v>
      </c>
      <c r="E744" s="115" t="s">
        <v>111</v>
      </c>
      <c r="F744" s="116">
        <v>61.446100000000001</v>
      </c>
      <c r="G744" s="116">
        <v>63.687800000000003</v>
      </c>
      <c r="H744" s="116">
        <v>16.760000000000002</v>
      </c>
      <c r="I744" s="113">
        <v>3140</v>
      </c>
      <c r="J744" s="115" t="s">
        <v>271</v>
      </c>
    </row>
    <row r="745" spans="1:10" x14ac:dyDescent="0.25">
      <c r="A745" s="113">
        <v>742</v>
      </c>
      <c r="B745" s="114" t="s">
        <v>216</v>
      </c>
      <c r="C745" s="115" t="s">
        <v>13</v>
      </c>
      <c r="D745" s="115" t="s">
        <v>461</v>
      </c>
      <c r="E745" s="115" t="s">
        <v>111</v>
      </c>
      <c r="F745" s="116">
        <v>59.9741</v>
      </c>
      <c r="G745" s="116">
        <v>64.524699999999996</v>
      </c>
      <c r="H745" s="116">
        <v>16.77</v>
      </c>
      <c r="I745" s="113">
        <v>3397</v>
      </c>
      <c r="J745" s="115" t="s">
        <v>271</v>
      </c>
    </row>
    <row r="746" spans="1:10" x14ac:dyDescent="0.25">
      <c r="A746" s="113">
        <v>743</v>
      </c>
      <c r="B746" s="114" t="s">
        <v>217</v>
      </c>
      <c r="C746" s="115" t="s">
        <v>218</v>
      </c>
      <c r="D746" s="115" t="s">
        <v>461</v>
      </c>
      <c r="E746" s="115" t="s">
        <v>111</v>
      </c>
      <c r="F746" s="116">
        <v>53.662700000000001</v>
      </c>
      <c r="G746" s="116">
        <v>58.973300000000002</v>
      </c>
      <c r="H746" s="116">
        <v>16.77</v>
      </c>
      <c r="I746" s="113">
        <v>4798</v>
      </c>
      <c r="J746" s="115" t="s">
        <v>271</v>
      </c>
    </row>
    <row r="747" spans="1:10" x14ac:dyDescent="0.25">
      <c r="A747" s="113">
        <v>744</v>
      </c>
      <c r="B747" s="114" t="s">
        <v>219</v>
      </c>
      <c r="C747" s="115" t="s">
        <v>220</v>
      </c>
      <c r="D747" s="115" t="s">
        <v>461</v>
      </c>
      <c r="E747" s="115" t="s">
        <v>111</v>
      </c>
      <c r="F747" s="116">
        <v>55.552199999999999</v>
      </c>
      <c r="G747" s="116">
        <v>56.1785</v>
      </c>
      <c r="H747" s="116">
        <v>16.77</v>
      </c>
      <c r="I747" s="113">
        <v>5013</v>
      </c>
      <c r="J747" s="115" t="s">
        <v>271</v>
      </c>
    </row>
    <row r="748" spans="1:10" x14ac:dyDescent="0.25">
      <c r="A748" s="113">
        <v>745</v>
      </c>
      <c r="B748" s="114" t="s">
        <v>221</v>
      </c>
      <c r="C748" s="115" t="s">
        <v>222</v>
      </c>
      <c r="D748" s="115" t="s">
        <v>461</v>
      </c>
      <c r="E748" s="115" t="s">
        <v>111</v>
      </c>
      <c r="F748" s="116">
        <v>54.994199999999999</v>
      </c>
      <c r="G748" s="116">
        <v>59.086199999999998</v>
      </c>
      <c r="H748" s="116">
        <v>16.78</v>
      </c>
      <c r="I748" s="113">
        <v>5224</v>
      </c>
      <c r="J748" s="115" t="s">
        <v>271</v>
      </c>
    </row>
    <row r="749" spans="1:10" x14ac:dyDescent="0.25">
      <c r="A749" s="113">
        <v>746</v>
      </c>
      <c r="B749" s="114" t="s">
        <v>223</v>
      </c>
      <c r="C749" s="115" t="s">
        <v>224</v>
      </c>
      <c r="D749" s="115" t="s">
        <v>461</v>
      </c>
      <c r="E749" s="115" t="s">
        <v>111</v>
      </c>
      <c r="F749" s="116">
        <v>54.008299999999998</v>
      </c>
      <c r="G749" s="116">
        <v>61.8414</v>
      </c>
      <c r="H749" s="116">
        <v>16.78</v>
      </c>
      <c r="I749" s="113">
        <v>6874</v>
      </c>
      <c r="J749" s="115" t="s">
        <v>271</v>
      </c>
    </row>
    <row r="750" spans="1:10" x14ac:dyDescent="0.25">
      <c r="A750" s="113">
        <v>747</v>
      </c>
      <c r="B750" s="114" t="s">
        <v>2100</v>
      </c>
      <c r="C750" s="115" t="s">
        <v>2101</v>
      </c>
      <c r="D750" s="115" t="s">
        <v>461</v>
      </c>
      <c r="E750" s="115" t="s">
        <v>111</v>
      </c>
      <c r="F750" s="116">
        <v>99.773300000000006</v>
      </c>
      <c r="G750" s="116">
        <v>99.773300000000006</v>
      </c>
      <c r="H750" s="116">
        <v>14.288</v>
      </c>
      <c r="I750" s="113">
        <v>2018</v>
      </c>
      <c r="J750" s="115" t="s">
        <v>271</v>
      </c>
    </row>
    <row r="751" spans="1:10" x14ac:dyDescent="0.25">
      <c r="A751" s="113">
        <v>748</v>
      </c>
      <c r="B751" s="114" t="s">
        <v>1503</v>
      </c>
      <c r="C751" s="115" t="s">
        <v>1504</v>
      </c>
      <c r="D751" s="115" t="s">
        <v>451</v>
      </c>
      <c r="E751" s="115" t="s">
        <v>2122</v>
      </c>
      <c r="F751" s="116">
        <v>63052.269000000015</v>
      </c>
      <c r="G751" s="116">
        <v>63052.269000000015</v>
      </c>
      <c r="H751" s="116">
        <v>0</v>
      </c>
      <c r="I751" s="113">
        <v>0</v>
      </c>
      <c r="J751" s="115" t="s">
        <v>240</v>
      </c>
    </row>
    <row r="752" spans="1:10" x14ac:dyDescent="0.25">
      <c r="A752" s="113">
        <v>749</v>
      </c>
      <c r="B752" s="114" t="s">
        <v>1505</v>
      </c>
      <c r="C752" s="115" t="s">
        <v>1506</v>
      </c>
      <c r="D752" s="115" t="s">
        <v>451</v>
      </c>
      <c r="E752" s="115" t="s">
        <v>1507</v>
      </c>
      <c r="F752" s="116">
        <v>482.87126195000008</v>
      </c>
      <c r="G752" s="116">
        <v>482.87126195000008</v>
      </c>
      <c r="H752" s="116">
        <v>0</v>
      </c>
      <c r="I752" s="113">
        <v>2046</v>
      </c>
      <c r="J752" s="115" t="s">
        <v>240</v>
      </c>
    </row>
    <row r="753" spans="1:10" x14ac:dyDescent="0.25">
      <c r="A753" s="113">
        <v>750</v>
      </c>
      <c r="B753" s="114" t="s">
        <v>1335</v>
      </c>
      <c r="C753" s="115" t="s">
        <v>1336</v>
      </c>
      <c r="D753" s="115" t="s">
        <v>451</v>
      </c>
      <c r="E753" s="115" t="s">
        <v>1337</v>
      </c>
      <c r="F753" s="116">
        <v>6926.0740500000011</v>
      </c>
      <c r="G753" s="116">
        <v>6926.0740500000011</v>
      </c>
      <c r="H753" s="116">
        <v>0</v>
      </c>
      <c r="I753" s="113">
        <v>0</v>
      </c>
      <c r="J753" s="115" t="s">
        <v>240</v>
      </c>
    </row>
    <row r="754" spans="1:10" x14ac:dyDescent="0.25">
      <c r="A754" s="113">
        <v>751</v>
      </c>
      <c r="B754" s="114" t="s">
        <v>225</v>
      </c>
      <c r="C754" s="115" t="s">
        <v>226</v>
      </c>
      <c r="D754" s="115" t="s">
        <v>461</v>
      </c>
      <c r="E754" s="115" t="s">
        <v>227</v>
      </c>
      <c r="F754" s="116">
        <v>92.769300000000001</v>
      </c>
      <c r="G754" s="116">
        <v>94.569299999999998</v>
      </c>
      <c r="H754" s="116">
        <v>14.5</v>
      </c>
      <c r="I754" s="113">
        <v>1386</v>
      </c>
      <c r="J754" s="115" t="s">
        <v>271</v>
      </c>
    </row>
    <row r="755" spans="1:10" x14ac:dyDescent="0.25">
      <c r="A755" s="113">
        <v>752</v>
      </c>
      <c r="B755" s="114" t="s">
        <v>228</v>
      </c>
      <c r="C755" s="115" t="s">
        <v>229</v>
      </c>
      <c r="D755" s="115" t="s">
        <v>461</v>
      </c>
      <c r="E755" s="115" t="s">
        <v>227</v>
      </c>
      <c r="F755" s="116">
        <v>100.03782159583525</v>
      </c>
      <c r="G755" s="116">
        <v>106.76972159583525</v>
      </c>
      <c r="H755" s="116">
        <v>18.29</v>
      </c>
      <c r="I755" s="113">
        <v>229</v>
      </c>
      <c r="J755" s="115" t="s">
        <v>271</v>
      </c>
    </row>
    <row r="756" spans="1:10" x14ac:dyDescent="0.25">
      <c r="A756" s="113">
        <v>753</v>
      </c>
      <c r="B756" s="114" t="s">
        <v>1508</v>
      </c>
      <c r="C756" s="115" t="s">
        <v>1509</v>
      </c>
      <c r="D756" s="115" t="s">
        <v>461</v>
      </c>
      <c r="E756" s="115" t="s">
        <v>227</v>
      </c>
      <c r="F756" s="116">
        <v>99.575620124141253</v>
      </c>
      <c r="G756" s="116">
        <v>103.71452012414126</v>
      </c>
      <c r="H756" s="116">
        <v>14.83</v>
      </c>
      <c r="I756" s="113">
        <v>31</v>
      </c>
      <c r="J756" s="115" t="s">
        <v>271</v>
      </c>
    </row>
    <row r="757" spans="1:10" x14ac:dyDescent="0.25">
      <c r="A757" s="113">
        <v>754</v>
      </c>
      <c r="B757" s="114" t="s">
        <v>2023</v>
      </c>
      <c r="C757" s="115" t="s">
        <v>2024</v>
      </c>
      <c r="D757" s="115" t="s">
        <v>461</v>
      </c>
      <c r="E757" s="115" t="s">
        <v>227</v>
      </c>
      <c r="F757" s="116">
        <v>98.574377067941555</v>
      </c>
      <c r="G757" s="116">
        <v>99.154977067941559</v>
      </c>
      <c r="H757" s="116">
        <v>14.36</v>
      </c>
      <c r="I757" s="113">
        <v>161</v>
      </c>
      <c r="J757" s="115" t="s">
        <v>271</v>
      </c>
    </row>
    <row r="758" spans="1:10" x14ac:dyDescent="0.25">
      <c r="A758" s="113">
        <v>755</v>
      </c>
      <c r="B758" s="114" t="s">
        <v>2155</v>
      </c>
      <c r="C758" s="115" t="s">
        <v>2156</v>
      </c>
      <c r="D758" s="115" t="s">
        <v>461</v>
      </c>
      <c r="E758" s="115" t="s">
        <v>227</v>
      </c>
      <c r="F758" s="116">
        <v>99.963200000000001</v>
      </c>
      <c r="G758" s="116">
        <v>102.74379999999999</v>
      </c>
      <c r="H758" s="116">
        <v>11</v>
      </c>
      <c r="I758" s="113">
        <v>269</v>
      </c>
      <c r="J758" s="115" t="s">
        <v>271</v>
      </c>
    </row>
    <row r="759" spans="1:10" x14ac:dyDescent="0.25">
      <c r="A759" s="113">
        <v>756</v>
      </c>
      <c r="B759" s="114" t="s">
        <v>1510</v>
      </c>
      <c r="C759" s="115" t="s">
        <v>1511</v>
      </c>
      <c r="D759" s="115" t="s">
        <v>461</v>
      </c>
      <c r="E759" s="115" t="s">
        <v>227</v>
      </c>
      <c r="F759" s="116">
        <v>98.874240429833634</v>
      </c>
      <c r="G759" s="116">
        <v>101.03254042983363</v>
      </c>
      <c r="H759" s="116">
        <v>14.38</v>
      </c>
      <c r="I759" s="113">
        <v>106</v>
      </c>
      <c r="J759" s="115" t="s">
        <v>271</v>
      </c>
    </row>
    <row r="760" spans="1:10" x14ac:dyDescent="0.25">
      <c r="A760" s="113">
        <v>757</v>
      </c>
      <c r="B760" s="114" t="s">
        <v>1512</v>
      </c>
      <c r="C760" s="115" t="s">
        <v>1513</v>
      </c>
      <c r="D760" s="115" t="s">
        <v>461</v>
      </c>
      <c r="E760" s="115" t="s">
        <v>227</v>
      </c>
      <c r="F760" s="116">
        <v>89.091291546032551</v>
      </c>
      <c r="G760" s="116">
        <v>90.869091546032564</v>
      </c>
      <c r="H760" s="116">
        <v>13.75</v>
      </c>
      <c r="I760" s="113">
        <v>1376</v>
      </c>
      <c r="J760" s="115" t="s">
        <v>271</v>
      </c>
    </row>
    <row r="761" spans="1:10" x14ac:dyDescent="0.25">
      <c r="A761" s="113">
        <v>758</v>
      </c>
      <c r="B761" s="114" t="s">
        <v>1514</v>
      </c>
      <c r="C761" s="115" t="s">
        <v>1515</v>
      </c>
      <c r="D761" s="115" t="s">
        <v>451</v>
      </c>
      <c r="E761" s="115" t="s">
        <v>1516</v>
      </c>
      <c r="F761" s="116">
        <v>37817.92315000001</v>
      </c>
      <c r="G761" s="116">
        <v>37817.92315000001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1517</v>
      </c>
      <c r="C762" s="115" t="s">
        <v>1518</v>
      </c>
      <c r="D762" s="115" t="s">
        <v>451</v>
      </c>
      <c r="E762" s="115" t="s">
        <v>2123</v>
      </c>
      <c r="F762" s="116">
        <v>655536.64855000016</v>
      </c>
      <c r="G762" s="116">
        <v>655536.64855000016</v>
      </c>
      <c r="H762" s="116">
        <v>0</v>
      </c>
      <c r="I762" s="113">
        <v>0</v>
      </c>
      <c r="J762" s="115" t="s">
        <v>240</v>
      </c>
    </row>
    <row r="763" spans="1:10" x14ac:dyDescent="0.25">
      <c r="A763" s="113">
        <v>760</v>
      </c>
      <c r="B763" s="114" t="s">
        <v>2008</v>
      </c>
      <c r="C763" s="115" t="s">
        <v>2009</v>
      </c>
      <c r="D763" s="115" t="s">
        <v>461</v>
      </c>
      <c r="E763" s="115" t="s">
        <v>2010</v>
      </c>
      <c r="F763" s="116">
        <v>99.436922313225594</v>
      </c>
      <c r="G763" s="116">
        <v>102.33972231322559</v>
      </c>
      <c r="H763" s="116">
        <v>19.260000000000002</v>
      </c>
      <c r="I763" s="113">
        <v>845</v>
      </c>
      <c r="J763" s="115" t="s">
        <v>271</v>
      </c>
    </row>
    <row r="764" spans="1:10" x14ac:dyDescent="0.25">
      <c r="A764" s="113">
        <v>761</v>
      </c>
      <c r="B764" s="114" t="s">
        <v>1519</v>
      </c>
      <c r="C764" s="115" t="s">
        <v>1520</v>
      </c>
      <c r="D764" s="115" t="s">
        <v>451</v>
      </c>
      <c r="E764" s="115" t="s">
        <v>2124</v>
      </c>
      <c r="F764" s="116">
        <v>40642.643300000011</v>
      </c>
      <c r="G764" s="116">
        <v>40642.643300000011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1521</v>
      </c>
      <c r="C765" s="115" t="s">
        <v>1522</v>
      </c>
      <c r="D765" s="115" t="s">
        <v>451</v>
      </c>
      <c r="E765" s="115" t="s">
        <v>1523</v>
      </c>
      <c r="F765" s="116">
        <v>6751.38</v>
      </c>
      <c r="G765" s="116">
        <v>6751.38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1524</v>
      </c>
      <c r="C766" s="115" t="s">
        <v>1525</v>
      </c>
      <c r="D766" s="115" t="s">
        <v>451</v>
      </c>
      <c r="E766" s="115" t="s">
        <v>1523</v>
      </c>
      <c r="F766" s="116">
        <v>88.363100000000003</v>
      </c>
      <c r="G766" s="116">
        <v>88.363100000000003</v>
      </c>
      <c r="H766" s="116">
        <v>0</v>
      </c>
      <c r="I766" s="113">
        <v>875</v>
      </c>
      <c r="J766" s="115" t="s">
        <v>240</v>
      </c>
    </row>
    <row r="767" spans="1:10" x14ac:dyDescent="0.25">
      <c r="A767" s="113">
        <v>764</v>
      </c>
      <c r="B767" s="114" t="s">
        <v>1526</v>
      </c>
      <c r="C767" s="115" t="s">
        <v>1527</v>
      </c>
      <c r="D767" s="115" t="s">
        <v>451</v>
      </c>
      <c r="E767" s="115" t="s">
        <v>1523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1528</v>
      </c>
      <c r="C768" s="115" t="s">
        <v>1529</v>
      </c>
      <c r="D768" s="115" t="s">
        <v>451</v>
      </c>
      <c r="E768" s="115" t="s">
        <v>1523</v>
      </c>
      <c r="F768" s="116">
        <v>0.01</v>
      </c>
      <c r="G768" s="116">
        <v>0.01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1530</v>
      </c>
      <c r="C769" s="115" t="s">
        <v>1531</v>
      </c>
      <c r="D769" s="115" t="s">
        <v>461</v>
      </c>
      <c r="E769" s="115" t="s">
        <v>1523</v>
      </c>
      <c r="F769" s="116">
        <v>96.685217993451303</v>
      </c>
      <c r="G769" s="116">
        <v>102.00811799345129</v>
      </c>
      <c r="H769" s="116">
        <v>17.97</v>
      </c>
      <c r="I769" s="113">
        <v>185</v>
      </c>
      <c r="J769" s="115" t="s">
        <v>271</v>
      </c>
    </row>
    <row r="770" spans="1:10" x14ac:dyDescent="0.25">
      <c r="A770" s="113">
        <v>767</v>
      </c>
      <c r="B770" s="114" t="s">
        <v>1532</v>
      </c>
      <c r="C770" s="115" t="s">
        <v>1533</v>
      </c>
      <c r="D770" s="115" t="s">
        <v>461</v>
      </c>
      <c r="E770" s="115" t="s">
        <v>1523</v>
      </c>
      <c r="F770" s="116">
        <v>35.634030435536182</v>
      </c>
      <c r="G770" s="116">
        <v>36.889630435536176</v>
      </c>
      <c r="H770" s="116">
        <v>18.989999999999998</v>
      </c>
      <c r="I770" s="113">
        <v>3487</v>
      </c>
      <c r="J770" s="115" t="s">
        <v>271</v>
      </c>
    </row>
    <row r="771" spans="1:10" x14ac:dyDescent="0.25">
      <c r="A771" s="113">
        <v>768</v>
      </c>
      <c r="B771" s="114" t="s">
        <v>1534</v>
      </c>
      <c r="C771" s="115" t="s">
        <v>1535</v>
      </c>
      <c r="D771" s="115" t="s">
        <v>451</v>
      </c>
      <c r="E771" s="115" t="s">
        <v>1523</v>
      </c>
      <c r="F771" s="116">
        <v>11898.67</v>
      </c>
      <c r="G771" s="116">
        <v>11898.67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1536</v>
      </c>
      <c r="C772" s="115" t="s">
        <v>1537</v>
      </c>
      <c r="D772" s="115" t="s">
        <v>461</v>
      </c>
      <c r="E772" s="115" t="s">
        <v>661</v>
      </c>
      <c r="F772" s="116">
        <v>100</v>
      </c>
      <c r="G772" s="116">
        <v>105.8181</v>
      </c>
      <c r="H772" s="116">
        <v>7.08</v>
      </c>
      <c r="I772" s="113">
        <v>2195</v>
      </c>
      <c r="J772" s="115" t="s">
        <v>271</v>
      </c>
    </row>
    <row r="773" spans="1:10" x14ac:dyDescent="0.25">
      <c r="A773" s="113">
        <v>770</v>
      </c>
      <c r="B773" s="114" t="s">
        <v>1538</v>
      </c>
      <c r="C773" s="115" t="s">
        <v>1539</v>
      </c>
      <c r="D773" s="115" t="s">
        <v>461</v>
      </c>
      <c r="E773" s="115" t="s">
        <v>661</v>
      </c>
      <c r="F773" s="116">
        <v>100</v>
      </c>
      <c r="G773" s="116">
        <v>100.1356</v>
      </c>
      <c r="H773" s="116">
        <v>6.09</v>
      </c>
      <c r="I773" s="113">
        <v>2122</v>
      </c>
      <c r="J773" s="115" t="s">
        <v>271</v>
      </c>
    </row>
    <row r="774" spans="1:10" x14ac:dyDescent="0.25">
      <c r="A774" s="113">
        <v>771</v>
      </c>
      <c r="B774" s="114" t="s">
        <v>1540</v>
      </c>
      <c r="C774" s="115" t="s">
        <v>1541</v>
      </c>
      <c r="D774" s="115" t="s">
        <v>461</v>
      </c>
      <c r="E774" s="115" t="s">
        <v>661</v>
      </c>
      <c r="F774" s="116">
        <v>100</v>
      </c>
      <c r="G774" s="116">
        <v>105.08329999999999</v>
      </c>
      <c r="H774" s="116">
        <v>6.08</v>
      </c>
      <c r="I774" s="113">
        <v>2550</v>
      </c>
      <c r="J774" s="115" t="s">
        <v>271</v>
      </c>
    </row>
    <row r="775" spans="1:10" x14ac:dyDescent="0.25">
      <c r="A775" s="113">
        <v>772</v>
      </c>
      <c r="B775" s="114" t="s">
        <v>1542</v>
      </c>
      <c r="C775" s="115" t="s">
        <v>1543</v>
      </c>
      <c r="D775" s="115" t="s">
        <v>461</v>
      </c>
      <c r="E775" s="115" t="s">
        <v>661</v>
      </c>
      <c r="F775" s="116">
        <v>100</v>
      </c>
      <c r="G775" s="116">
        <v>105.08329999999999</v>
      </c>
      <c r="H775" s="116">
        <v>6.08</v>
      </c>
      <c r="I775" s="113">
        <v>2550</v>
      </c>
      <c r="J775" s="115" t="s">
        <v>271</v>
      </c>
    </row>
    <row r="776" spans="1:10" x14ac:dyDescent="0.25">
      <c r="A776" s="113">
        <v>773</v>
      </c>
      <c r="B776" s="114" t="s">
        <v>1544</v>
      </c>
      <c r="C776" s="115" t="s">
        <v>1545</v>
      </c>
      <c r="D776" s="115" t="s">
        <v>461</v>
      </c>
      <c r="E776" s="115" t="s">
        <v>661</v>
      </c>
      <c r="F776" s="116">
        <v>100</v>
      </c>
      <c r="G776" s="116">
        <v>103.9481</v>
      </c>
      <c r="H776" s="116">
        <v>6.08</v>
      </c>
      <c r="I776" s="113">
        <v>2617</v>
      </c>
      <c r="J776" s="115" t="s">
        <v>271</v>
      </c>
    </row>
    <row r="777" spans="1:10" x14ac:dyDescent="0.25">
      <c r="A777" s="113">
        <v>774</v>
      </c>
      <c r="B777" s="114" t="s">
        <v>2459</v>
      </c>
      <c r="C777" s="115" t="s">
        <v>2456</v>
      </c>
      <c r="D777" s="115" t="s">
        <v>461</v>
      </c>
      <c r="E777" s="115" t="s">
        <v>230</v>
      </c>
      <c r="F777" s="116">
        <v>98.965199999999996</v>
      </c>
      <c r="G777" s="116">
        <v>98.965199999999996</v>
      </c>
      <c r="H777" s="116">
        <v>14.68</v>
      </c>
      <c r="I777" s="113">
        <v>26</v>
      </c>
      <c r="J777" s="115" t="s">
        <v>271</v>
      </c>
    </row>
    <row r="778" spans="1:10" x14ac:dyDescent="0.25">
      <c r="A778" s="113">
        <v>775</v>
      </c>
      <c r="B778" s="114" t="s">
        <v>1546</v>
      </c>
      <c r="C778" s="115" t="s">
        <v>1547</v>
      </c>
      <c r="D778" s="115" t="s">
        <v>451</v>
      </c>
      <c r="E778" s="115" t="s">
        <v>1548</v>
      </c>
      <c r="F778" s="116">
        <v>94546.151700000017</v>
      </c>
      <c r="G778" s="116">
        <v>94546.151700000017</v>
      </c>
      <c r="H778" s="116">
        <v>0</v>
      </c>
      <c r="I778" s="113">
        <v>0</v>
      </c>
      <c r="J778" s="115" t="s">
        <v>240</v>
      </c>
    </row>
    <row r="779" spans="1:10" x14ac:dyDescent="0.25">
      <c r="A779" s="113">
        <v>776</v>
      </c>
      <c r="B779" s="114" t="s">
        <v>1549</v>
      </c>
      <c r="C779" s="115" t="s">
        <v>1550</v>
      </c>
      <c r="D779" s="115" t="s">
        <v>461</v>
      </c>
      <c r="E779" s="115" t="s">
        <v>1551</v>
      </c>
      <c r="F779" s="116">
        <v>100.17613043125296</v>
      </c>
      <c r="G779" s="116">
        <v>103.42613043125296</v>
      </c>
      <c r="H779" s="116">
        <v>5.96</v>
      </c>
      <c r="I779" s="113">
        <v>2325</v>
      </c>
      <c r="J779" s="115" t="s">
        <v>271</v>
      </c>
    </row>
    <row r="780" spans="1:10" x14ac:dyDescent="0.25">
      <c r="A780" s="113">
        <v>777</v>
      </c>
      <c r="B780" s="114" t="s">
        <v>1552</v>
      </c>
      <c r="C780" s="115" t="s">
        <v>1553</v>
      </c>
      <c r="D780" s="115" t="s">
        <v>461</v>
      </c>
      <c r="E780" s="115" t="s">
        <v>1554</v>
      </c>
      <c r="F780" s="116">
        <v>105.2</v>
      </c>
      <c r="G780" s="116">
        <v>105.55</v>
      </c>
      <c r="H780" s="116">
        <v>4.54</v>
      </c>
      <c r="I780" s="113">
        <v>1419</v>
      </c>
      <c r="J780" s="115" t="s">
        <v>271</v>
      </c>
    </row>
    <row r="781" spans="1:10" x14ac:dyDescent="0.25">
      <c r="A781" s="113">
        <v>778</v>
      </c>
      <c r="B781" s="114" t="s">
        <v>1990</v>
      </c>
      <c r="C781" s="115" t="s">
        <v>1991</v>
      </c>
      <c r="D781" s="115" t="s">
        <v>461</v>
      </c>
      <c r="E781" s="115" t="s">
        <v>443</v>
      </c>
      <c r="F781" s="116">
        <v>99.997299999999996</v>
      </c>
      <c r="G781" s="116">
        <v>100.539</v>
      </c>
      <c r="H781" s="116">
        <v>19.5</v>
      </c>
      <c r="I781" s="113">
        <v>110</v>
      </c>
      <c r="J781" s="115" t="s">
        <v>271</v>
      </c>
    </row>
    <row r="782" spans="1:10" x14ac:dyDescent="0.25">
      <c r="A782" s="113">
        <v>779</v>
      </c>
      <c r="B782" s="114" t="s">
        <v>2075</v>
      </c>
      <c r="C782" s="115" t="s">
        <v>2076</v>
      </c>
      <c r="D782" s="115" t="s">
        <v>461</v>
      </c>
      <c r="E782" s="115" t="s">
        <v>443</v>
      </c>
      <c r="F782" s="116">
        <v>100.55940005343092</v>
      </c>
      <c r="G782" s="116">
        <v>101.55940005343092</v>
      </c>
      <c r="H782" s="116">
        <v>18.88</v>
      </c>
      <c r="I782" s="113">
        <v>192</v>
      </c>
      <c r="J782" s="115" t="s">
        <v>271</v>
      </c>
    </row>
    <row r="783" spans="1:10" x14ac:dyDescent="0.25">
      <c r="A783" s="113">
        <v>780</v>
      </c>
      <c r="B783" s="114" t="s">
        <v>2151</v>
      </c>
      <c r="C783" s="115" t="s">
        <v>2152</v>
      </c>
      <c r="D783" s="115" t="s">
        <v>461</v>
      </c>
      <c r="E783" s="115" t="s">
        <v>443</v>
      </c>
      <c r="F783" s="116">
        <v>100.49307225303841</v>
      </c>
      <c r="G783" s="116">
        <v>100.49307225303841</v>
      </c>
      <c r="H783" s="116">
        <v>19.21</v>
      </c>
      <c r="I783" s="113">
        <v>240</v>
      </c>
      <c r="J783" s="115" t="s">
        <v>271</v>
      </c>
    </row>
    <row r="784" spans="1:10" x14ac:dyDescent="0.25">
      <c r="A784" s="113">
        <v>781</v>
      </c>
      <c r="B784" s="114" t="s">
        <v>1992</v>
      </c>
      <c r="C784" s="115" t="s">
        <v>1993</v>
      </c>
      <c r="D784" s="115" t="s">
        <v>451</v>
      </c>
      <c r="E784" s="115" t="s">
        <v>1994</v>
      </c>
      <c r="F784" s="116">
        <v>126504.99785000003</v>
      </c>
      <c r="G784" s="116">
        <v>126504.99785000003</v>
      </c>
      <c r="H784" s="116">
        <v>0</v>
      </c>
      <c r="I784" s="113">
        <v>0</v>
      </c>
      <c r="J784" s="115" t="s">
        <v>240</v>
      </c>
    </row>
    <row r="785" spans="1:10" x14ac:dyDescent="0.25">
      <c r="A785" s="113">
        <v>782</v>
      </c>
      <c r="B785" s="114" t="s">
        <v>1555</v>
      </c>
      <c r="C785" s="115" t="s">
        <v>1556</v>
      </c>
      <c r="D785" s="115" t="s">
        <v>461</v>
      </c>
      <c r="E785" s="115" t="s">
        <v>1557</v>
      </c>
      <c r="F785" s="116">
        <v>86.469502991587831</v>
      </c>
      <c r="G785" s="116">
        <v>94.150102991587829</v>
      </c>
      <c r="H785" s="116">
        <v>23.49</v>
      </c>
      <c r="I785" s="113">
        <v>3163</v>
      </c>
      <c r="J785" s="115" t="s">
        <v>271</v>
      </c>
    </row>
    <row r="786" spans="1:10" x14ac:dyDescent="0.25">
      <c r="A786" s="113">
        <v>783</v>
      </c>
      <c r="B786" s="114" t="s">
        <v>1558</v>
      </c>
      <c r="C786" s="115" t="s">
        <v>1559</v>
      </c>
      <c r="D786" s="115" t="s">
        <v>461</v>
      </c>
      <c r="E786" s="115" t="s">
        <v>1560</v>
      </c>
      <c r="F786" s="116">
        <v>95.181221064438432</v>
      </c>
      <c r="G786" s="116">
        <v>96.172921064438427</v>
      </c>
      <c r="H786" s="116">
        <v>16.399999999999999</v>
      </c>
      <c r="I786" s="113">
        <v>326</v>
      </c>
      <c r="J786" s="115" t="s">
        <v>271</v>
      </c>
    </row>
    <row r="787" spans="1:10" x14ac:dyDescent="0.25">
      <c r="A787" s="113">
        <v>784</v>
      </c>
      <c r="B787" s="114" t="s">
        <v>1561</v>
      </c>
      <c r="C787" s="115" t="s">
        <v>1562</v>
      </c>
      <c r="D787" s="115" t="s">
        <v>461</v>
      </c>
      <c r="E787" s="115" t="s">
        <v>1560</v>
      </c>
      <c r="F787" s="116">
        <v>89.236745153722595</v>
      </c>
      <c r="G787" s="116">
        <v>92.5909451537226</v>
      </c>
      <c r="H787" s="116">
        <v>16.55</v>
      </c>
      <c r="I787" s="113">
        <v>785</v>
      </c>
      <c r="J787" s="115" t="s">
        <v>271</v>
      </c>
    </row>
    <row r="788" spans="1:10" x14ac:dyDescent="0.25">
      <c r="A788" s="113">
        <v>785</v>
      </c>
      <c r="B788" s="114" t="s">
        <v>1563</v>
      </c>
      <c r="C788" s="115" t="s">
        <v>1564</v>
      </c>
      <c r="D788" s="115" t="s">
        <v>451</v>
      </c>
      <c r="E788" s="115" t="s">
        <v>1565</v>
      </c>
      <c r="F788" s="116">
        <v>23745.387750000005</v>
      </c>
      <c r="G788" s="116">
        <v>23745.387750000005</v>
      </c>
      <c r="H788" s="116">
        <v>0</v>
      </c>
      <c r="I788" s="113">
        <v>0</v>
      </c>
      <c r="J788" s="115" t="s">
        <v>240</v>
      </c>
    </row>
    <row r="789" spans="1:10" x14ac:dyDescent="0.25">
      <c r="A789" s="113">
        <v>786</v>
      </c>
      <c r="B789" s="114" t="s">
        <v>1566</v>
      </c>
      <c r="C789" s="115" t="s">
        <v>1567</v>
      </c>
      <c r="D789" s="115" t="s">
        <v>461</v>
      </c>
      <c r="E789" s="115" t="s">
        <v>1568</v>
      </c>
      <c r="F789" s="116">
        <v>100</v>
      </c>
      <c r="G789" s="116">
        <v>104.4267</v>
      </c>
      <c r="H789" s="116">
        <v>9.59</v>
      </c>
      <c r="I789" s="113">
        <v>374</v>
      </c>
      <c r="J789" s="115" t="s">
        <v>271</v>
      </c>
    </row>
    <row r="790" spans="1:10" x14ac:dyDescent="0.25">
      <c r="A790" s="113">
        <v>787</v>
      </c>
      <c r="B790" s="114" t="s">
        <v>1569</v>
      </c>
      <c r="C790" s="115" t="s">
        <v>1570</v>
      </c>
      <c r="D790" s="115" t="s">
        <v>461</v>
      </c>
      <c r="E790" s="115" t="s">
        <v>1571</v>
      </c>
      <c r="F790" s="116">
        <v>100.30800000000001</v>
      </c>
      <c r="G790" s="116">
        <v>102.3361</v>
      </c>
      <c r="H790" s="116">
        <v>3.96</v>
      </c>
      <c r="I790" s="113">
        <v>723</v>
      </c>
      <c r="J790" s="115" t="s">
        <v>271</v>
      </c>
    </row>
    <row r="791" spans="1:10" x14ac:dyDescent="0.25">
      <c r="A791" s="113">
        <v>788</v>
      </c>
      <c r="B791" s="114" t="s">
        <v>1572</v>
      </c>
      <c r="C791" s="115" t="s">
        <v>1573</v>
      </c>
      <c r="D791" s="115" t="s">
        <v>461</v>
      </c>
      <c r="E791" s="115" t="s">
        <v>1571</v>
      </c>
      <c r="F791" s="116">
        <v>99.075183212552048</v>
      </c>
      <c r="G791" s="116">
        <v>99.26788321255205</v>
      </c>
      <c r="H791" s="116">
        <v>4.6399999999999997</v>
      </c>
      <c r="I791" s="113">
        <v>151</v>
      </c>
      <c r="J791" s="115" t="s">
        <v>271</v>
      </c>
    </row>
    <row r="792" spans="1:10" x14ac:dyDescent="0.25">
      <c r="A792" s="113">
        <v>789</v>
      </c>
      <c r="B792" s="114" t="s">
        <v>1574</v>
      </c>
      <c r="C792" s="115" t="s">
        <v>1575</v>
      </c>
      <c r="D792" s="115" t="s">
        <v>451</v>
      </c>
      <c r="E792" s="115" t="s">
        <v>1576</v>
      </c>
      <c r="F792" s="116">
        <v>13795.707450000002</v>
      </c>
      <c r="G792" s="116">
        <v>13795.707450000002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2094</v>
      </c>
      <c r="C793" s="115" t="s">
        <v>1881</v>
      </c>
      <c r="D793" s="115" t="s">
        <v>761</v>
      </c>
      <c r="E793" s="115" t="s">
        <v>1631</v>
      </c>
      <c r="F793" s="116">
        <v>39142.934600000008</v>
      </c>
      <c r="G793" s="116">
        <v>39142.934600000008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1582</v>
      </c>
      <c r="C794" s="115" t="s">
        <v>1583</v>
      </c>
      <c r="D794" s="115" t="s">
        <v>451</v>
      </c>
      <c r="E794" s="115" t="s">
        <v>1584</v>
      </c>
      <c r="F794" s="116">
        <v>0.01</v>
      </c>
      <c r="G794" s="116">
        <v>0.01</v>
      </c>
      <c r="H794" s="116">
        <v>0</v>
      </c>
      <c r="I794" s="113">
        <v>0</v>
      </c>
      <c r="J794" s="115" t="s">
        <v>240</v>
      </c>
    </row>
    <row r="795" spans="1:10" x14ac:dyDescent="0.25">
      <c r="A795" s="113">
        <v>792</v>
      </c>
      <c r="B795" s="114" t="s">
        <v>1577</v>
      </c>
      <c r="C795" s="115" t="s">
        <v>1578</v>
      </c>
      <c r="D795" s="115" t="s">
        <v>461</v>
      </c>
      <c r="E795" s="115" t="s">
        <v>1579</v>
      </c>
      <c r="F795" s="116">
        <v>98.26</v>
      </c>
      <c r="G795" s="116">
        <v>98.655799999999999</v>
      </c>
      <c r="H795" s="116">
        <v>4.3099999999999996</v>
      </c>
      <c r="I795" s="113">
        <v>1222</v>
      </c>
      <c r="J795" s="115" t="s">
        <v>271</v>
      </c>
    </row>
    <row r="796" spans="1:10" x14ac:dyDescent="0.25">
      <c r="A796" s="113">
        <v>793</v>
      </c>
      <c r="B796" s="114" t="s">
        <v>1580</v>
      </c>
      <c r="C796" s="115" t="s">
        <v>1581</v>
      </c>
      <c r="D796" s="115" t="s">
        <v>461</v>
      </c>
      <c r="E796" s="115" t="s">
        <v>1579</v>
      </c>
      <c r="F796" s="116">
        <v>97.111999999999995</v>
      </c>
      <c r="G796" s="116">
        <v>97.287000000000006</v>
      </c>
      <c r="H796" s="116">
        <v>4.26</v>
      </c>
      <c r="I796" s="113">
        <v>879</v>
      </c>
      <c r="J796" s="115" t="s">
        <v>271</v>
      </c>
    </row>
    <row r="797" spans="1:10" x14ac:dyDescent="0.25">
      <c r="A797" s="113">
        <v>794</v>
      </c>
      <c r="B797" s="114" t="s">
        <v>1585</v>
      </c>
      <c r="C797" s="115" t="s">
        <v>1586</v>
      </c>
      <c r="D797" s="115" t="s">
        <v>461</v>
      </c>
      <c r="E797" s="115" t="s">
        <v>1587</v>
      </c>
      <c r="F797" s="116">
        <v>100</v>
      </c>
      <c r="G797" s="116">
        <v>100.1944</v>
      </c>
      <c r="H797" s="116">
        <v>14</v>
      </c>
      <c r="I797" s="113">
        <v>1885</v>
      </c>
      <c r="J797" s="115" t="s">
        <v>271</v>
      </c>
    </row>
    <row r="798" spans="1:10" x14ac:dyDescent="0.25">
      <c r="A798" s="113">
        <v>795</v>
      </c>
      <c r="B798" s="114" t="s">
        <v>2069</v>
      </c>
      <c r="C798" s="115" t="s">
        <v>2070</v>
      </c>
      <c r="D798" s="115" t="s">
        <v>461</v>
      </c>
      <c r="E798" s="115" t="s">
        <v>397</v>
      </c>
      <c r="F798" s="116">
        <v>100.72577815342194</v>
      </c>
      <c r="G798" s="116">
        <v>101.47577815342194</v>
      </c>
      <c r="H798" s="116">
        <v>17.149999999999999</v>
      </c>
      <c r="I798" s="113">
        <v>345</v>
      </c>
      <c r="J798" s="115" t="s">
        <v>271</v>
      </c>
    </row>
    <row r="799" spans="1:10" x14ac:dyDescent="0.25">
      <c r="A799" s="113">
        <v>796</v>
      </c>
      <c r="B799" s="114" t="s">
        <v>2071</v>
      </c>
      <c r="C799" s="115" t="s">
        <v>2072</v>
      </c>
      <c r="D799" s="115" t="s">
        <v>461</v>
      </c>
      <c r="E799" s="115" t="s">
        <v>397</v>
      </c>
      <c r="F799" s="116">
        <v>100.72577815342194</v>
      </c>
      <c r="G799" s="116">
        <v>101.47577815342194</v>
      </c>
      <c r="H799" s="116">
        <v>17.149999999999999</v>
      </c>
      <c r="I799" s="113">
        <v>345</v>
      </c>
      <c r="J799" s="115" t="s">
        <v>271</v>
      </c>
    </row>
    <row r="800" spans="1:10" x14ac:dyDescent="0.25">
      <c r="A800" s="113">
        <v>797</v>
      </c>
      <c r="B800" s="114" t="s">
        <v>1588</v>
      </c>
      <c r="C800" s="115" t="s">
        <v>1589</v>
      </c>
      <c r="D800" s="115" t="s">
        <v>451</v>
      </c>
      <c r="E800" s="115" t="s">
        <v>397</v>
      </c>
      <c r="F800" s="116">
        <v>3434.4650000000001</v>
      </c>
      <c r="G800" s="116">
        <v>3434.4650000000001</v>
      </c>
      <c r="H800" s="116">
        <v>0</v>
      </c>
      <c r="I800" s="113">
        <v>216</v>
      </c>
      <c r="J800" s="115" t="s">
        <v>240</v>
      </c>
    </row>
    <row r="801" spans="1:10" x14ac:dyDescent="0.25">
      <c r="A801" s="113">
        <v>798</v>
      </c>
      <c r="B801" s="114" t="s">
        <v>1590</v>
      </c>
      <c r="C801" s="115" t="s">
        <v>1591</v>
      </c>
      <c r="D801" s="115" t="s">
        <v>461</v>
      </c>
      <c r="E801" s="115" t="s">
        <v>1592</v>
      </c>
      <c r="F801" s="116">
        <v>100</v>
      </c>
      <c r="G801" s="116">
        <v>100.01179999999999</v>
      </c>
      <c r="H801" s="116">
        <v>4.24</v>
      </c>
      <c r="I801" s="113">
        <v>299</v>
      </c>
      <c r="J801" s="115" t="s">
        <v>271</v>
      </c>
    </row>
    <row r="802" spans="1:10" x14ac:dyDescent="0.25">
      <c r="A802" s="113">
        <v>799</v>
      </c>
      <c r="B802" s="114" t="s">
        <v>1593</v>
      </c>
      <c r="C802" s="115" t="s">
        <v>1594</v>
      </c>
      <c r="D802" s="115" t="s">
        <v>461</v>
      </c>
      <c r="E802" s="115" t="s">
        <v>1592</v>
      </c>
      <c r="F802" s="116">
        <v>100</v>
      </c>
      <c r="G802" s="116">
        <v>100.08069999999999</v>
      </c>
      <c r="H802" s="116">
        <v>0.35</v>
      </c>
      <c r="I802" s="113">
        <v>97</v>
      </c>
      <c r="J802" s="115" t="s">
        <v>271</v>
      </c>
    </row>
    <row r="803" spans="1:10" x14ac:dyDescent="0.25">
      <c r="A803" s="113">
        <v>800</v>
      </c>
      <c r="B803" s="114" t="s">
        <v>1595</v>
      </c>
      <c r="C803" s="115" t="s">
        <v>1596</v>
      </c>
      <c r="D803" s="115" t="s">
        <v>461</v>
      </c>
      <c r="E803" s="115" t="s">
        <v>1592</v>
      </c>
      <c r="F803" s="116">
        <v>100</v>
      </c>
      <c r="G803" s="116">
        <v>100.07680000000001</v>
      </c>
      <c r="H803" s="116">
        <v>0.35</v>
      </c>
      <c r="I803" s="113">
        <v>281</v>
      </c>
      <c r="J803" s="115" t="s">
        <v>271</v>
      </c>
    </row>
    <row r="804" spans="1:10" x14ac:dyDescent="0.25">
      <c r="A804" s="113">
        <v>801</v>
      </c>
      <c r="B804" s="114" t="s">
        <v>2220</v>
      </c>
      <c r="C804" s="115" t="s">
        <v>2221</v>
      </c>
      <c r="D804" s="115" t="s">
        <v>461</v>
      </c>
      <c r="E804" s="115" t="s">
        <v>1592</v>
      </c>
      <c r="F804" s="116">
        <v>100</v>
      </c>
      <c r="G804" s="116">
        <v>100.0826</v>
      </c>
      <c r="H804" s="116">
        <v>0.35</v>
      </c>
      <c r="I804" s="113">
        <v>635</v>
      </c>
      <c r="J804" s="115" t="s">
        <v>271</v>
      </c>
    </row>
    <row r="805" spans="1:10" x14ac:dyDescent="0.25">
      <c r="A805" s="113">
        <v>802</v>
      </c>
      <c r="B805" s="114" t="s">
        <v>1597</v>
      </c>
      <c r="C805" s="115" t="s">
        <v>1598</v>
      </c>
      <c r="D805" s="115" t="s">
        <v>461</v>
      </c>
      <c r="E805" s="115" t="s">
        <v>1592</v>
      </c>
      <c r="F805" s="116">
        <v>100</v>
      </c>
      <c r="G805" s="116">
        <v>100.0009</v>
      </c>
      <c r="H805" s="116">
        <v>0.02</v>
      </c>
      <c r="I805" s="113">
        <v>3098</v>
      </c>
      <c r="J805" s="115" t="s">
        <v>271</v>
      </c>
    </row>
    <row r="806" spans="1:10" x14ac:dyDescent="0.25">
      <c r="A806" s="113">
        <v>803</v>
      </c>
      <c r="B806" s="114" t="s">
        <v>1599</v>
      </c>
      <c r="C806" s="115" t="s">
        <v>1600</v>
      </c>
      <c r="D806" s="115" t="s">
        <v>461</v>
      </c>
      <c r="E806" s="115" t="s">
        <v>1592</v>
      </c>
      <c r="F806" s="116">
        <v>100</v>
      </c>
      <c r="G806" s="116">
        <v>100.9658</v>
      </c>
      <c r="H806" s="116">
        <v>6.08</v>
      </c>
      <c r="I806" s="113">
        <v>1713</v>
      </c>
      <c r="J806" s="115" t="s">
        <v>271</v>
      </c>
    </row>
    <row r="807" spans="1:10" x14ac:dyDescent="0.25">
      <c r="A807" s="113">
        <v>804</v>
      </c>
      <c r="B807" s="114" t="s">
        <v>1601</v>
      </c>
      <c r="C807" s="115" t="s">
        <v>1602</v>
      </c>
      <c r="D807" s="115" t="s">
        <v>461</v>
      </c>
      <c r="E807" s="115" t="s">
        <v>1592</v>
      </c>
      <c r="F807" s="116">
        <v>100</v>
      </c>
      <c r="G807" s="116">
        <v>105.8181</v>
      </c>
      <c r="H807" s="116">
        <v>7.08</v>
      </c>
      <c r="I807" s="113">
        <v>2195</v>
      </c>
      <c r="J807" s="115" t="s">
        <v>271</v>
      </c>
    </row>
    <row r="808" spans="1:10" x14ac:dyDescent="0.25">
      <c r="A808" s="113">
        <v>805</v>
      </c>
      <c r="B808" s="114" t="s">
        <v>2333</v>
      </c>
      <c r="C808" s="115" t="s">
        <v>2334</v>
      </c>
      <c r="D808" s="115" t="s">
        <v>461</v>
      </c>
      <c r="E808" s="115" t="s">
        <v>1592</v>
      </c>
      <c r="F808" s="116">
        <v>90.565361604314802</v>
      </c>
      <c r="G808" s="116">
        <v>92.284261604314807</v>
      </c>
      <c r="H808" s="116">
        <v>20.46</v>
      </c>
      <c r="I808" s="113">
        <v>3566</v>
      </c>
      <c r="J808" s="115" t="s">
        <v>271</v>
      </c>
    </row>
    <row r="809" spans="1:10" x14ac:dyDescent="0.25">
      <c r="A809" s="113">
        <v>806</v>
      </c>
      <c r="B809" s="114" t="s">
        <v>1603</v>
      </c>
      <c r="C809" s="115" t="s">
        <v>1604</v>
      </c>
      <c r="D809" s="115" t="s">
        <v>461</v>
      </c>
      <c r="E809" s="115" t="s">
        <v>1592</v>
      </c>
      <c r="F809" s="116">
        <v>100</v>
      </c>
      <c r="G809" s="116">
        <v>100.1356</v>
      </c>
      <c r="H809" s="116">
        <v>6.09</v>
      </c>
      <c r="I809" s="113">
        <v>2122</v>
      </c>
      <c r="J809" s="115" t="s">
        <v>271</v>
      </c>
    </row>
    <row r="810" spans="1:10" x14ac:dyDescent="0.25">
      <c r="A810" s="113">
        <v>807</v>
      </c>
      <c r="B810" s="114" t="s">
        <v>1605</v>
      </c>
      <c r="C810" s="115" t="s">
        <v>1606</v>
      </c>
      <c r="D810" s="115" t="s">
        <v>461</v>
      </c>
      <c r="E810" s="115" t="s">
        <v>1592</v>
      </c>
      <c r="F810" s="116">
        <v>100</v>
      </c>
      <c r="G810" s="116">
        <v>105.08329999999999</v>
      </c>
      <c r="H810" s="116">
        <v>6.08</v>
      </c>
      <c r="I810" s="113">
        <v>2550</v>
      </c>
      <c r="J810" s="115" t="s">
        <v>271</v>
      </c>
    </row>
    <row r="811" spans="1:10" x14ac:dyDescent="0.25">
      <c r="A811" s="113">
        <v>808</v>
      </c>
      <c r="B811" s="114" t="s">
        <v>1607</v>
      </c>
      <c r="C811" s="115" t="s">
        <v>1608</v>
      </c>
      <c r="D811" s="115" t="s">
        <v>461</v>
      </c>
      <c r="E811" s="115" t="s">
        <v>1592</v>
      </c>
      <c r="F811" s="116">
        <v>100</v>
      </c>
      <c r="G811" s="116">
        <v>105.08329999999999</v>
      </c>
      <c r="H811" s="116">
        <v>6.08</v>
      </c>
      <c r="I811" s="113">
        <v>2550</v>
      </c>
      <c r="J811" s="115" t="s">
        <v>271</v>
      </c>
    </row>
    <row r="812" spans="1:10" x14ac:dyDescent="0.25">
      <c r="A812" s="113">
        <v>809</v>
      </c>
      <c r="B812" s="114" t="s">
        <v>1609</v>
      </c>
      <c r="C812" s="115" t="s">
        <v>1610</v>
      </c>
      <c r="D812" s="115" t="s">
        <v>461</v>
      </c>
      <c r="E812" s="115" t="s">
        <v>1592</v>
      </c>
      <c r="F812" s="116">
        <v>100</v>
      </c>
      <c r="G812" s="116">
        <v>103.9481</v>
      </c>
      <c r="H812" s="116">
        <v>6.08</v>
      </c>
      <c r="I812" s="113">
        <v>2617</v>
      </c>
      <c r="J812" s="115" t="s">
        <v>271</v>
      </c>
    </row>
    <row r="813" spans="1:10" x14ac:dyDescent="0.25">
      <c r="A813" s="113">
        <v>810</v>
      </c>
      <c r="B813" s="114" t="s">
        <v>1611</v>
      </c>
      <c r="C813" s="115" t="s">
        <v>1612</v>
      </c>
      <c r="D813" s="115" t="s">
        <v>451</v>
      </c>
      <c r="E813" s="115" t="s">
        <v>1613</v>
      </c>
      <c r="F813" s="116">
        <v>36315.526800000007</v>
      </c>
      <c r="G813" s="116">
        <v>36315.526800000007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1614</v>
      </c>
      <c r="C814" s="115" t="s">
        <v>1615</v>
      </c>
      <c r="D814" s="115" t="s">
        <v>451</v>
      </c>
      <c r="E814" s="115" t="s">
        <v>1616</v>
      </c>
      <c r="F814" s="116">
        <v>0.01</v>
      </c>
      <c r="G814" s="116">
        <v>0.01</v>
      </c>
      <c r="H814" s="116">
        <v>0</v>
      </c>
      <c r="I814" s="113">
        <v>0</v>
      </c>
      <c r="J814" s="115" t="s">
        <v>240</v>
      </c>
    </row>
    <row r="815" spans="1:10" x14ac:dyDescent="0.25">
      <c r="A815" s="113">
        <v>812</v>
      </c>
      <c r="B815" s="114" t="s">
        <v>1617</v>
      </c>
      <c r="C815" s="115" t="s">
        <v>1618</v>
      </c>
      <c r="D815" s="115" t="s">
        <v>461</v>
      </c>
      <c r="E815" s="115" t="s">
        <v>1619</v>
      </c>
      <c r="F815" s="116">
        <v>99.111000000000004</v>
      </c>
      <c r="G815" s="116">
        <v>99.833200000000005</v>
      </c>
      <c r="H815" s="116">
        <v>4.42</v>
      </c>
      <c r="I815" s="113">
        <v>280</v>
      </c>
      <c r="J815" s="115" t="s">
        <v>271</v>
      </c>
    </row>
    <row r="816" spans="1:10" x14ac:dyDescent="0.25">
      <c r="A816" s="113">
        <v>813</v>
      </c>
      <c r="B816" s="114" t="s">
        <v>1620</v>
      </c>
      <c r="C816" s="115" t="s">
        <v>1621</v>
      </c>
      <c r="D816" s="115" t="s">
        <v>461</v>
      </c>
      <c r="E816" s="115" t="s">
        <v>1619</v>
      </c>
      <c r="F816" s="116">
        <v>98.456000000000003</v>
      </c>
      <c r="G816" s="116">
        <v>99.768500000000003</v>
      </c>
      <c r="H816" s="116">
        <v>4.12</v>
      </c>
      <c r="I816" s="113">
        <v>1674</v>
      </c>
      <c r="J816" s="115" t="s">
        <v>271</v>
      </c>
    </row>
    <row r="817" spans="1:10" x14ac:dyDescent="0.25">
      <c r="A817" s="113">
        <v>814</v>
      </c>
      <c r="B817" s="114" t="s">
        <v>1622</v>
      </c>
      <c r="C817" s="115" t="s">
        <v>1623</v>
      </c>
      <c r="D817" s="115" t="s">
        <v>461</v>
      </c>
      <c r="E817" s="115" t="s">
        <v>1619</v>
      </c>
      <c r="F817" s="116">
        <v>99.751000000000005</v>
      </c>
      <c r="G817" s="116">
        <v>101.50660000000001</v>
      </c>
      <c r="H817" s="116">
        <v>4.08</v>
      </c>
      <c r="I817" s="113">
        <v>1282</v>
      </c>
      <c r="J817" s="115" t="s">
        <v>271</v>
      </c>
    </row>
    <row r="818" spans="1:10" x14ac:dyDescent="0.25">
      <c r="A818" s="113">
        <v>815</v>
      </c>
      <c r="B818" s="114" t="s">
        <v>1624</v>
      </c>
      <c r="C818" s="115" t="s">
        <v>1625</v>
      </c>
      <c r="D818" s="115" t="s">
        <v>461</v>
      </c>
      <c r="E818" s="115" t="s">
        <v>1619</v>
      </c>
      <c r="F818" s="116">
        <v>101.202</v>
      </c>
      <c r="G818" s="116">
        <v>102.6895</v>
      </c>
      <c r="H818" s="116">
        <v>4.0199999999999996</v>
      </c>
      <c r="I818" s="113">
        <v>961</v>
      </c>
      <c r="J818" s="115" t="s">
        <v>271</v>
      </c>
    </row>
    <row r="819" spans="1:10" x14ac:dyDescent="0.25">
      <c r="A819" s="113">
        <v>816</v>
      </c>
      <c r="B819" s="114" t="s">
        <v>1626</v>
      </c>
      <c r="C819" s="115" t="s">
        <v>1627</v>
      </c>
      <c r="D819" s="115" t="s">
        <v>451</v>
      </c>
      <c r="E819" s="115" t="s">
        <v>1628</v>
      </c>
      <c r="F819" s="116">
        <v>83172.016900000017</v>
      </c>
      <c r="G819" s="116">
        <v>83172.016900000017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1629</v>
      </c>
      <c r="C820" s="115" t="s">
        <v>1630</v>
      </c>
      <c r="D820" s="115" t="s">
        <v>761</v>
      </c>
      <c r="E820" s="115" t="s">
        <v>1631</v>
      </c>
      <c r="F820" s="116">
        <v>303973.21500000008</v>
      </c>
      <c r="G820" s="116">
        <v>303973.21500000008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1632</v>
      </c>
      <c r="C821" s="115" t="s">
        <v>1633</v>
      </c>
      <c r="D821" s="115" t="s">
        <v>451</v>
      </c>
      <c r="E821" s="115" t="s">
        <v>1634</v>
      </c>
      <c r="F821" s="116">
        <v>17000.39</v>
      </c>
      <c r="G821" s="116">
        <v>17000.39</v>
      </c>
      <c r="H821" s="116">
        <v>0</v>
      </c>
      <c r="I821" s="113">
        <v>0</v>
      </c>
      <c r="J821" s="115" t="s">
        <v>240</v>
      </c>
    </row>
    <row r="822" spans="1:10" x14ac:dyDescent="0.25">
      <c r="A822" s="113">
        <v>819</v>
      </c>
      <c r="B822" s="114" t="s">
        <v>1635</v>
      </c>
      <c r="C822" s="115" t="s">
        <v>1636</v>
      </c>
      <c r="D822" s="115" t="s">
        <v>461</v>
      </c>
      <c r="E822" s="115" t="s">
        <v>1637</v>
      </c>
      <c r="F822" s="116">
        <v>96.299414295659318</v>
      </c>
      <c r="G822" s="116">
        <v>101.88271429565933</v>
      </c>
      <c r="H822" s="116">
        <v>31.53</v>
      </c>
      <c r="I822" s="113">
        <v>1643</v>
      </c>
      <c r="J822" s="115" t="s">
        <v>271</v>
      </c>
    </row>
    <row r="823" spans="1:10" x14ac:dyDescent="0.25">
      <c r="A823" s="113">
        <v>820</v>
      </c>
      <c r="B823" s="114" t="s">
        <v>1638</v>
      </c>
      <c r="C823" s="115" t="s">
        <v>1639</v>
      </c>
      <c r="D823" s="115" t="s">
        <v>461</v>
      </c>
      <c r="E823" s="115" t="s">
        <v>1640</v>
      </c>
      <c r="F823" s="116">
        <v>73.579971153264196</v>
      </c>
      <c r="G823" s="116">
        <v>77.468871153264189</v>
      </c>
      <c r="H823" s="116">
        <v>29.77</v>
      </c>
      <c r="I823" s="113">
        <v>2090</v>
      </c>
      <c r="J823" s="115" t="s">
        <v>271</v>
      </c>
    </row>
    <row r="824" spans="1:10" x14ac:dyDescent="0.25">
      <c r="A824" s="113">
        <v>821</v>
      </c>
      <c r="B824" s="114" t="s">
        <v>1641</v>
      </c>
      <c r="C824" s="115" t="s">
        <v>1642</v>
      </c>
      <c r="D824" s="115" t="s">
        <v>461</v>
      </c>
      <c r="E824" s="115" t="s">
        <v>1640</v>
      </c>
      <c r="F824" s="116">
        <v>70.773443021333819</v>
      </c>
      <c r="G824" s="116">
        <v>74.773443021333819</v>
      </c>
      <c r="H824" s="116">
        <v>29.77</v>
      </c>
      <c r="I824" s="113">
        <v>2808</v>
      </c>
      <c r="J824" s="115" t="s">
        <v>271</v>
      </c>
    </row>
    <row r="825" spans="1:10" x14ac:dyDescent="0.25">
      <c r="A825" s="113">
        <v>822</v>
      </c>
      <c r="B825" s="114" t="s">
        <v>1643</v>
      </c>
      <c r="C825" s="115" t="s">
        <v>1644</v>
      </c>
      <c r="D825" s="115" t="s">
        <v>451</v>
      </c>
      <c r="E825" s="115" t="s">
        <v>1645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1646</v>
      </c>
      <c r="C826" s="115" t="s">
        <v>1647</v>
      </c>
      <c r="D826" s="115" t="s">
        <v>451</v>
      </c>
      <c r="E826" s="115" t="s">
        <v>1645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1659</v>
      </c>
      <c r="C827" s="115" t="s">
        <v>1660</v>
      </c>
      <c r="D827" s="115" t="s">
        <v>451</v>
      </c>
      <c r="E827" s="115" t="s">
        <v>1661</v>
      </c>
      <c r="F827" s="116">
        <v>34400</v>
      </c>
      <c r="G827" s="116">
        <v>34400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1662</v>
      </c>
      <c r="C828" s="115" t="s">
        <v>1663</v>
      </c>
      <c r="D828" s="115" t="s">
        <v>451</v>
      </c>
      <c r="E828" s="115" t="s">
        <v>1661</v>
      </c>
      <c r="F828" s="116">
        <v>17800</v>
      </c>
      <c r="G828" s="116">
        <v>17800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1664</v>
      </c>
      <c r="C829" s="115" t="s">
        <v>1665</v>
      </c>
      <c r="D829" s="115" t="s">
        <v>451</v>
      </c>
      <c r="E829" s="115" t="s">
        <v>1666</v>
      </c>
      <c r="F829" s="116">
        <v>1000</v>
      </c>
      <c r="G829" s="116">
        <v>1000</v>
      </c>
      <c r="H829" s="116">
        <v>0</v>
      </c>
      <c r="I829" s="113">
        <v>244</v>
      </c>
      <c r="J829" s="115" t="s">
        <v>240</v>
      </c>
    </row>
    <row r="830" spans="1:10" x14ac:dyDescent="0.25">
      <c r="A830" s="113">
        <v>827</v>
      </c>
      <c r="B830" s="114" t="s">
        <v>1667</v>
      </c>
      <c r="C830" s="115" t="s">
        <v>1668</v>
      </c>
      <c r="D830" s="115" t="s">
        <v>451</v>
      </c>
      <c r="E830" s="115" t="s">
        <v>1669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1670</v>
      </c>
      <c r="C831" s="115" t="s">
        <v>1671</v>
      </c>
      <c r="D831" s="115" t="s">
        <v>451</v>
      </c>
      <c r="E831" s="115" t="s">
        <v>1672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1673</v>
      </c>
      <c r="C832" s="115" t="s">
        <v>1674</v>
      </c>
      <c r="D832" s="115" t="s">
        <v>451</v>
      </c>
      <c r="E832" s="115" t="s">
        <v>1672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240</v>
      </c>
    </row>
    <row r="833" spans="1:10" x14ac:dyDescent="0.25">
      <c r="A833" s="113">
        <v>830</v>
      </c>
      <c r="B833" s="114" t="s">
        <v>1648</v>
      </c>
      <c r="C833" s="115" t="s">
        <v>1649</v>
      </c>
      <c r="D833" s="115" t="s">
        <v>461</v>
      </c>
      <c r="E833" s="115" t="s">
        <v>1650</v>
      </c>
      <c r="F833" s="116">
        <v>98.564113579649415</v>
      </c>
      <c r="G833" s="116">
        <v>100.25581357964941</v>
      </c>
      <c r="H833" s="116">
        <v>4.2300000000000004</v>
      </c>
      <c r="I833" s="113">
        <v>912</v>
      </c>
      <c r="J833" s="115" t="s">
        <v>271</v>
      </c>
    </row>
    <row r="834" spans="1:10" x14ac:dyDescent="0.25">
      <c r="A834" s="113">
        <v>831</v>
      </c>
      <c r="B834" s="114" t="s">
        <v>1651</v>
      </c>
      <c r="C834" s="115" t="s">
        <v>1652</v>
      </c>
      <c r="D834" s="115" t="s">
        <v>461</v>
      </c>
      <c r="E834" s="115" t="s">
        <v>1650</v>
      </c>
      <c r="F834" s="116">
        <v>100.40919930206299</v>
      </c>
      <c r="G834" s="116">
        <v>101.94049930206299</v>
      </c>
      <c r="H834" s="116">
        <v>4.25</v>
      </c>
      <c r="I834" s="113">
        <v>1314</v>
      </c>
      <c r="J834" s="115" t="s">
        <v>271</v>
      </c>
    </row>
    <row r="835" spans="1:10" x14ac:dyDescent="0.25">
      <c r="A835" s="113">
        <v>832</v>
      </c>
      <c r="B835" s="114" t="s">
        <v>1653</v>
      </c>
      <c r="C835" s="115" t="s">
        <v>1654</v>
      </c>
      <c r="D835" s="115" t="s">
        <v>461</v>
      </c>
      <c r="E835" s="115" t="s">
        <v>1650</v>
      </c>
      <c r="F835" s="116">
        <v>97.533000000000001</v>
      </c>
      <c r="G835" s="116">
        <v>97.664900000000003</v>
      </c>
      <c r="H835" s="116">
        <v>4.28</v>
      </c>
      <c r="I835" s="113">
        <v>521</v>
      </c>
      <c r="J835" s="115" t="s">
        <v>271</v>
      </c>
    </row>
    <row r="836" spans="1:10" x14ac:dyDescent="0.25">
      <c r="A836" s="113">
        <v>833</v>
      </c>
      <c r="B836" s="114" t="s">
        <v>1655</v>
      </c>
      <c r="C836" s="115" t="s">
        <v>1656</v>
      </c>
      <c r="D836" s="115" t="s">
        <v>461</v>
      </c>
      <c r="E836" s="115" t="s">
        <v>1650</v>
      </c>
      <c r="F836" s="116">
        <v>98.8</v>
      </c>
      <c r="G836" s="116">
        <v>99.847200000000001</v>
      </c>
      <c r="H836" s="116">
        <v>4.3</v>
      </c>
      <c r="I836" s="113">
        <v>424</v>
      </c>
      <c r="J836" s="115" t="s">
        <v>271</v>
      </c>
    </row>
    <row r="837" spans="1:10" x14ac:dyDescent="0.25">
      <c r="A837" s="113">
        <v>834</v>
      </c>
      <c r="B837" s="114" t="s">
        <v>1657</v>
      </c>
      <c r="C837" s="115" t="s">
        <v>1658</v>
      </c>
      <c r="D837" s="115" t="s">
        <v>451</v>
      </c>
      <c r="E837" s="115" t="s">
        <v>1650</v>
      </c>
      <c r="F837" s="116">
        <v>532.12244820000012</v>
      </c>
      <c r="G837" s="116">
        <v>532.12244820000012</v>
      </c>
      <c r="H837" s="116">
        <v>0</v>
      </c>
      <c r="I837" s="113">
        <v>598</v>
      </c>
      <c r="J837" s="115" t="s">
        <v>240</v>
      </c>
    </row>
    <row r="838" spans="1:10" x14ac:dyDescent="0.25">
      <c r="A838" s="113">
        <v>835</v>
      </c>
      <c r="B838" s="114" t="s">
        <v>1675</v>
      </c>
      <c r="C838" s="115" t="s">
        <v>1676</v>
      </c>
      <c r="D838" s="115" t="s">
        <v>451</v>
      </c>
      <c r="E838" s="115" t="s">
        <v>1677</v>
      </c>
      <c r="F838" s="116">
        <v>47587.530900000012</v>
      </c>
      <c r="G838" s="116">
        <v>47587.530900000012</v>
      </c>
      <c r="H838" s="116">
        <v>0</v>
      </c>
      <c r="I838" s="113">
        <v>0</v>
      </c>
      <c r="J838" s="115" t="s">
        <v>240</v>
      </c>
    </row>
    <row r="839" spans="1:10" x14ac:dyDescent="0.25">
      <c r="A839" s="113">
        <v>836</v>
      </c>
      <c r="B839" s="114" t="s">
        <v>2016</v>
      </c>
      <c r="C839" s="115" t="s">
        <v>2017</v>
      </c>
      <c r="D839" s="115" t="s">
        <v>461</v>
      </c>
      <c r="E839" s="115" t="s">
        <v>2018</v>
      </c>
      <c r="F839" s="116">
        <v>94.635903444758071</v>
      </c>
      <c r="G839" s="116">
        <v>95.873403444758068</v>
      </c>
      <c r="H839" s="116">
        <v>23.18</v>
      </c>
      <c r="I839" s="113">
        <v>878</v>
      </c>
      <c r="J839" s="115" t="s">
        <v>271</v>
      </c>
    </row>
    <row r="840" spans="1:10" x14ac:dyDescent="0.25">
      <c r="A840" s="113">
        <v>837</v>
      </c>
      <c r="B840" s="114" t="s">
        <v>2419</v>
      </c>
      <c r="C840" s="115" t="s">
        <v>2420</v>
      </c>
      <c r="D840" s="115" t="s">
        <v>451</v>
      </c>
      <c r="E840" s="115" t="s">
        <v>2018</v>
      </c>
      <c r="F840" s="116">
        <v>967.9</v>
      </c>
      <c r="G840" s="116">
        <v>967.9</v>
      </c>
      <c r="H840" s="116">
        <v>0</v>
      </c>
      <c r="I840" s="113">
        <v>0</v>
      </c>
      <c r="J840" s="115" t="s">
        <v>240</v>
      </c>
    </row>
    <row r="841" spans="1:10" x14ac:dyDescent="0.25">
      <c r="A841" s="113">
        <v>838</v>
      </c>
      <c r="B841" s="114" t="s">
        <v>1678</v>
      </c>
      <c r="C841" s="115" t="s">
        <v>1679</v>
      </c>
      <c r="D841" s="115" t="s">
        <v>461</v>
      </c>
      <c r="E841" s="115" t="s">
        <v>1680</v>
      </c>
      <c r="F841" s="116">
        <v>100</v>
      </c>
      <c r="G841" s="116">
        <v>100.3424</v>
      </c>
      <c r="H841" s="116">
        <v>4.24</v>
      </c>
      <c r="I841" s="113">
        <v>271</v>
      </c>
      <c r="J841" s="115" t="s">
        <v>271</v>
      </c>
    </row>
    <row r="842" spans="1:10" x14ac:dyDescent="0.25">
      <c r="A842" s="113">
        <v>839</v>
      </c>
      <c r="B842" s="114" t="s">
        <v>2147</v>
      </c>
      <c r="C842" s="115" t="s">
        <v>2148</v>
      </c>
      <c r="D842" s="115" t="s">
        <v>461</v>
      </c>
      <c r="E842" s="115" t="s">
        <v>1680</v>
      </c>
      <c r="F842" s="116">
        <v>100</v>
      </c>
      <c r="G842" s="116">
        <v>101.4639</v>
      </c>
      <c r="H842" s="116">
        <v>4.24</v>
      </c>
      <c r="I842" s="113">
        <v>536</v>
      </c>
      <c r="J842" s="115" t="s">
        <v>271</v>
      </c>
    </row>
    <row r="843" spans="1:10" x14ac:dyDescent="0.25">
      <c r="A843" s="113">
        <v>840</v>
      </c>
      <c r="B843" s="114" t="s">
        <v>1681</v>
      </c>
      <c r="C843" s="115" t="s">
        <v>1682</v>
      </c>
      <c r="D843" s="115" t="s">
        <v>461</v>
      </c>
      <c r="E843" s="115" t="s">
        <v>1680</v>
      </c>
      <c r="F843" s="116">
        <v>100</v>
      </c>
      <c r="G843" s="116">
        <v>100.0729</v>
      </c>
      <c r="H843" s="116">
        <v>0.35</v>
      </c>
      <c r="I843" s="113">
        <v>285</v>
      </c>
      <c r="J843" s="115" t="s">
        <v>271</v>
      </c>
    </row>
    <row r="844" spans="1:10" x14ac:dyDescent="0.25">
      <c r="A844" s="113">
        <v>841</v>
      </c>
      <c r="B844" s="114" t="s">
        <v>1683</v>
      </c>
      <c r="C844" s="115" t="s">
        <v>1684</v>
      </c>
      <c r="D844" s="115" t="s">
        <v>461</v>
      </c>
      <c r="E844" s="115" t="s">
        <v>1680</v>
      </c>
      <c r="F844" s="116">
        <v>95.619203001528646</v>
      </c>
      <c r="G844" s="116">
        <v>100.20920300152865</v>
      </c>
      <c r="H844" s="116">
        <v>19.14</v>
      </c>
      <c r="I844" s="113">
        <v>207</v>
      </c>
      <c r="J844" s="115" t="s">
        <v>271</v>
      </c>
    </row>
    <row r="845" spans="1:10" x14ac:dyDescent="0.25">
      <c r="A845" s="113">
        <v>842</v>
      </c>
      <c r="B845" s="114" t="s">
        <v>1685</v>
      </c>
      <c r="C845" s="115" t="s">
        <v>1686</v>
      </c>
      <c r="D845" s="115" t="s">
        <v>461</v>
      </c>
      <c r="E845" s="115" t="s">
        <v>1680</v>
      </c>
      <c r="F845" s="116">
        <v>100</v>
      </c>
      <c r="G845" s="116">
        <v>100.0009</v>
      </c>
      <c r="H845" s="116">
        <v>0.02</v>
      </c>
      <c r="I845" s="113">
        <v>3098</v>
      </c>
      <c r="J845" s="115" t="s">
        <v>271</v>
      </c>
    </row>
    <row r="846" spans="1:10" x14ac:dyDescent="0.25">
      <c r="A846" s="113">
        <v>843</v>
      </c>
      <c r="B846" s="114" t="s">
        <v>1687</v>
      </c>
      <c r="C846" s="115" t="s">
        <v>1688</v>
      </c>
      <c r="D846" s="115" t="s">
        <v>461</v>
      </c>
      <c r="E846" s="115" t="s">
        <v>1680</v>
      </c>
      <c r="F846" s="116">
        <v>100</v>
      </c>
      <c r="G846" s="116">
        <v>100.9658</v>
      </c>
      <c r="H846" s="116">
        <v>6.08</v>
      </c>
      <c r="I846" s="113">
        <v>1713</v>
      </c>
      <c r="J846" s="115" t="s">
        <v>271</v>
      </c>
    </row>
    <row r="847" spans="1:10" x14ac:dyDescent="0.25">
      <c r="A847" s="113">
        <v>844</v>
      </c>
      <c r="B847" s="114" t="s">
        <v>1689</v>
      </c>
      <c r="C847" s="115" t="s">
        <v>1690</v>
      </c>
      <c r="D847" s="115" t="s">
        <v>461</v>
      </c>
      <c r="E847" s="115" t="s">
        <v>1680</v>
      </c>
      <c r="F847" s="116">
        <v>100</v>
      </c>
      <c r="G847" s="116">
        <v>105.8181</v>
      </c>
      <c r="H847" s="116">
        <v>7.08</v>
      </c>
      <c r="I847" s="113">
        <v>2195</v>
      </c>
      <c r="J847" s="115" t="s">
        <v>271</v>
      </c>
    </row>
    <row r="848" spans="1:10" x14ac:dyDescent="0.25">
      <c r="A848" s="113">
        <v>845</v>
      </c>
      <c r="B848" s="114" t="s">
        <v>1691</v>
      </c>
      <c r="C848" s="115" t="s">
        <v>1692</v>
      </c>
      <c r="D848" s="115" t="s">
        <v>461</v>
      </c>
      <c r="E848" s="115" t="s">
        <v>1680</v>
      </c>
      <c r="F848" s="116">
        <v>100</v>
      </c>
      <c r="G848" s="116">
        <v>100.1356</v>
      </c>
      <c r="H848" s="116">
        <v>6.09</v>
      </c>
      <c r="I848" s="113">
        <v>2122</v>
      </c>
      <c r="J848" s="115" t="s">
        <v>271</v>
      </c>
    </row>
    <row r="849" spans="1:10" x14ac:dyDescent="0.25">
      <c r="A849" s="113">
        <v>846</v>
      </c>
      <c r="B849" s="114" t="s">
        <v>1693</v>
      </c>
      <c r="C849" s="115" t="s">
        <v>1694</v>
      </c>
      <c r="D849" s="115" t="s">
        <v>461</v>
      </c>
      <c r="E849" s="115" t="s">
        <v>1680</v>
      </c>
      <c r="F849" s="116">
        <v>100</v>
      </c>
      <c r="G849" s="116">
        <v>105.08329999999999</v>
      </c>
      <c r="H849" s="116">
        <v>6.08</v>
      </c>
      <c r="I849" s="113">
        <v>2550</v>
      </c>
      <c r="J849" s="115" t="s">
        <v>271</v>
      </c>
    </row>
    <row r="850" spans="1:10" x14ac:dyDescent="0.25">
      <c r="A850" s="113">
        <v>847</v>
      </c>
      <c r="B850" s="114" t="s">
        <v>1695</v>
      </c>
      <c r="C850" s="115" t="s">
        <v>1696</v>
      </c>
      <c r="D850" s="115" t="s">
        <v>461</v>
      </c>
      <c r="E850" s="115" t="s">
        <v>1680</v>
      </c>
      <c r="F850" s="116">
        <v>100</v>
      </c>
      <c r="G850" s="116">
        <v>105.08329999999999</v>
      </c>
      <c r="H850" s="116">
        <v>6.08</v>
      </c>
      <c r="I850" s="113">
        <v>2550</v>
      </c>
      <c r="J850" s="115" t="s">
        <v>271</v>
      </c>
    </row>
    <row r="851" spans="1:10" x14ac:dyDescent="0.25">
      <c r="A851" s="113">
        <v>848</v>
      </c>
      <c r="B851" s="114" t="s">
        <v>1697</v>
      </c>
      <c r="C851" s="115" t="s">
        <v>1698</v>
      </c>
      <c r="D851" s="115" t="s">
        <v>461</v>
      </c>
      <c r="E851" s="115" t="s">
        <v>1680</v>
      </c>
      <c r="F851" s="116">
        <v>100</v>
      </c>
      <c r="G851" s="116">
        <v>103.9481</v>
      </c>
      <c r="H851" s="116">
        <v>6.08</v>
      </c>
      <c r="I851" s="113">
        <v>2617</v>
      </c>
      <c r="J851" s="115" t="s">
        <v>271</v>
      </c>
    </row>
    <row r="852" spans="1:10" x14ac:dyDescent="0.25">
      <c r="A852" s="113">
        <v>849</v>
      </c>
      <c r="B852" s="114" t="s">
        <v>1699</v>
      </c>
      <c r="C852" s="115" t="s">
        <v>1700</v>
      </c>
      <c r="D852" s="115" t="s">
        <v>451</v>
      </c>
      <c r="E852" s="115" t="s">
        <v>1701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1702</v>
      </c>
      <c r="C853" s="115" t="s">
        <v>1703</v>
      </c>
      <c r="D853" s="115" t="s">
        <v>451</v>
      </c>
      <c r="E853" s="115" t="s">
        <v>1704</v>
      </c>
      <c r="F853" s="116">
        <v>0.01</v>
      </c>
      <c r="G853" s="116">
        <v>0.01</v>
      </c>
      <c r="H853" s="116">
        <v>0</v>
      </c>
      <c r="I853" s="113">
        <v>0</v>
      </c>
      <c r="J853" s="115" t="s">
        <v>240</v>
      </c>
    </row>
    <row r="854" spans="1:10" x14ac:dyDescent="0.25">
      <c r="A854" s="113">
        <v>851</v>
      </c>
      <c r="B854" s="114" t="s">
        <v>1705</v>
      </c>
      <c r="C854" s="115" t="s">
        <v>1706</v>
      </c>
      <c r="D854" s="115" t="s">
        <v>461</v>
      </c>
      <c r="E854" s="115" t="s">
        <v>1707</v>
      </c>
      <c r="F854" s="116">
        <v>92.216093581469309</v>
      </c>
      <c r="G854" s="116">
        <v>93.361893581469303</v>
      </c>
      <c r="H854" s="116">
        <v>20.309999999999999</v>
      </c>
      <c r="I854" s="113">
        <v>510</v>
      </c>
      <c r="J854" s="115" t="s">
        <v>271</v>
      </c>
    </row>
    <row r="855" spans="1:10" x14ac:dyDescent="0.25">
      <c r="A855" s="113">
        <v>852</v>
      </c>
      <c r="B855" s="114" t="s">
        <v>1708</v>
      </c>
      <c r="C855" s="115" t="s">
        <v>1709</v>
      </c>
      <c r="D855" s="115" t="s">
        <v>461</v>
      </c>
      <c r="E855" s="115" t="s">
        <v>1710</v>
      </c>
      <c r="F855" s="116">
        <v>100</v>
      </c>
      <c r="G855" s="116">
        <v>100.1215</v>
      </c>
      <c r="H855" s="116">
        <v>0.35</v>
      </c>
      <c r="I855" s="113">
        <v>55</v>
      </c>
      <c r="J855" s="115" t="s">
        <v>271</v>
      </c>
    </row>
    <row r="856" spans="1:10" x14ac:dyDescent="0.25">
      <c r="A856" s="113">
        <v>853</v>
      </c>
      <c r="B856" s="114" t="s">
        <v>1711</v>
      </c>
      <c r="C856" s="115" t="s">
        <v>1712</v>
      </c>
      <c r="D856" s="115" t="s">
        <v>461</v>
      </c>
      <c r="E856" s="115" t="s">
        <v>1710</v>
      </c>
      <c r="F856" s="116">
        <v>100</v>
      </c>
      <c r="G856" s="116">
        <v>100.08069999999999</v>
      </c>
      <c r="H856" s="116">
        <v>0.35</v>
      </c>
      <c r="I856" s="113">
        <v>97</v>
      </c>
      <c r="J856" s="115" t="s">
        <v>271</v>
      </c>
    </row>
    <row r="857" spans="1:10" x14ac:dyDescent="0.25">
      <c r="A857" s="113">
        <v>854</v>
      </c>
      <c r="B857" s="114" t="s">
        <v>1713</v>
      </c>
      <c r="C857" s="115" t="s">
        <v>1714</v>
      </c>
      <c r="D857" s="115" t="s">
        <v>461</v>
      </c>
      <c r="E857" s="115" t="s">
        <v>1710</v>
      </c>
      <c r="F857" s="116">
        <v>100</v>
      </c>
      <c r="G857" s="116">
        <v>100.0729</v>
      </c>
      <c r="H857" s="116">
        <v>0.35</v>
      </c>
      <c r="I857" s="113">
        <v>285</v>
      </c>
      <c r="J857" s="115" t="s">
        <v>271</v>
      </c>
    </row>
    <row r="858" spans="1:10" x14ac:dyDescent="0.25">
      <c r="A858" s="113">
        <v>855</v>
      </c>
      <c r="B858" s="114" t="s">
        <v>1715</v>
      </c>
      <c r="C858" s="115" t="s">
        <v>1716</v>
      </c>
      <c r="D858" s="115" t="s">
        <v>461</v>
      </c>
      <c r="E858" s="115" t="s">
        <v>1710</v>
      </c>
      <c r="F858" s="116">
        <v>100</v>
      </c>
      <c r="G858" s="116">
        <v>100.0162</v>
      </c>
      <c r="H858" s="116">
        <v>0.02</v>
      </c>
      <c r="I858" s="113">
        <v>3098</v>
      </c>
      <c r="J858" s="115" t="s">
        <v>271</v>
      </c>
    </row>
    <row r="859" spans="1:10" x14ac:dyDescent="0.25">
      <c r="A859" s="113">
        <v>856</v>
      </c>
      <c r="B859" s="114" t="s">
        <v>1717</v>
      </c>
      <c r="C859" s="115" t="s">
        <v>1718</v>
      </c>
      <c r="D859" s="115" t="s">
        <v>461</v>
      </c>
      <c r="E859" s="115" t="s">
        <v>1710</v>
      </c>
      <c r="F859" s="116">
        <v>100</v>
      </c>
      <c r="G859" s="116">
        <v>100.9658</v>
      </c>
      <c r="H859" s="116">
        <v>6.08</v>
      </c>
      <c r="I859" s="113">
        <v>1713</v>
      </c>
      <c r="J859" s="115" t="s">
        <v>271</v>
      </c>
    </row>
    <row r="860" spans="1:10" x14ac:dyDescent="0.25">
      <c r="A860" s="113">
        <v>857</v>
      </c>
      <c r="B860" s="114" t="s">
        <v>1719</v>
      </c>
      <c r="C860" s="115" t="s">
        <v>1720</v>
      </c>
      <c r="D860" s="115" t="s">
        <v>461</v>
      </c>
      <c r="E860" s="115" t="s">
        <v>1710</v>
      </c>
      <c r="F860" s="116">
        <v>100</v>
      </c>
      <c r="G860" s="116">
        <v>105.8181</v>
      </c>
      <c r="H860" s="116">
        <v>7.08</v>
      </c>
      <c r="I860" s="113">
        <v>2195</v>
      </c>
      <c r="J860" s="115" t="s">
        <v>271</v>
      </c>
    </row>
    <row r="861" spans="1:10" x14ac:dyDescent="0.25">
      <c r="A861" s="113">
        <v>858</v>
      </c>
      <c r="B861" s="114" t="s">
        <v>2335</v>
      </c>
      <c r="C861" s="115" t="s">
        <v>2336</v>
      </c>
      <c r="D861" s="115" t="s">
        <v>461</v>
      </c>
      <c r="E861" s="115" t="s">
        <v>1710</v>
      </c>
      <c r="F861" s="116">
        <v>90.565361604314802</v>
      </c>
      <c r="G861" s="116">
        <v>92.284261604314807</v>
      </c>
      <c r="H861" s="116">
        <v>20.46</v>
      </c>
      <c r="I861" s="113">
        <v>3566</v>
      </c>
      <c r="J861" s="115" t="s">
        <v>271</v>
      </c>
    </row>
    <row r="862" spans="1:10" x14ac:dyDescent="0.25">
      <c r="A862" s="113">
        <v>859</v>
      </c>
      <c r="B862" s="114" t="s">
        <v>2406</v>
      </c>
      <c r="C862" s="115" t="s">
        <v>2407</v>
      </c>
      <c r="D862" s="115" t="s">
        <v>461</v>
      </c>
      <c r="E862" s="115" t="s">
        <v>1710</v>
      </c>
      <c r="F862" s="116">
        <v>90.5614830951546</v>
      </c>
      <c r="G862" s="116">
        <v>91.673683095154601</v>
      </c>
      <c r="H862" s="116">
        <v>20.47</v>
      </c>
      <c r="I862" s="113">
        <v>3578</v>
      </c>
      <c r="J862" s="115" t="s">
        <v>271</v>
      </c>
    </row>
    <row r="863" spans="1:10" x14ac:dyDescent="0.25">
      <c r="A863" s="113">
        <v>860</v>
      </c>
      <c r="B863" s="114" t="s">
        <v>1721</v>
      </c>
      <c r="C863" s="115" t="s">
        <v>1722</v>
      </c>
      <c r="D863" s="115" t="s">
        <v>461</v>
      </c>
      <c r="E863" s="115" t="s">
        <v>1710</v>
      </c>
      <c r="F863" s="116">
        <v>100</v>
      </c>
      <c r="G863" s="116">
        <v>100.1356</v>
      </c>
      <c r="H863" s="116">
        <v>6.09</v>
      </c>
      <c r="I863" s="113">
        <v>2122</v>
      </c>
      <c r="J863" s="115" t="s">
        <v>271</v>
      </c>
    </row>
    <row r="864" spans="1:10" x14ac:dyDescent="0.25">
      <c r="A864" s="113">
        <v>861</v>
      </c>
      <c r="B864" s="114" t="s">
        <v>1723</v>
      </c>
      <c r="C864" s="115" t="s">
        <v>1724</v>
      </c>
      <c r="D864" s="115" t="s">
        <v>461</v>
      </c>
      <c r="E864" s="115" t="s">
        <v>1710</v>
      </c>
      <c r="F864" s="116">
        <v>100</v>
      </c>
      <c r="G864" s="116">
        <v>105.08329999999999</v>
      </c>
      <c r="H864" s="116">
        <v>6.08</v>
      </c>
      <c r="I864" s="113">
        <v>2550</v>
      </c>
      <c r="J864" s="115" t="s">
        <v>271</v>
      </c>
    </row>
    <row r="865" spans="1:10" x14ac:dyDescent="0.25">
      <c r="A865" s="113">
        <v>862</v>
      </c>
      <c r="B865" s="114" t="s">
        <v>1725</v>
      </c>
      <c r="C865" s="115" t="s">
        <v>1726</v>
      </c>
      <c r="D865" s="115" t="s">
        <v>461</v>
      </c>
      <c r="E865" s="115" t="s">
        <v>1710</v>
      </c>
      <c r="F865" s="116">
        <v>100</v>
      </c>
      <c r="G865" s="116">
        <v>105.08329999999999</v>
      </c>
      <c r="H865" s="116">
        <v>6.08</v>
      </c>
      <c r="I865" s="113">
        <v>2550</v>
      </c>
      <c r="J865" s="115" t="s">
        <v>271</v>
      </c>
    </row>
    <row r="866" spans="1:10" x14ac:dyDescent="0.25">
      <c r="A866" s="113">
        <v>863</v>
      </c>
      <c r="B866" s="114" t="s">
        <v>1727</v>
      </c>
      <c r="C866" s="115" t="s">
        <v>1728</v>
      </c>
      <c r="D866" s="115" t="s">
        <v>461</v>
      </c>
      <c r="E866" s="115" t="s">
        <v>1710</v>
      </c>
      <c r="F866" s="116">
        <v>100</v>
      </c>
      <c r="G866" s="116">
        <v>103.9481</v>
      </c>
      <c r="H866" s="116">
        <v>6.08</v>
      </c>
      <c r="I866" s="113">
        <v>2617</v>
      </c>
      <c r="J866" s="115" t="s">
        <v>271</v>
      </c>
    </row>
    <row r="867" spans="1:10" x14ac:dyDescent="0.25">
      <c r="A867" s="113">
        <v>864</v>
      </c>
      <c r="B867" s="114" t="s">
        <v>428</v>
      </c>
      <c r="C867" s="115" t="s">
        <v>429</v>
      </c>
      <c r="D867" s="115" t="s">
        <v>461</v>
      </c>
      <c r="E867" s="115" t="s">
        <v>435</v>
      </c>
      <c r="F867" s="116">
        <v>90.417292703550117</v>
      </c>
      <c r="G867" s="116">
        <v>90.971492703550112</v>
      </c>
      <c r="H867" s="116">
        <v>16.440000000000001</v>
      </c>
      <c r="I867" s="113">
        <v>701</v>
      </c>
      <c r="J867" s="115" t="s">
        <v>271</v>
      </c>
    </row>
    <row r="868" spans="1:10" x14ac:dyDescent="0.25">
      <c r="A868" s="113">
        <v>865</v>
      </c>
      <c r="B868" s="114" t="s">
        <v>430</v>
      </c>
      <c r="C868" s="115" t="s">
        <v>431</v>
      </c>
      <c r="D868" s="115" t="s">
        <v>461</v>
      </c>
      <c r="E868" s="115" t="s">
        <v>435</v>
      </c>
      <c r="F868" s="116">
        <v>96.494849926743854</v>
      </c>
      <c r="G868" s="116">
        <v>97.128149926743845</v>
      </c>
      <c r="H868" s="116">
        <v>5.09</v>
      </c>
      <c r="I868" s="113">
        <v>426</v>
      </c>
      <c r="J868" s="115" t="s">
        <v>271</v>
      </c>
    </row>
    <row r="869" spans="1:10" x14ac:dyDescent="0.25">
      <c r="A869" s="113">
        <v>866</v>
      </c>
      <c r="B869" s="114" t="s">
        <v>1729</v>
      </c>
      <c r="C869" s="115" t="s">
        <v>1730</v>
      </c>
      <c r="D869" s="115" t="s">
        <v>451</v>
      </c>
      <c r="E869" s="115" t="s">
        <v>1731</v>
      </c>
      <c r="F869" s="116">
        <v>0.01</v>
      </c>
      <c r="G869" s="116">
        <v>0.01</v>
      </c>
      <c r="H869" s="116">
        <v>0</v>
      </c>
      <c r="I869" s="113">
        <v>0</v>
      </c>
      <c r="J869" s="115" t="s">
        <v>240</v>
      </c>
    </row>
    <row r="870" spans="1:10" x14ac:dyDescent="0.25">
      <c r="A870" s="113">
        <v>867</v>
      </c>
      <c r="B870" s="114" t="s">
        <v>1732</v>
      </c>
      <c r="C870" s="115" t="s">
        <v>1733</v>
      </c>
      <c r="D870" s="115" t="s">
        <v>461</v>
      </c>
      <c r="E870" s="115" t="s">
        <v>1734</v>
      </c>
      <c r="F870" s="116">
        <v>98.696570742262921</v>
      </c>
      <c r="G870" s="116">
        <v>101.24767074226293</v>
      </c>
      <c r="H870" s="116">
        <v>16.07</v>
      </c>
      <c r="I870" s="113">
        <v>98</v>
      </c>
      <c r="J870" s="115" t="s">
        <v>271</v>
      </c>
    </row>
    <row r="871" spans="1:10" x14ac:dyDescent="0.25">
      <c r="A871" s="113">
        <v>868</v>
      </c>
      <c r="B871" s="114" t="s">
        <v>1735</v>
      </c>
      <c r="C871" s="115" t="s">
        <v>1736</v>
      </c>
      <c r="D871" s="115" t="s">
        <v>461</v>
      </c>
      <c r="E871" s="115" t="s">
        <v>1737</v>
      </c>
      <c r="F871" s="116">
        <v>95.377262573487869</v>
      </c>
      <c r="G871" s="116">
        <v>95.535562573487866</v>
      </c>
      <c r="H871" s="116">
        <v>30</v>
      </c>
      <c r="I871" s="113">
        <v>3238</v>
      </c>
      <c r="J871" s="115" t="s">
        <v>271</v>
      </c>
    </row>
    <row r="872" spans="1:10" x14ac:dyDescent="0.25">
      <c r="A872" s="113">
        <v>869</v>
      </c>
      <c r="B872" s="114" t="s">
        <v>2099</v>
      </c>
      <c r="C872" s="115" t="s">
        <v>1882</v>
      </c>
      <c r="D872" s="115" t="s">
        <v>761</v>
      </c>
      <c r="E872" s="115" t="s">
        <v>1883</v>
      </c>
      <c r="F872" s="116">
        <v>342632.37260000006</v>
      </c>
      <c r="G872" s="116">
        <v>342632.37260000006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1738</v>
      </c>
      <c r="C873" s="115" t="s">
        <v>1739</v>
      </c>
      <c r="D873" s="115" t="s">
        <v>451</v>
      </c>
      <c r="E873" s="115" t="s">
        <v>1740</v>
      </c>
      <c r="F873" s="116">
        <v>0.01</v>
      </c>
      <c r="G873" s="116">
        <v>0.01</v>
      </c>
      <c r="H873" s="116">
        <v>0</v>
      </c>
      <c r="I873" s="113">
        <v>0</v>
      </c>
      <c r="J873" s="115" t="s">
        <v>240</v>
      </c>
    </row>
    <row r="874" spans="1:10" x14ac:dyDescent="0.25">
      <c r="A874" s="113">
        <v>871</v>
      </c>
      <c r="B874" s="114" t="s">
        <v>2222</v>
      </c>
      <c r="C874" s="115" t="s">
        <v>2223</v>
      </c>
      <c r="D874" s="115" t="s">
        <v>461</v>
      </c>
      <c r="E874" s="115" t="s">
        <v>2224</v>
      </c>
      <c r="F874" s="116">
        <v>100.72348032955716</v>
      </c>
      <c r="G874" s="116">
        <v>105.62348032955715</v>
      </c>
      <c r="H874" s="116">
        <v>20.65</v>
      </c>
      <c r="I874" s="113">
        <v>996</v>
      </c>
      <c r="J874" s="115" t="s">
        <v>271</v>
      </c>
    </row>
    <row r="875" spans="1:10" x14ac:dyDescent="0.25">
      <c r="A875" s="113">
        <v>872</v>
      </c>
      <c r="B875" s="114" t="s">
        <v>1744</v>
      </c>
      <c r="C875" s="115" t="s">
        <v>1745</v>
      </c>
      <c r="D875" s="115" t="s">
        <v>461</v>
      </c>
      <c r="E875" s="115" t="s">
        <v>432</v>
      </c>
      <c r="F875" s="116">
        <v>100</v>
      </c>
      <c r="G875" s="116">
        <v>101.3417</v>
      </c>
      <c r="H875" s="116">
        <v>11.49</v>
      </c>
      <c r="I875" s="113">
        <v>2298</v>
      </c>
      <c r="J875" s="115" t="s">
        <v>271</v>
      </c>
    </row>
    <row r="876" spans="1:10" x14ac:dyDescent="0.25">
      <c r="A876" s="113">
        <v>873</v>
      </c>
      <c r="B876" s="114" t="s">
        <v>433</v>
      </c>
      <c r="C876" s="115" t="s">
        <v>434</v>
      </c>
      <c r="D876" s="115" t="s">
        <v>461</v>
      </c>
      <c r="E876" s="115" t="s">
        <v>432</v>
      </c>
      <c r="F876" s="116">
        <v>100</v>
      </c>
      <c r="G876" s="116">
        <v>103.3583</v>
      </c>
      <c r="H876" s="116">
        <v>12.98</v>
      </c>
      <c r="I876" s="113">
        <v>1167</v>
      </c>
      <c r="J876" s="115" t="s">
        <v>271</v>
      </c>
    </row>
    <row r="877" spans="1:10" x14ac:dyDescent="0.25">
      <c r="A877" s="113">
        <v>874</v>
      </c>
      <c r="B877" s="114" t="s">
        <v>1746</v>
      </c>
      <c r="C877" s="115" t="s">
        <v>1747</v>
      </c>
      <c r="D877" s="115" t="s">
        <v>461</v>
      </c>
      <c r="E877" s="115" t="s">
        <v>639</v>
      </c>
      <c r="F877" s="116">
        <v>100</v>
      </c>
      <c r="G877" s="116">
        <v>101.84439999999999</v>
      </c>
      <c r="H877" s="116">
        <v>7.98</v>
      </c>
      <c r="I877" s="113">
        <v>457</v>
      </c>
      <c r="J877" s="115" t="s">
        <v>271</v>
      </c>
    </row>
    <row r="878" spans="1:10" x14ac:dyDescent="0.25">
      <c r="A878" s="113">
        <v>875</v>
      </c>
      <c r="B878" s="114" t="s">
        <v>1748</v>
      </c>
      <c r="C878" s="115" t="s">
        <v>1749</v>
      </c>
      <c r="D878" s="115" t="s">
        <v>461</v>
      </c>
      <c r="E878" s="115" t="s">
        <v>639</v>
      </c>
      <c r="F878" s="116">
        <v>100</v>
      </c>
      <c r="G878" s="116">
        <v>101.84439999999999</v>
      </c>
      <c r="H878" s="116">
        <v>8</v>
      </c>
      <c r="I878" s="113">
        <v>2257</v>
      </c>
      <c r="J878" s="115" t="s">
        <v>271</v>
      </c>
    </row>
    <row r="879" spans="1:10" x14ac:dyDescent="0.25">
      <c r="A879" s="113">
        <v>876</v>
      </c>
      <c r="B879" s="114" t="s">
        <v>1750</v>
      </c>
      <c r="C879" s="115" t="s">
        <v>1751</v>
      </c>
      <c r="D879" s="115" t="s">
        <v>461</v>
      </c>
      <c r="E879" s="115" t="s">
        <v>639</v>
      </c>
      <c r="F879" s="116">
        <v>100</v>
      </c>
      <c r="G879" s="116">
        <v>102.84439999999999</v>
      </c>
      <c r="H879" s="116">
        <v>7.97</v>
      </c>
      <c r="I879" s="113">
        <v>232</v>
      </c>
      <c r="J879" s="115" t="s">
        <v>271</v>
      </c>
    </row>
    <row r="880" spans="1:10" x14ac:dyDescent="0.25">
      <c r="A880" s="113">
        <v>877</v>
      </c>
      <c r="B880" s="114" t="s">
        <v>1752</v>
      </c>
      <c r="C880" s="115" t="s">
        <v>1753</v>
      </c>
      <c r="D880" s="115" t="s">
        <v>461</v>
      </c>
      <c r="E880" s="115" t="s">
        <v>639</v>
      </c>
      <c r="F880" s="116">
        <v>100</v>
      </c>
      <c r="G880" s="116">
        <v>102.84439999999999</v>
      </c>
      <c r="H880" s="116">
        <v>7.97</v>
      </c>
      <c r="I880" s="113">
        <v>232</v>
      </c>
      <c r="J880" s="115" t="s">
        <v>271</v>
      </c>
    </row>
    <row r="881" spans="1:10" x14ac:dyDescent="0.25">
      <c r="A881" s="113">
        <v>878</v>
      </c>
      <c r="B881" s="114" t="s">
        <v>1754</v>
      </c>
      <c r="C881" s="115" t="s">
        <v>1755</v>
      </c>
      <c r="D881" s="115" t="s">
        <v>461</v>
      </c>
      <c r="E881" s="115" t="s">
        <v>639</v>
      </c>
      <c r="F881" s="116">
        <v>100</v>
      </c>
      <c r="G881" s="116">
        <v>102.84439999999999</v>
      </c>
      <c r="H881" s="116">
        <v>7.99</v>
      </c>
      <c r="I881" s="113">
        <v>592</v>
      </c>
      <c r="J881" s="115" t="s">
        <v>271</v>
      </c>
    </row>
    <row r="882" spans="1:10" x14ac:dyDescent="0.25">
      <c r="A882" s="113">
        <v>879</v>
      </c>
      <c r="B882" s="114" t="s">
        <v>1756</v>
      </c>
      <c r="C882" s="115" t="s">
        <v>1757</v>
      </c>
      <c r="D882" s="115" t="s">
        <v>461</v>
      </c>
      <c r="E882" s="115" t="s">
        <v>639</v>
      </c>
      <c r="F882" s="116">
        <v>100</v>
      </c>
      <c r="G882" s="116">
        <v>102.84439999999999</v>
      </c>
      <c r="H882" s="116">
        <v>7.99</v>
      </c>
      <c r="I882" s="113">
        <v>592</v>
      </c>
      <c r="J882" s="115" t="s">
        <v>271</v>
      </c>
    </row>
    <row r="883" spans="1:10" x14ac:dyDescent="0.25">
      <c r="A883" s="113">
        <v>880</v>
      </c>
      <c r="B883" s="114" t="s">
        <v>1758</v>
      </c>
      <c r="C883" s="115" t="s">
        <v>1759</v>
      </c>
      <c r="D883" s="115" t="s">
        <v>461</v>
      </c>
      <c r="E883" s="115" t="s">
        <v>1760</v>
      </c>
      <c r="F883" s="116">
        <v>91.067304071173822</v>
      </c>
      <c r="G883" s="116">
        <v>91.231904071173815</v>
      </c>
      <c r="H883" s="116">
        <v>23.3</v>
      </c>
      <c r="I883" s="113">
        <v>1437</v>
      </c>
      <c r="J883" s="115" t="s">
        <v>271</v>
      </c>
    </row>
    <row r="884" spans="1:10" x14ac:dyDescent="0.25">
      <c r="A884" s="113">
        <v>881</v>
      </c>
      <c r="B884" s="114" t="s">
        <v>1761</v>
      </c>
      <c r="C884" s="115" t="s">
        <v>1762</v>
      </c>
      <c r="D884" s="115" t="s">
        <v>461</v>
      </c>
      <c r="E884" s="115" t="s">
        <v>1763</v>
      </c>
      <c r="F884" s="116">
        <v>100</v>
      </c>
      <c r="G884" s="116">
        <v>100.23609999999999</v>
      </c>
      <c r="H884" s="116">
        <v>4.24</v>
      </c>
      <c r="I884" s="113">
        <v>280</v>
      </c>
      <c r="J884" s="115" t="s">
        <v>271</v>
      </c>
    </row>
    <row r="885" spans="1:10" x14ac:dyDescent="0.25">
      <c r="A885" s="113">
        <v>882</v>
      </c>
      <c r="B885" s="114" t="s">
        <v>1764</v>
      </c>
      <c r="C885" s="115" t="s">
        <v>1765</v>
      </c>
      <c r="D885" s="115" t="s">
        <v>461</v>
      </c>
      <c r="E885" s="115" t="s">
        <v>1763</v>
      </c>
      <c r="F885" s="116">
        <v>100</v>
      </c>
      <c r="G885" s="116">
        <v>100.08750000000001</v>
      </c>
      <c r="H885" s="116">
        <v>0.35</v>
      </c>
      <c r="I885" s="113">
        <v>90</v>
      </c>
      <c r="J885" s="115" t="s">
        <v>271</v>
      </c>
    </row>
    <row r="886" spans="1:10" x14ac:dyDescent="0.25">
      <c r="A886" s="113">
        <v>883</v>
      </c>
      <c r="B886" s="114" t="s">
        <v>1766</v>
      </c>
      <c r="C886" s="115" t="s">
        <v>1767</v>
      </c>
      <c r="D886" s="115" t="s">
        <v>461</v>
      </c>
      <c r="E886" s="115" t="s">
        <v>1763</v>
      </c>
      <c r="F886" s="116">
        <v>100</v>
      </c>
      <c r="G886" s="116">
        <v>100.0729</v>
      </c>
      <c r="H886" s="116">
        <v>0.35</v>
      </c>
      <c r="I886" s="113">
        <v>285</v>
      </c>
      <c r="J886" s="115" t="s">
        <v>271</v>
      </c>
    </row>
    <row r="887" spans="1:10" x14ac:dyDescent="0.25">
      <c r="A887" s="113">
        <v>884</v>
      </c>
      <c r="B887" s="114" t="s">
        <v>2182</v>
      </c>
      <c r="C887" s="115" t="s">
        <v>2183</v>
      </c>
      <c r="D887" s="115" t="s">
        <v>461</v>
      </c>
      <c r="E887" s="115" t="s">
        <v>1763</v>
      </c>
      <c r="F887" s="116">
        <v>100</v>
      </c>
      <c r="G887" s="116">
        <v>100.09529999999999</v>
      </c>
      <c r="H887" s="116">
        <v>0.35</v>
      </c>
      <c r="I887" s="113">
        <v>622</v>
      </c>
      <c r="J887" s="115" t="s">
        <v>271</v>
      </c>
    </row>
    <row r="888" spans="1:10" x14ac:dyDescent="0.25">
      <c r="A888" s="113">
        <v>885</v>
      </c>
      <c r="B888" s="114" t="s">
        <v>1995</v>
      </c>
      <c r="C888" s="115" t="s">
        <v>1996</v>
      </c>
      <c r="D888" s="115" t="s">
        <v>461</v>
      </c>
      <c r="E888" s="115" t="s">
        <v>1763</v>
      </c>
      <c r="F888" s="116">
        <v>100</v>
      </c>
      <c r="G888" s="116">
        <v>100.0136</v>
      </c>
      <c r="H888" s="116">
        <v>0.02</v>
      </c>
      <c r="I888" s="113">
        <v>3098</v>
      </c>
      <c r="J888" s="115" t="s">
        <v>271</v>
      </c>
    </row>
    <row r="889" spans="1:10" x14ac:dyDescent="0.25">
      <c r="A889" s="113">
        <v>886</v>
      </c>
      <c r="B889" s="114" t="s">
        <v>1768</v>
      </c>
      <c r="C889" s="115" t="s">
        <v>1769</v>
      </c>
      <c r="D889" s="115" t="s">
        <v>461</v>
      </c>
      <c r="E889" s="115" t="s">
        <v>1763</v>
      </c>
      <c r="F889" s="116">
        <v>100</v>
      </c>
      <c r="G889" s="116">
        <v>104.6939</v>
      </c>
      <c r="H889" s="116">
        <v>7.05</v>
      </c>
      <c r="I889" s="113">
        <v>2195</v>
      </c>
      <c r="J889" s="115" t="s">
        <v>271</v>
      </c>
    </row>
    <row r="890" spans="1:10" x14ac:dyDescent="0.25">
      <c r="A890" s="113">
        <v>887</v>
      </c>
      <c r="B890" s="114" t="s">
        <v>1770</v>
      </c>
      <c r="C890" s="115" t="s">
        <v>1771</v>
      </c>
      <c r="D890" s="115" t="s">
        <v>461</v>
      </c>
      <c r="E890" s="115" t="s">
        <v>1763</v>
      </c>
      <c r="F890" s="116">
        <v>100</v>
      </c>
      <c r="G890" s="116">
        <v>100.0035</v>
      </c>
      <c r="H890" s="116">
        <v>0.02</v>
      </c>
      <c r="I890" s="113">
        <v>3098</v>
      </c>
      <c r="J890" s="115" t="s">
        <v>271</v>
      </c>
    </row>
    <row r="891" spans="1:10" x14ac:dyDescent="0.25">
      <c r="A891" s="113">
        <v>888</v>
      </c>
      <c r="B891" s="114" t="s">
        <v>1772</v>
      </c>
      <c r="C891" s="115" t="s">
        <v>1773</v>
      </c>
      <c r="D891" s="115" t="s">
        <v>461</v>
      </c>
      <c r="E891" s="115" t="s">
        <v>1763</v>
      </c>
      <c r="F891" s="116">
        <v>100</v>
      </c>
      <c r="G891" s="116">
        <v>100.004</v>
      </c>
      <c r="H891" s="116">
        <v>0.02</v>
      </c>
      <c r="I891" s="113">
        <v>3098</v>
      </c>
      <c r="J891" s="115" t="s">
        <v>271</v>
      </c>
    </row>
    <row r="892" spans="1:10" x14ac:dyDescent="0.25">
      <c r="A892" s="113">
        <v>889</v>
      </c>
      <c r="B892" s="114" t="s">
        <v>1774</v>
      </c>
      <c r="C892" s="115" t="s">
        <v>1775</v>
      </c>
      <c r="D892" s="115" t="s">
        <v>461</v>
      </c>
      <c r="E892" s="115" t="s">
        <v>1763</v>
      </c>
      <c r="F892" s="116">
        <v>100</v>
      </c>
      <c r="G892" s="116">
        <v>100.9658</v>
      </c>
      <c r="H892" s="116">
        <v>6.08</v>
      </c>
      <c r="I892" s="113">
        <v>1713</v>
      </c>
      <c r="J892" s="115" t="s">
        <v>271</v>
      </c>
    </row>
    <row r="893" spans="1:10" x14ac:dyDescent="0.25">
      <c r="A893" s="113">
        <v>890</v>
      </c>
      <c r="B893" s="114" t="s">
        <v>1776</v>
      </c>
      <c r="C893" s="115" t="s">
        <v>1777</v>
      </c>
      <c r="D893" s="115" t="s">
        <v>461</v>
      </c>
      <c r="E893" s="115" t="s">
        <v>1763</v>
      </c>
      <c r="F893" s="116">
        <v>100</v>
      </c>
      <c r="G893" s="116">
        <v>100.1356</v>
      </c>
      <c r="H893" s="116">
        <v>6.09</v>
      </c>
      <c r="I893" s="113">
        <v>2122</v>
      </c>
      <c r="J893" s="115" t="s">
        <v>271</v>
      </c>
    </row>
    <row r="894" spans="1:10" x14ac:dyDescent="0.25">
      <c r="A894" s="113">
        <v>891</v>
      </c>
      <c r="B894" s="114" t="s">
        <v>1778</v>
      </c>
      <c r="C894" s="115" t="s">
        <v>1779</v>
      </c>
      <c r="D894" s="115" t="s">
        <v>461</v>
      </c>
      <c r="E894" s="115" t="s">
        <v>1763</v>
      </c>
      <c r="F894" s="116">
        <v>100</v>
      </c>
      <c r="G894" s="116">
        <v>102.8806</v>
      </c>
      <c r="H894" s="116">
        <v>6.06</v>
      </c>
      <c r="I894" s="113">
        <v>2620</v>
      </c>
      <c r="J894" s="115" t="s">
        <v>271</v>
      </c>
    </row>
    <row r="895" spans="1:10" x14ac:dyDescent="0.25">
      <c r="A895" s="113">
        <v>892</v>
      </c>
      <c r="B895" s="114" t="s">
        <v>1780</v>
      </c>
      <c r="C895" s="115" t="s">
        <v>1781</v>
      </c>
      <c r="D895" s="115" t="s">
        <v>461</v>
      </c>
      <c r="E895" s="115" t="s">
        <v>1763</v>
      </c>
      <c r="F895" s="116">
        <v>100</v>
      </c>
      <c r="G895" s="116">
        <v>105.08329999999999</v>
      </c>
      <c r="H895" s="116">
        <v>6.08</v>
      </c>
      <c r="I895" s="113">
        <v>2550</v>
      </c>
      <c r="J895" s="115" t="s">
        <v>271</v>
      </c>
    </row>
    <row r="896" spans="1:10" x14ac:dyDescent="0.25">
      <c r="A896" s="113">
        <v>893</v>
      </c>
      <c r="B896" s="114" t="s">
        <v>1782</v>
      </c>
      <c r="C896" s="115" t="s">
        <v>1783</v>
      </c>
      <c r="D896" s="115" t="s">
        <v>461</v>
      </c>
      <c r="E896" s="115" t="s">
        <v>1763</v>
      </c>
      <c r="F896" s="116">
        <v>100</v>
      </c>
      <c r="G896" s="116">
        <v>105.08329999999999</v>
      </c>
      <c r="H896" s="116">
        <v>6.08</v>
      </c>
      <c r="I896" s="113">
        <v>2550</v>
      </c>
      <c r="J896" s="115" t="s">
        <v>271</v>
      </c>
    </row>
    <row r="897" spans="1:10" x14ac:dyDescent="0.25">
      <c r="A897" s="113">
        <v>894</v>
      </c>
      <c r="B897" s="114" t="s">
        <v>1784</v>
      </c>
      <c r="C897" s="115" t="s">
        <v>1785</v>
      </c>
      <c r="D897" s="115" t="s">
        <v>461</v>
      </c>
      <c r="E897" s="115" t="s">
        <v>1763</v>
      </c>
      <c r="F897" s="116">
        <v>100</v>
      </c>
      <c r="G897" s="116">
        <v>103.9481</v>
      </c>
      <c r="H897" s="116">
        <v>6.08</v>
      </c>
      <c r="I897" s="113">
        <v>2617</v>
      </c>
      <c r="J897" s="115" t="s">
        <v>271</v>
      </c>
    </row>
    <row r="898" spans="1:10" x14ac:dyDescent="0.25">
      <c r="A898" s="113">
        <v>895</v>
      </c>
      <c r="B898" s="114" t="s">
        <v>1786</v>
      </c>
      <c r="C898" s="115" t="s">
        <v>1787</v>
      </c>
      <c r="D898" s="115" t="s">
        <v>761</v>
      </c>
      <c r="E898" s="115" t="s">
        <v>1084</v>
      </c>
      <c r="F898" s="116">
        <v>46367.337800000008</v>
      </c>
      <c r="G898" s="116">
        <v>46367.337800000008</v>
      </c>
      <c r="H898" s="116">
        <v>0</v>
      </c>
      <c r="I898" s="113">
        <v>0</v>
      </c>
      <c r="J898" s="115" t="s">
        <v>240</v>
      </c>
    </row>
    <row r="899" spans="1:10" x14ac:dyDescent="0.25">
      <c r="A899" s="113">
        <v>896</v>
      </c>
      <c r="B899" s="114" t="s">
        <v>1788</v>
      </c>
      <c r="C899" s="115" t="s">
        <v>1789</v>
      </c>
      <c r="D899" s="115" t="s">
        <v>461</v>
      </c>
      <c r="E899" s="115" t="s">
        <v>2128</v>
      </c>
      <c r="F899" s="116">
        <v>94.731027302501431</v>
      </c>
      <c r="G899" s="116">
        <v>98.442527302501432</v>
      </c>
      <c r="H899" s="116">
        <v>20.14</v>
      </c>
      <c r="I899" s="113">
        <v>243</v>
      </c>
      <c r="J899" s="115" t="s">
        <v>271</v>
      </c>
    </row>
    <row r="900" spans="1:10" x14ac:dyDescent="0.25">
      <c r="A900" s="113">
        <v>897</v>
      </c>
      <c r="B900" s="114" t="s">
        <v>1790</v>
      </c>
      <c r="C900" s="115" t="s">
        <v>1791</v>
      </c>
      <c r="D900" s="115" t="s">
        <v>461</v>
      </c>
      <c r="E900" s="115" t="s">
        <v>2128</v>
      </c>
      <c r="F900" s="116">
        <v>87.005411730345386</v>
      </c>
      <c r="G900" s="116">
        <v>87.799811730345382</v>
      </c>
      <c r="H900" s="116">
        <v>19.39</v>
      </c>
      <c r="I900" s="113">
        <v>692</v>
      </c>
      <c r="J900" s="115" t="s">
        <v>271</v>
      </c>
    </row>
    <row r="901" spans="1:10" x14ac:dyDescent="0.25">
      <c r="A901" s="113">
        <v>898</v>
      </c>
      <c r="B901" s="114" t="s">
        <v>1792</v>
      </c>
      <c r="C901" s="115" t="s">
        <v>1793</v>
      </c>
      <c r="D901" s="115" t="s">
        <v>461</v>
      </c>
      <c r="E901" s="115" t="s">
        <v>2128</v>
      </c>
      <c r="F901" s="116">
        <v>27.062760740675571</v>
      </c>
      <c r="G901" s="116">
        <v>27.07386074067557</v>
      </c>
      <c r="H901" s="116">
        <v>19.510000000000002</v>
      </c>
      <c r="I901" s="113">
        <v>3238</v>
      </c>
      <c r="J901" s="115" t="s">
        <v>271</v>
      </c>
    </row>
    <row r="902" spans="1:10" x14ac:dyDescent="0.25">
      <c r="A902" s="113">
        <v>899</v>
      </c>
      <c r="B902" s="114" t="s">
        <v>1794</v>
      </c>
      <c r="C902" s="115" t="s">
        <v>1795</v>
      </c>
      <c r="D902" s="115" t="s">
        <v>461</v>
      </c>
      <c r="E902" s="115" t="s">
        <v>2128</v>
      </c>
      <c r="F902" s="116">
        <v>66.45678354351675</v>
      </c>
      <c r="G902" s="116">
        <v>70.897083543516757</v>
      </c>
      <c r="H902" s="116">
        <v>19.5</v>
      </c>
      <c r="I902" s="113">
        <v>3281</v>
      </c>
      <c r="J902" s="115" t="s">
        <v>271</v>
      </c>
    </row>
    <row r="903" spans="1:10" x14ac:dyDescent="0.25">
      <c r="A903" s="113">
        <v>900</v>
      </c>
      <c r="B903" s="114" t="s">
        <v>1796</v>
      </c>
      <c r="C903" s="115" t="s">
        <v>1797</v>
      </c>
      <c r="D903" s="115" t="s">
        <v>461</v>
      </c>
      <c r="E903" s="115" t="s">
        <v>2128</v>
      </c>
      <c r="F903" s="116">
        <v>66.559966377691865</v>
      </c>
      <c r="G903" s="116">
        <v>71.671066377691858</v>
      </c>
      <c r="H903" s="116">
        <v>19.5</v>
      </c>
      <c r="I903" s="113">
        <v>3260</v>
      </c>
      <c r="J903" s="115" t="s">
        <v>271</v>
      </c>
    </row>
    <row r="904" spans="1:10" x14ac:dyDescent="0.25">
      <c r="A904" s="113">
        <v>901</v>
      </c>
      <c r="B904" s="114" t="s">
        <v>1798</v>
      </c>
      <c r="C904" s="115" t="s">
        <v>1799</v>
      </c>
      <c r="D904" s="115" t="s">
        <v>451</v>
      </c>
      <c r="E904" s="115" t="s">
        <v>1800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1801</v>
      </c>
      <c r="C905" s="115" t="s">
        <v>1802</v>
      </c>
      <c r="D905" s="115" t="s">
        <v>451</v>
      </c>
      <c r="E905" s="115" t="s">
        <v>1803</v>
      </c>
      <c r="F905" s="116">
        <v>2740</v>
      </c>
      <c r="G905" s="116">
        <v>2740</v>
      </c>
      <c r="H905" s="116">
        <v>0</v>
      </c>
      <c r="I905" s="113">
        <v>0</v>
      </c>
      <c r="J905" s="115" t="s">
        <v>240</v>
      </c>
    </row>
    <row r="906" spans="1:10" x14ac:dyDescent="0.25">
      <c r="A906" s="113">
        <v>903</v>
      </c>
      <c r="B906" s="114" t="s">
        <v>1804</v>
      </c>
      <c r="C906" s="115" t="s">
        <v>1805</v>
      </c>
      <c r="D906" s="115" t="s">
        <v>461</v>
      </c>
      <c r="E906" s="115" t="s">
        <v>1806</v>
      </c>
      <c r="F906" s="116">
        <v>105.645</v>
      </c>
      <c r="G906" s="116">
        <v>108.1019</v>
      </c>
      <c r="H906" s="116">
        <v>5.89</v>
      </c>
      <c r="I906" s="113">
        <v>1324</v>
      </c>
      <c r="J906" s="115" t="s">
        <v>271</v>
      </c>
    </row>
    <row r="907" spans="1:10" x14ac:dyDescent="0.25">
      <c r="A907" s="113">
        <v>904</v>
      </c>
      <c r="B907" s="114" t="s">
        <v>1807</v>
      </c>
      <c r="C907" s="115" t="s">
        <v>1808</v>
      </c>
      <c r="D907" s="115" t="s">
        <v>451</v>
      </c>
      <c r="E907" s="115" t="s">
        <v>2269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1809</v>
      </c>
      <c r="C908" s="115" t="s">
        <v>1810</v>
      </c>
      <c r="D908" s="115" t="s">
        <v>461</v>
      </c>
      <c r="E908" s="115" t="s">
        <v>2269</v>
      </c>
      <c r="F908" s="116">
        <v>83.570063929989217</v>
      </c>
      <c r="G908" s="116">
        <v>85.52006392998922</v>
      </c>
      <c r="H908" s="116">
        <v>16.59</v>
      </c>
      <c r="I908" s="113">
        <v>1002</v>
      </c>
      <c r="J908" s="115" t="s">
        <v>271</v>
      </c>
    </row>
    <row r="909" spans="1:10" x14ac:dyDescent="0.25">
      <c r="A909" s="113">
        <v>906</v>
      </c>
      <c r="B909" s="114" t="s">
        <v>1811</v>
      </c>
      <c r="C909" s="115" t="s">
        <v>1812</v>
      </c>
      <c r="D909" s="115" t="s">
        <v>461</v>
      </c>
      <c r="E909" s="115" t="s">
        <v>2269</v>
      </c>
      <c r="F909" s="116">
        <v>9.3253660560376126</v>
      </c>
      <c r="G909" s="116">
        <v>9.3659660560376121</v>
      </c>
      <c r="H909" s="116">
        <v>16.8</v>
      </c>
      <c r="I909" s="113">
        <v>5469</v>
      </c>
      <c r="J909" s="115" t="s">
        <v>271</v>
      </c>
    </row>
    <row r="910" spans="1:10" x14ac:dyDescent="0.25">
      <c r="A910" s="113">
        <v>907</v>
      </c>
      <c r="B910" s="114" t="s">
        <v>1813</v>
      </c>
      <c r="C910" s="115" t="s">
        <v>1814</v>
      </c>
      <c r="D910" s="115" t="s">
        <v>461</v>
      </c>
      <c r="E910" s="115" t="s">
        <v>2269</v>
      </c>
      <c r="F910" s="116">
        <v>26.388711358789966</v>
      </c>
      <c r="G910" s="116">
        <v>26.445411358789965</v>
      </c>
      <c r="H910" s="116">
        <v>17.34</v>
      </c>
      <c r="I910" s="113">
        <v>3036</v>
      </c>
      <c r="J910" s="115" t="s">
        <v>271</v>
      </c>
    </row>
    <row r="911" spans="1:10" x14ac:dyDescent="0.25">
      <c r="A911" s="113">
        <v>908</v>
      </c>
      <c r="B911" s="114" t="s">
        <v>1815</v>
      </c>
      <c r="C911" s="115" t="s">
        <v>1816</v>
      </c>
      <c r="D911" s="115" t="s">
        <v>461</v>
      </c>
      <c r="E911" s="115" t="s">
        <v>2269</v>
      </c>
      <c r="F911" s="116">
        <v>26.388711358789966</v>
      </c>
      <c r="G911" s="116">
        <v>26.445411358789965</v>
      </c>
      <c r="H911" s="116">
        <v>17.34</v>
      </c>
      <c r="I911" s="113">
        <v>3036</v>
      </c>
      <c r="J911" s="115" t="s">
        <v>271</v>
      </c>
    </row>
    <row r="912" spans="1:10" x14ac:dyDescent="0.25">
      <c r="A912" s="113">
        <v>909</v>
      </c>
      <c r="B912" s="114" t="s">
        <v>1817</v>
      </c>
      <c r="C912" s="115" t="s">
        <v>1818</v>
      </c>
      <c r="D912" s="115" t="s">
        <v>461</v>
      </c>
      <c r="E912" s="115" t="s">
        <v>2269</v>
      </c>
      <c r="F912" s="116">
        <v>4.5059227348322297</v>
      </c>
      <c r="G912" s="116">
        <v>4.5606227348322301</v>
      </c>
      <c r="H912" s="116">
        <v>17</v>
      </c>
      <c r="I912" s="113">
        <v>7269</v>
      </c>
      <c r="J912" s="115" t="s">
        <v>271</v>
      </c>
    </row>
    <row r="913" spans="1:10" x14ac:dyDescent="0.25">
      <c r="A913" s="113">
        <v>910</v>
      </c>
      <c r="B913" s="114" t="s">
        <v>1819</v>
      </c>
      <c r="C913" s="115" t="s">
        <v>1820</v>
      </c>
      <c r="D913" s="115" t="s">
        <v>461</v>
      </c>
      <c r="E913" s="115" t="s">
        <v>2269</v>
      </c>
      <c r="F913" s="116">
        <v>9.3257170571266457</v>
      </c>
      <c r="G913" s="116">
        <v>9.408217057126647</v>
      </c>
      <c r="H913" s="116">
        <v>16.04</v>
      </c>
      <c r="I913" s="113">
        <v>5469</v>
      </c>
      <c r="J913" s="115" t="s">
        <v>271</v>
      </c>
    </row>
    <row r="914" spans="1:10" x14ac:dyDescent="0.25">
      <c r="A914" s="113">
        <v>911</v>
      </c>
      <c r="B914" s="114" t="s">
        <v>231</v>
      </c>
      <c r="C914" s="115" t="s">
        <v>232</v>
      </c>
      <c r="D914" s="115" t="s">
        <v>461</v>
      </c>
      <c r="E914" s="115" t="s">
        <v>2269</v>
      </c>
      <c r="F914" s="116">
        <v>26.537580237974577</v>
      </c>
      <c r="G914" s="116">
        <v>26.622880237974577</v>
      </c>
      <c r="H914" s="116">
        <v>16.32</v>
      </c>
      <c r="I914" s="113">
        <v>3023</v>
      </c>
      <c r="J914" s="115" t="s">
        <v>271</v>
      </c>
    </row>
    <row r="915" spans="1:10" x14ac:dyDescent="0.25">
      <c r="A915" s="113">
        <v>912</v>
      </c>
      <c r="B915" s="114" t="s">
        <v>1821</v>
      </c>
      <c r="C915" s="115" t="s">
        <v>1822</v>
      </c>
      <c r="D915" s="115" t="s">
        <v>461</v>
      </c>
      <c r="E915" s="115" t="s">
        <v>2269</v>
      </c>
      <c r="F915" s="116">
        <v>26.456665538950428</v>
      </c>
      <c r="G915" s="116">
        <v>26.514965538950428</v>
      </c>
      <c r="H915" s="116">
        <v>17.34</v>
      </c>
      <c r="I915" s="113">
        <v>3030</v>
      </c>
      <c r="J915" s="115" t="s">
        <v>271</v>
      </c>
    </row>
    <row r="916" spans="1:10" x14ac:dyDescent="0.25">
      <c r="A916" s="113">
        <v>913</v>
      </c>
      <c r="B916" s="114" t="s">
        <v>1823</v>
      </c>
      <c r="C916" s="115" t="s">
        <v>1824</v>
      </c>
      <c r="D916" s="115" t="s">
        <v>461</v>
      </c>
      <c r="E916" s="115" t="s">
        <v>2269</v>
      </c>
      <c r="F916" s="116">
        <v>26.388711358789966</v>
      </c>
      <c r="G916" s="116">
        <v>26.445411358789965</v>
      </c>
      <c r="H916" s="116">
        <v>17.34</v>
      </c>
      <c r="I916" s="113">
        <v>3036</v>
      </c>
      <c r="J916" s="115" t="s">
        <v>271</v>
      </c>
    </row>
    <row r="917" spans="1:10" x14ac:dyDescent="0.25">
      <c r="A917" s="113">
        <v>914</v>
      </c>
      <c r="B917" s="114" t="s">
        <v>233</v>
      </c>
      <c r="C917" s="115" t="s">
        <v>234</v>
      </c>
      <c r="D917" s="115" t="s">
        <v>461</v>
      </c>
      <c r="E917" s="115" t="s">
        <v>2269</v>
      </c>
      <c r="F917" s="116">
        <v>26.456665538950428</v>
      </c>
      <c r="G917" s="116">
        <v>26.514965538950428</v>
      </c>
      <c r="H917" s="116">
        <v>17.34</v>
      </c>
      <c r="I917" s="113">
        <v>3030</v>
      </c>
      <c r="J917" s="115" t="s">
        <v>271</v>
      </c>
    </row>
    <row r="918" spans="1:10" x14ac:dyDescent="0.25">
      <c r="A918" s="113">
        <v>915</v>
      </c>
      <c r="B918" s="114" t="s">
        <v>1825</v>
      </c>
      <c r="C918" s="115" t="s">
        <v>1826</v>
      </c>
      <c r="D918" s="115" t="s">
        <v>461</v>
      </c>
      <c r="E918" s="115" t="s">
        <v>2269</v>
      </c>
      <c r="F918" s="116">
        <v>97.441732259653534</v>
      </c>
      <c r="G918" s="116">
        <v>103.39173225965354</v>
      </c>
      <c r="H918" s="116">
        <v>16.87</v>
      </c>
      <c r="I918" s="113">
        <v>122</v>
      </c>
      <c r="J918" s="115" t="s">
        <v>271</v>
      </c>
    </row>
    <row r="919" spans="1:10" x14ac:dyDescent="0.25">
      <c r="A919" s="113">
        <v>916</v>
      </c>
      <c r="B919" s="114" t="s">
        <v>1827</v>
      </c>
      <c r="C919" s="115" t="s">
        <v>1828</v>
      </c>
      <c r="D919" s="115" t="s">
        <v>461</v>
      </c>
      <c r="E919" s="115" t="s">
        <v>2269</v>
      </c>
      <c r="F919" s="116">
        <v>85.830549568773961</v>
      </c>
      <c r="G919" s="116">
        <v>86.684749568773952</v>
      </c>
      <c r="H919" s="116">
        <v>16.53</v>
      </c>
      <c r="I919" s="113">
        <v>679</v>
      </c>
      <c r="J919" s="115" t="s">
        <v>271</v>
      </c>
    </row>
    <row r="920" spans="1:10" x14ac:dyDescent="0.25">
      <c r="A920" s="113">
        <v>917</v>
      </c>
      <c r="B920" s="114" t="s">
        <v>1829</v>
      </c>
      <c r="C920" s="115" t="s">
        <v>1830</v>
      </c>
      <c r="D920" s="115" t="s">
        <v>451</v>
      </c>
      <c r="E920" s="115" t="s">
        <v>2269</v>
      </c>
      <c r="F920" s="116">
        <v>590</v>
      </c>
      <c r="G920" s="116">
        <v>590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1831</v>
      </c>
      <c r="C921" s="115" t="s">
        <v>1832</v>
      </c>
      <c r="D921" s="115" t="s">
        <v>451</v>
      </c>
      <c r="E921" s="115" t="s">
        <v>2125</v>
      </c>
      <c r="F921" s="116">
        <v>174138.21880000003</v>
      </c>
      <c r="G921" s="116">
        <v>174138.21880000003</v>
      </c>
      <c r="H921" s="116">
        <v>0</v>
      </c>
      <c r="I921" s="113">
        <v>0</v>
      </c>
      <c r="J921" s="115" t="s">
        <v>240</v>
      </c>
    </row>
    <row r="922" spans="1:10" x14ac:dyDescent="0.25">
      <c r="A922" s="113">
        <v>919</v>
      </c>
      <c r="B922" s="114" t="s">
        <v>2318</v>
      </c>
      <c r="C922" s="115" t="s">
        <v>2319</v>
      </c>
      <c r="D922" s="115" t="s">
        <v>461</v>
      </c>
      <c r="E922" s="115" t="s">
        <v>1835</v>
      </c>
      <c r="F922" s="116">
        <v>93.310908359990478</v>
      </c>
      <c r="G922" s="116">
        <v>95.410908359990472</v>
      </c>
      <c r="H922" s="116">
        <v>21.14</v>
      </c>
      <c r="I922" s="113">
        <v>1038</v>
      </c>
      <c r="J922" s="115" t="s">
        <v>271</v>
      </c>
    </row>
    <row r="923" spans="1:10" x14ac:dyDescent="0.25">
      <c r="A923" s="113">
        <v>920</v>
      </c>
      <c r="B923" s="114" t="s">
        <v>1833</v>
      </c>
      <c r="C923" s="115" t="s">
        <v>1834</v>
      </c>
      <c r="D923" s="115" t="s">
        <v>461</v>
      </c>
      <c r="E923" s="115" t="s">
        <v>1835</v>
      </c>
      <c r="F923" s="116">
        <v>99.795437265163073</v>
      </c>
      <c r="G923" s="116">
        <v>104.51763726516307</v>
      </c>
      <c r="H923" s="116">
        <v>20.79</v>
      </c>
      <c r="I923" s="113">
        <v>95</v>
      </c>
      <c r="J923" s="115" t="s">
        <v>271</v>
      </c>
    </row>
    <row r="924" spans="1:10" x14ac:dyDescent="0.25">
      <c r="A924" s="113">
        <v>921</v>
      </c>
      <c r="B924" s="114" t="s">
        <v>1836</v>
      </c>
      <c r="C924" s="115" t="s">
        <v>1837</v>
      </c>
      <c r="D924" s="115" t="s">
        <v>461</v>
      </c>
      <c r="E924" s="115" t="s">
        <v>1835</v>
      </c>
      <c r="F924" s="116">
        <v>104.75422759186982</v>
      </c>
      <c r="G924" s="116">
        <v>104.75422759186982</v>
      </c>
      <c r="H924" s="116">
        <v>0.94</v>
      </c>
      <c r="I924" s="113">
        <v>90</v>
      </c>
      <c r="J924" s="115" t="s">
        <v>271</v>
      </c>
    </row>
    <row r="925" spans="1:10" x14ac:dyDescent="0.25">
      <c r="A925" s="113">
        <v>922</v>
      </c>
      <c r="B925" s="114" t="s">
        <v>1838</v>
      </c>
      <c r="C925" s="115" t="s">
        <v>1839</v>
      </c>
      <c r="D925" s="115" t="s">
        <v>451</v>
      </c>
      <c r="E925" s="115" t="s">
        <v>1840</v>
      </c>
      <c r="F925" s="116">
        <v>108296.16910000001</v>
      </c>
      <c r="G925" s="116">
        <v>108296.16910000001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1741</v>
      </c>
      <c r="C926" s="115" t="s">
        <v>1742</v>
      </c>
      <c r="D926" s="115" t="s">
        <v>451</v>
      </c>
      <c r="E926" s="115" t="s">
        <v>1743</v>
      </c>
      <c r="F926" s="116">
        <v>15838.321450000003</v>
      </c>
      <c r="G926" s="116">
        <v>15838.321450000003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1841</v>
      </c>
      <c r="C927" s="115" t="s">
        <v>1842</v>
      </c>
      <c r="D927" s="115" t="s">
        <v>451</v>
      </c>
      <c r="E927" s="115" t="s">
        <v>1843</v>
      </c>
      <c r="F927" s="116">
        <v>50027.917100000006</v>
      </c>
      <c r="G927" s="116">
        <v>50027.917100000006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1844</v>
      </c>
      <c r="C928" s="115" t="s">
        <v>1845</v>
      </c>
      <c r="D928" s="115" t="s">
        <v>451</v>
      </c>
      <c r="E928" s="115" t="s">
        <v>1846</v>
      </c>
      <c r="F928" s="116">
        <v>230803</v>
      </c>
      <c r="G928" s="116">
        <v>230803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1847</v>
      </c>
      <c r="C929" s="115" t="s">
        <v>1848</v>
      </c>
      <c r="D929" s="115" t="s">
        <v>761</v>
      </c>
      <c r="E929" s="115" t="s">
        <v>768</v>
      </c>
      <c r="F929" s="116">
        <v>19977.302450000003</v>
      </c>
      <c r="G929" s="116">
        <v>19977.302450000003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1884</v>
      </c>
      <c r="C930" s="115" t="s">
        <v>1885</v>
      </c>
      <c r="D930" s="115" t="s">
        <v>461</v>
      </c>
      <c r="E930" s="115" t="s">
        <v>1851</v>
      </c>
      <c r="F930" s="116">
        <v>96.171875</v>
      </c>
      <c r="G930" s="116">
        <v>96.238974999999996</v>
      </c>
      <c r="H930" s="116">
        <v>4.0999999999999996</v>
      </c>
      <c r="I930" s="113">
        <v>2734</v>
      </c>
      <c r="J930" s="115" t="s">
        <v>271</v>
      </c>
    </row>
    <row r="931" spans="1:10" x14ac:dyDescent="0.25">
      <c r="A931" s="113">
        <v>928</v>
      </c>
      <c r="B931" s="114" t="s">
        <v>1886</v>
      </c>
      <c r="C931" s="115" t="s">
        <v>1887</v>
      </c>
      <c r="D931" s="115" t="s">
        <v>461</v>
      </c>
      <c r="E931" s="115" t="s">
        <v>1851</v>
      </c>
      <c r="F931" s="116">
        <v>98.1875</v>
      </c>
      <c r="G931" s="116">
        <v>98.261799999999994</v>
      </c>
      <c r="H931" s="116">
        <v>4.1399999999999997</v>
      </c>
      <c r="I931" s="113">
        <v>2915</v>
      </c>
      <c r="J931" s="115" t="s">
        <v>271</v>
      </c>
    </row>
    <row r="932" spans="1:10" x14ac:dyDescent="0.25">
      <c r="A932" s="113">
        <v>929</v>
      </c>
      <c r="B932" s="114" t="s">
        <v>1888</v>
      </c>
      <c r="C932" s="115" t="s">
        <v>1889</v>
      </c>
      <c r="D932" s="115" t="s">
        <v>461</v>
      </c>
      <c r="E932" s="115" t="s">
        <v>1851</v>
      </c>
      <c r="F932" s="116">
        <v>107.3828125</v>
      </c>
      <c r="G932" s="116">
        <v>107.4859125</v>
      </c>
      <c r="H932" s="116">
        <v>3.87</v>
      </c>
      <c r="I932" s="113">
        <v>2003</v>
      </c>
      <c r="J932" s="115" t="s">
        <v>271</v>
      </c>
    </row>
    <row r="933" spans="1:10" x14ac:dyDescent="0.25">
      <c r="A933" s="113">
        <v>930</v>
      </c>
      <c r="B933" s="114" t="s">
        <v>1890</v>
      </c>
      <c r="C933" s="115" t="s">
        <v>1891</v>
      </c>
      <c r="D933" s="115" t="s">
        <v>461</v>
      </c>
      <c r="E933" s="115" t="s">
        <v>1851</v>
      </c>
      <c r="F933" s="116">
        <v>97.2421875</v>
      </c>
      <c r="G933" s="116">
        <v>97.496287499999994</v>
      </c>
      <c r="H933" s="116">
        <v>3.85</v>
      </c>
      <c r="I933" s="113">
        <v>496</v>
      </c>
      <c r="J933" s="115" t="s">
        <v>271</v>
      </c>
    </row>
    <row r="934" spans="1:10" x14ac:dyDescent="0.25">
      <c r="A934" s="113">
        <v>931</v>
      </c>
      <c r="B934" s="114" t="s">
        <v>1892</v>
      </c>
      <c r="C934" s="115" t="s">
        <v>1893</v>
      </c>
      <c r="D934" s="115" t="s">
        <v>461</v>
      </c>
      <c r="E934" s="115" t="s">
        <v>1851</v>
      </c>
      <c r="F934" s="116">
        <v>92.59375</v>
      </c>
      <c r="G934" s="116">
        <v>92.793450000000007</v>
      </c>
      <c r="H934" s="116">
        <v>3.74</v>
      </c>
      <c r="I934" s="113">
        <v>1227</v>
      </c>
      <c r="J934" s="115" t="s">
        <v>271</v>
      </c>
    </row>
    <row r="935" spans="1:10" x14ac:dyDescent="0.25">
      <c r="A935" s="113">
        <v>932</v>
      </c>
      <c r="B935" s="114" t="s">
        <v>1894</v>
      </c>
      <c r="C935" s="115" t="s">
        <v>1895</v>
      </c>
      <c r="D935" s="115" t="s">
        <v>461</v>
      </c>
      <c r="E935" s="115" t="s">
        <v>1851</v>
      </c>
      <c r="F935" s="116">
        <v>86.6640625</v>
      </c>
      <c r="G935" s="116">
        <v>86.685662500000007</v>
      </c>
      <c r="H935" s="116">
        <v>3.85</v>
      </c>
      <c r="I935" s="113">
        <v>2003</v>
      </c>
      <c r="J935" s="115" t="s">
        <v>271</v>
      </c>
    </row>
    <row r="936" spans="1:10" x14ac:dyDescent="0.25">
      <c r="A936" s="113">
        <v>933</v>
      </c>
      <c r="B936" s="114" t="s">
        <v>1896</v>
      </c>
      <c r="C936" s="115" t="s">
        <v>1897</v>
      </c>
      <c r="D936" s="115" t="s">
        <v>461</v>
      </c>
      <c r="E936" s="115" t="s">
        <v>1851</v>
      </c>
      <c r="F936" s="116">
        <v>98.96875</v>
      </c>
      <c r="G936" s="116">
        <v>99.007750000000001</v>
      </c>
      <c r="H936" s="116">
        <v>1.1200000000000001</v>
      </c>
      <c r="I936" s="113">
        <v>511</v>
      </c>
      <c r="J936" s="115" t="s">
        <v>271</v>
      </c>
    </row>
    <row r="937" spans="1:10" x14ac:dyDescent="0.25">
      <c r="A937" s="113">
        <v>934</v>
      </c>
      <c r="B937" s="114" t="s">
        <v>1898</v>
      </c>
      <c r="C937" s="115" t="s">
        <v>1899</v>
      </c>
      <c r="D937" s="115" t="s">
        <v>461</v>
      </c>
      <c r="E937" s="115" t="s">
        <v>1851</v>
      </c>
      <c r="F937" s="116">
        <v>100.01542423178188</v>
      </c>
      <c r="G937" s="116">
        <v>102.41272423178188</v>
      </c>
      <c r="H937" s="116">
        <v>4.32</v>
      </c>
      <c r="I937" s="113">
        <v>9</v>
      </c>
      <c r="J937" s="115" t="s">
        <v>271</v>
      </c>
    </row>
    <row r="938" spans="1:10" x14ac:dyDescent="0.25">
      <c r="A938" s="113">
        <v>935</v>
      </c>
      <c r="B938" s="114" t="s">
        <v>1900</v>
      </c>
      <c r="C938" s="115" t="s">
        <v>1901</v>
      </c>
      <c r="D938" s="115" t="s">
        <v>461</v>
      </c>
      <c r="E938" s="115" t="s">
        <v>1851</v>
      </c>
      <c r="F938" s="116">
        <v>100.06970263353595</v>
      </c>
      <c r="G938" s="116">
        <v>102.04230263353595</v>
      </c>
      <c r="H938" s="116">
        <v>4.3</v>
      </c>
      <c r="I938" s="113">
        <v>39</v>
      </c>
      <c r="J938" s="115" t="s">
        <v>271</v>
      </c>
    </row>
    <row r="939" spans="1:10" x14ac:dyDescent="0.25">
      <c r="A939" s="113">
        <v>936</v>
      </c>
      <c r="B939" s="114" t="s">
        <v>1902</v>
      </c>
      <c r="C939" s="115" t="s">
        <v>1903</v>
      </c>
      <c r="D939" s="115" t="s">
        <v>461</v>
      </c>
      <c r="E939" s="115" t="s">
        <v>1851</v>
      </c>
      <c r="F939" s="116">
        <v>100.17881375440051</v>
      </c>
      <c r="G939" s="116">
        <v>101.2874137544005</v>
      </c>
      <c r="H939" s="116">
        <v>4.1900000000000004</v>
      </c>
      <c r="I939" s="113">
        <v>100</v>
      </c>
      <c r="J939" s="115" t="s">
        <v>271</v>
      </c>
    </row>
    <row r="940" spans="1:10" x14ac:dyDescent="0.25">
      <c r="A940" s="113">
        <v>937</v>
      </c>
      <c r="B940" s="114" t="s">
        <v>1997</v>
      </c>
      <c r="C940" s="115" t="s">
        <v>1998</v>
      </c>
      <c r="D940" s="115" t="s">
        <v>461</v>
      </c>
      <c r="E940" s="115" t="s">
        <v>1851</v>
      </c>
      <c r="F940" s="116">
        <v>100.84375</v>
      </c>
      <c r="G940" s="116">
        <v>102.09824999999999</v>
      </c>
      <c r="H940" s="116">
        <v>3.91</v>
      </c>
      <c r="I940" s="113">
        <v>450</v>
      </c>
      <c r="J940" s="115" t="s">
        <v>271</v>
      </c>
    </row>
    <row r="941" spans="1:10" x14ac:dyDescent="0.25">
      <c r="A941" s="113">
        <v>938</v>
      </c>
      <c r="B941" s="114" t="s">
        <v>1904</v>
      </c>
      <c r="C941" s="115" t="s">
        <v>1905</v>
      </c>
      <c r="D941" s="115" t="s">
        <v>461</v>
      </c>
      <c r="E941" s="115" t="s">
        <v>1851</v>
      </c>
      <c r="F941" s="116">
        <v>103.5234375</v>
      </c>
      <c r="G941" s="116">
        <v>104.5751375</v>
      </c>
      <c r="H941" s="116">
        <v>3.94</v>
      </c>
      <c r="I941" s="113">
        <v>2108</v>
      </c>
      <c r="J941" s="115" t="s">
        <v>271</v>
      </c>
    </row>
    <row r="942" spans="1:10" x14ac:dyDescent="0.25">
      <c r="A942" s="113">
        <v>939</v>
      </c>
      <c r="B942" s="114" t="s">
        <v>1906</v>
      </c>
      <c r="C942" s="115" t="s">
        <v>1907</v>
      </c>
      <c r="D942" s="115" t="s">
        <v>461</v>
      </c>
      <c r="E942" s="115" t="s">
        <v>1851</v>
      </c>
      <c r="F942" s="116">
        <v>101.15625</v>
      </c>
      <c r="G942" s="116">
        <v>102.34285</v>
      </c>
      <c r="H942" s="116">
        <v>4.21</v>
      </c>
      <c r="I942" s="113">
        <v>3188</v>
      </c>
      <c r="J942" s="115" t="s">
        <v>271</v>
      </c>
    </row>
    <row r="943" spans="1:10" x14ac:dyDescent="0.25">
      <c r="A943" s="113">
        <v>940</v>
      </c>
      <c r="B943" s="114" t="s">
        <v>2029</v>
      </c>
      <c r="C943" s="115" t="s">
        <v>2030</v>
      </c>
      <c r="D943" s="115" t="s">
        <v>461</v>
      </c>
      <c r="E943" s="115" t="s">
        <v>1851</v>
      </c>
      <c r="F943" s="116">
        <v>99.835188742584123</v>
      </c>
      <c r="G943" s="116">
        <v>99.835188742584123</v>
      </c>
      <c r="H943" s="116">
        <v>4.57</v>
      </c>
      <c r="I943" s="113">
        <v>12</v>
      </c>
      <c r="J943" s="115" t="s">
        <v>271</v>
      </c>
    </row>
    <row r="944" spans="1:10" x14ac:dyDescent="0.25">
      <c r="A944" s="113">
        <v>941</v>
      </c>
      <c r="B944" s="114" t="s">
        <v>2025</v>
      </c>
      <c r="C944" s="115" t="s">
        <v>2026</v>
      </c>
      <c r="D944" s="115" t="s">
        <v>461</v>
      </c>
      <c r="E944" s="115" t="s">
        <v>1851</v>
      </c>
      <c r="F944" s="116">
        <v>99.506901840172844</v>
      </c>
      <c r="G944" s="116">
        <v>99.506901840172844</v>
      </c>
      <c r="H944" s="116">
        <v>4.3499999999999996</v>
      </c>
      <c r="I944" s="113">
        <v>40</v>
      </c>
      <c r="J944" s="115" t="s">
        <v>271</v>
      </c>
    </row>
    <row r="945" spans="1:10" x14ac:dyDescent="0.25">
      <c r="A945" s="113">
        <v>942</v>
      </c>
      <c r="B945" s="114" t="s">
        <v>1999</v>
      </c>
      <c r="C945" s="115" t="s">
        <v>2000</v>
      </c>
      <c r="D945" s="115" t="s">
        <v>461</v>
      </c>
      <c r="E945" s="115" t="s">
        <v>1851</v>
      </c>
      <c r="F945" s="116">
        <v>100.29491497951402</v>
      </c>
      <c r="G945" s="116">
        <v>102.51241497951402</v>
      </c>
      <c r="H945" s="116">
        <v>4.04</v>
      </c>
      <c r="I945" s="113">
        <v>190</v>
      </c>
      <c r="J945" s="115" t="s">
        <v>271</v>
      </c>
    </row>
    <row r="946" spans="1:10" x14ac:dyDescent="0.25">
      <c r="A946" s="113">
        <v>943</v>
      </c>
      <c r="B946" s="114" t="s">
        <v>2001</v>
      </c>
      <c r="C946" s="115" t="s">
        <v>2002</v>
      </c>
      <c r="D946" s="115" t="s">
        <v>461</v>
      </c>
      <c r="E946" s="115" t="s">
        <v>1851</v>
      </c>
      <c r="F946" s="116">
        <v>100.0546875</v>
      </c>
      <c r="G946" s="116">
        <v>100.31088750000001</v>
      </c>
      <c r="H946" s="116">
        <v>4.12</v>
      </c>
      <c r="I946" s="113">
        <v>162</v>
      </c>
      <c r="J946" s="115" t="s">
        <v>271</v>
      </c>
    </row>
    <row r="947" spans="1:10" x14ac:dyDescent="0.25">
      <c r="A947" s="113">
        <v>944</v>
      </c>
      <c r="B947" s="114" t="s">
        <v>2019</v>
      </c>
      <c r="C947" s="115" t="s">
        <v>2020</v>
      </c>
      <c r="D947" s="115" t="s">
        <v>461</v>
      </c>
      <c r="E947" s="115" t="s">
        <v>1851</v>
      </c>
      <c r="F947" s="116">
        <v>97.359375</v>
      </c>
      <c r="G947" s="116">
        <v>97.866874999999993</v>
      </c>
      <c r="H947" s="116">
        <v>3.91</v>
      </c>
      <c r="I947" s="113">
        <v>435</v>
      </c>
      <c r="J947" s="115" t="s">
        <v>271</v>
      </c>
    </row>
    <row r="948" spans="1:10" x14ac:dyDescent="0.25">
      <c r="A948" s="113">
        <v>945</v>
      </c>
      <c r="B948" s="114" t="s">
        <v>2021</v>
      </c>
      <c r="C948" s="115" t="s">
        <v>2022</v>
      </c>
      <c r="D948" s="115" t="s">
        <v>461</v>
      </c>
      <c r="E948" s="115" t="s">
        <v>1851</v>
      </c>
      <c r="F948" s="116">
        <v>98.59375</v>
      </c>
      <c r="G948" s="116">
        <v>99.882149999999996</v>
      </c>
      <c r="H948" s="116">
        <v>4.87</v>
      </c>
      <c r="I948" s="113">
        <v>6659</v>
      </c>
      <c r="J948" s="115" t="s">
        <v>271</v>
      </c>
    </row>
    <row r="949" spans="1:10" x14ac:dyDescent="0.25">
      <c r="A949" s="113">
        <v>946</v>
      </c>
      <c r="B949" s="114" t="s">
        <v>2197</v>
      </c>
      <c r="C949" s="115" t="s">
        <v>2198</v>
      </c>
      <c r="D949" s="115" t="s">
        <v>461</v>
      </c>
      <c r="E949" s="115" t="s">
        <v>1851</v>
      </c>
      <c r="F949" s="116">
        <v>99.201428500570401</v>
      </c>
      <c r="G949" s="116">
        <v>99.201428500570401</v>
      </c>
      <c r="H949" s="116">
        <v>4.2</v>
      </c>
      <c r="I949" s="113">
        <v>68</v>
      </c>
      <c r="J949" s="115" t="s">
        <v>271</v>
      </c>
    </row>
    <row r="950" spans="1:10" x14ac:dyDescent="0.25">
      <c r="A950" s="113">
        <v>947</v>
      </c>
      <c r="B950" s="114" t="s">
        <v>2199</v>
      </c>
      <c r="C950" s="115" t="s">
        <v>2200</v>
      </c>
      <c r="D950" s="115" t="s">
        <v>461</v>
      </c>
      <c r="E950" s="115" t="s">
        <v>1851</v>
      </c>
      <c r="F950" s="116">
        <v>98.881037459845032</v>
      </c>
      <c r="G950" s="116">
        <v>98.881037459845032</v>
      </c>
      <c r="H950" s="116">
        <v>4.16</v>
      </c>
      <c r="I950" s="113">
        <v>96</v>
      </c>
      <c r="J950" s="115" t="s">
        <v>271</v>
      </c>
    </row>
    <row r="951" spans="1:10" x14ac:dyDescent="0.25">
      <c r="A951" s="113">
        <v>948</v>
      </c>
      <c r="B951" s="114" t="s">
        <v>2201</v>
      </c>
      <c r="C951" s="115" t="s">
        <v>2202</v>
      </c>
      <c r="D951" s="115" t="s">
        <v>461</v>
      </c>
      <c r="E951" s="115" t="s">
        <v>1851</v>
      </c>
      <c r="F951" s="116">
        <v>98.594804930178441</v>
      </c>
      <c r="G951" s="116">
        <v>98.594804930178441</v>
      </c>
      <c r="H951" s="116">
        <v>4.07</v>
      </c>
      <c r="I951" s="113">
        <v>124</v>
      </c>
      <c r="J951" s="115" t="s">
        <v>271</v>
      </c>
    </row>
    <row r="952" spans="1:10" x14ac:dyDescent="0.25">
      <c r="A952" s="113">
        <v>949</v>
      </c>
      <c r="B952" s="114" t="s">
        <v>2203</v>
      </c>
      <c r="C952" s="115" t="s">
        <v>2204</v>
      </c>
      <c r="D952" s="115" t="s">
        <v>461</v>
      </c>
      <c r="E952" s="115" t="s">
        <v>1851</v>
      </c>
      <c r="F952" s="116">
        <v>98.321810563367578</v>
      </c>
      <c r="G952" s="116">
        <v>98.321810563367578</v>
      </c>
      <c r="H952" s="116">
        <v>4.0199999999999996</v>
      </c>
      <c r="I952" s="113">
        <v>150</v>
      </c>
      <c r="J952" s="115" t="s">
        <v>271</v>
      </c>
    </row>
    <row r="953" spans="1:10" x14ac:dyDescent="0.25">
      <c r="A953" s="113">
        <v>950</v>
      </c>
      <c r="B953" s="114" t="s">
        <v>2208</v>
      </c>
      <c r="C953" s="115" t="s">
        <v>2209</v>
      </c>
      <c r="D953" s="115" t="s">
        <v>461</v>
      </c>
      <c r="E953" s="115" t="s">
        <v>1851</v>
      </c>
      <c r="F953" s="116">
        <v>98.033649233152204</v>
      </c>
      <c r="G953" s="116">
        <v>98.033649233152204</v>
      </c>
      <c r="H953" s="116">
        <v>3.99</v>
      </c>
      <c r="I953" s="113">
        <v>177</v>
      </c>
      <c r="J953" s="115" t="s">
        <v>271</v>
      </c>
    </row>
    <row r="954" spans="1:10" x14ac:dyDescent="0.25">
      <c r="A954" s="113">
        <v>951</v>
      </c>
      <c r="B954" s="114" t="s">
        <v>2210</v>
      </c>
      <c r="C954" s="115" t="s">
        <v>2211</v>
      </c>
      <c r="D954" s="115" t="s">
        <v>461</v>
      </c>
      <c r="E954" s="115" t="s">
        <v>1851</v>
      </c>
      <c r="F954" s="116">
        <v>97.79233797032002</v>
      </c>
      <c r="G954" s="116">
        <v>97.79233797032002</v>
      </c>
      <c r="H954" s="116">
        <v>3.89</v>
      </c>
      <c r="I954" s="113">
        <v>207</v>
      </c>
      <c r="J954" s="115" t="s">
        <v>271</v>
      </c>
    </row>
    <row r="955" spans="1:10" x14ac:dyDescent="0.25">
      <c r="A955" s="113">
        <v>952</v>
      </c>
      <c r="B955" s="114" t="s">
        <v>2301</v>
      </c>
      <c r="C955" s="115" t="s">
        <v>2302</v>
      </c>
      <c r="D955" s="115" t="s">
        <v>461</v>
      </c>
      <c r="E955" s="115" t="s">
        <v>1851</v>
      </c>
      <c r="F955" s="116">
        <v>100.36328125</v>
      </c>
      <c r="G955" s="116">
        <v>100.61188125</v>
      </c>
      <c r="H955" s="116">
        <v>3.86</v>
      </c>
      <c r="I955" s="113">
        <v>527</v>
      </c>
      <c r="J955" s="115" t="s">
        <v>271</v>
      </c>
    </row>
    <row r="956" spans="1:10" x14ac:dyDescent="0.25">
      <c r="A956" s="113">
        <v>953</v>
      </c>
      <c r="B956" s="114" t="s">
        <v>2303</v>
      </c>
      <c r="C956" s="115" t="s">
        <v>2304</v>
      </c>
      <c r="D956" s="115" t="s">
        <v>461</v>
      </c>
      <c r="E956" s="115" t="s">
        <v>1851</v>
      </c>
      <c r="F956" s="116">
        <v>97.521042196542282</v>
      </c>
      <c r="G956" s="116">
        <v>97.521042196542282</v>
      </c>
      <c r="H956" s="116">
        <v>3.86</v>
      </c>
      <c r="I956" s="113">
        <v>234</v>
      </c>
      <c r="J956" s="115" t="s">
        <v>271</v>
      </c>
    </row>
    <row r="957" spans="1:10" x14ac:dyDescent="0.25">
      <c r="A957" s="113">
        <v>954</v>
      </c>
      <c r="B957" s="114" t="s">
        <v>2305</v>
      </c>
      <c r="C957" s="115" t="s">
        <v>2306</v>
      </c>
      <c r="D957" s="115" t="s">
        <v>461</v>
      </c>
      <c r="E957" s="115" t="s">
        <v>1851</v>
      </c>
      <c r="F957" s="116">
        <v>97.247937398261101</v>
      </c>
      <c r="G957" s="116">
        <v>97.247937398261101</v>
      </c>
      <c r="H957" s="116">
        <v>3.84</v>
      </c>
      <c r="I957" s="113">
        <v>262</v>
      </c>
      <c r="J957" s="115" t="s">
        <v>271</v>
      </c>
    </row>
    <row r="958" spans="1:10" x14ac:dyDescent="0.25">
      <c r="A958" s="113">
        <v>955</v>
      </c>
      <c r="B958" s="114" t="s">
        <v>2307</v>
      </c>
      <c r="C958" s="115" t="s">
        <v>2308</v>
      </c>
      <c r="D958" s="115" t="s">
        <v>461</v>
      </c>
      <c r="E958" s="115" t="s">
        <v>1851</v>
      </c>
      <c r="F958" s="116">
        <v>99.612838102574656</v>
      </c>
      <c r="G958" s="116">
        <v>99.612838102574656</v>
      </c>
      <c r="H958" s="116">
        <v>4.37</v>
      </c>
      <c r="I958" s="113">
        <v>31</v>
      </c>
      <c r="J958" s="115" t="s">
        <v>271</v>
      </c>
    </row>
    <row r="959" spans="1:10" x14ac:dyDescent="0.25">
      <c r="A959" s="113">
        <v>956</v>
      </c>
      <c r="B959" s="114" t="s">
        <v>1849</v>
      </c>
      <c r="C959" s="115" t="s">
        <v>1850</v>
      </c>
      <c r="D959" s="115" t="s">
        <v>461</v>
      </c>
      <c r="E959" s="115" t="s">
        <v>1851</v>
      </c>
      <c r="F959" s="116">
        <v>108.7421875</v>
      </c>
      <c r="G959" s="116">
        <v>108.85968750000001</v>
      </c>
      <c r="H959" s="116">
        <v>3.74</v>
      </c>
      <c r="I959" s="113">
        <v>1454</v>
      </c>
      <c r="J959" s="115" t="s">
        <v>271</v>
      </c>
    </row>
    <row r="960" spans="1:10" x14ac:dyDescent="0.25">
      <c r="A960" s="113">
        <v>957</v>
      </c>
      <c r="B960" s="114" t="s">
        <v>1852</v>
      </c>
      <c r="C960" s="115" t="s">
        <v>1853</v>
      </c>
      <c r="D960" s="115" t="s">
        <v>461</v>
      </c>
      <c r="E960" s="115" t="s">
        <v>1851</v>
      </c>
      <c r="F960" s="116">
        <v>85.9765625</v>
      </c>
      <c r="G960" s="116">
        <v>86.213862500000005</v>
      </c>
      <c r="H960" s="116">
        <v>3.86</v>
      </c>
      <c r="I960" s="113">
        <v>1911</v>
      </c>
      <c r="J960" s="115" t="s">
        <v>271</v>
      </c>
    </row>
    <row r="961" spans="1:10" x14ac:dyDescent="0.25">
      <c r="A961" s="113">
        <v>958</v>
      </c>
      <c r="B961" s="114" t="s">
        <v>1854</v>
      </c>
      <c r="C961" s="115" t="s">
        <v>1855</v>
      </c>
      <c r="D961" s="115" t="s">
        <v>461</v>
      </c>
      <c r="E961" s="115" t="s">
        <v>1851</v>
      </c>
      <c r="F961" s="116">
        <v>76.015625</v>
      </c>
      <c r="G961" s="116">
        <v>76.829324999999997</v>
      </c>
      <c r="H961" s="116">
        <v>4.95</v>
      </c>
      <c r="I961" s="113">
        <v>7025</v>
      </c>
      <c r="J961" s="115" t="s">
        <v>271</v>
      </c>
    </row>
    <row r="962" spans="1:10" x14ac:dyDescent="0.25">
      <c r="A962" s="113">
        <v>959</v>
      </c>
      <c r="B962" s="114" t="s">
        <v>1856</v>
      </c>
      <c r="C962" s="115" t="s">
        <v>1857</v>
      </c>
      <c r="D962" s="115" t="s">
        <v>461</v>
      </c>
      <c r="E962" s="115" t="s">
        <v>1851</v>
      </c>
      <c r="F962" s="116">
        <v>72.046875</v>
      </c>
      <c r="G962" s="116">
        <v>72.657174999999995</v>
      </c>
      <c r="H962" s="116">
        <v>4.8</v>
      </c>
      <c r="I962" s="113">
        <v>5745</v>
      </c>
      <c r="J962" s="115" t="s">
        <v>271</v>
      </c>
    </row>
    <row r="963" spans="1:10" x14ac:dyDescent="0.25">
      <c r="A963" s="113">
        <v>960</v>
      </c>
      <c r="B963" s="114" t="s">
        <v>1858</v>
      </c>
      <c r="C963" s="115" t="s">
        <v>1859</v>
      </c>
      <c r="D963" s="115" t="s">
        <v>461</v>
      </c>
      <c r="E963" s="115" t="s">
        <v>1851</v>
      </c>
      <c r="F963" s="116">
        <v>98.37109375</v>
      </c>
      <c r="G963" s="116">
        <v>98.393693749999997</v>
      </c>
      <c r="H963" s="116">
        <v>4.12</v>
      </c>
      <c r="I963" s="113">
        <v>162</v>
      </c>
      <c r="J963" s="115" t="s">
        <v>271</v>
      </c>
    </row>
    <row r="964" spans="1:10" x14ac:dyDescent="0.25">
      <c r="A964" s="113">
        <v>961</v>
      </c>
      <c r="B964" s="114" t="s">
        <v>1860</v>
      </c>
      <c r="C964" s="115" t="s">
        <v>1861</v>
      </c>
      <c r="D964" s="115" t="s">
        <v>461</v>
      </c>
      <c r="E964" s="115" t="s">
        <v>1851</v>
      </c>
      <c r="F964" s="116">
        <v>99.756295704537706</v>
      </c>
      <c r="G964" s="116">
        <v>100.6932957045377</v>
      </c>
      <c r="H964" s="116">
        <v>4.2699999999999996</v>
      </c>
      <c r="I964" s="113">
        <v>70</v>
      </c>
      <c r="J964" s="115" t="s">
        <v>271</v>
      </c>
    </row>
    <row r="965" spans="1:10" x14ac:dyDescent="0.25">
      <c r="A965" s="113">
        <v>962</v>
      </c>
      <c r="B965" s="114" t="s">
        <v>1862</v>
      </c>
      <c r="C965" s="115" t="s">
        <v>1863</v>
      </c>
      <c r="D965" s="115" t="s">
        <v>461</v>
      </c>
      <c r="E965" s="115" t="s">
        <v>1851</v>
      </c>
      <c r="F965" s="116">
        <v>85.828125</v>
      </c>
      <c r="G965" s="116">
        <v>86.913025000000005</v>
      </c>
      <c r="H965" s="116">
        <v>4.95</v>
      </c>
      <c r="I965" s="113">
        <v>9947</v>
      </c>
      <c r="J965" s="115" t="s">
        <v>271</v>
      </c>
    </row>
    <row r="966" spans="1:10" x14ac:dyDescent="0.25">
      <c r="A966" s="113">
        <v>963</v>
      </c>
      <c r="B966" s="114" t="s">
        <v>1864</v>
      </c>
      <c r="C966" s="115" t="s">
        <v>1865</v>
      </c>
      <c r="D966" s="115" t="s">
        <v>461</v>
      </c>
      <c r="E966" s="115" t="s">
        <v>1851</v>
      </c>
      <c r="F966" s="116">
        <v>98.063792591665319</v>
      </c>
      <c r="G966" s="116">
        <v>98.359692591665322</v>
      </c>
      <c r="H966" s="116">
        <v>4.0199999999999996</v>
      </c>
      <c r="I966" s="113">
        <v>221</v>
      </c>
      <c r="J966" s="115" t="s">
        <v>271</v>
      </c>
    </row>
    <row r="967" spans="1:10" x14ac:dyDescent="0.25">
      <c r="A967" s="113">
        <v>964</v>
      </c>
      <c r="B967" s="114" t="s">
        <v>1866</v>
      </c>
      <c r="C967" s="115" t="s">
        <v>1867</v>
      </c>
      <c r="D967" s="115" t="s">
        <v>461</v>
      </c>
      <c r="E967" s="115" t="s">
        <v>1851</v>
      </c>
      <c r="F967" s="116">
        <v>97.408464147021817</v>
      </c>
      <c r="G967" s="116">
        <v>97.53556414702183</v>
      </c>
      <c r="H967" s="116">
        <v>3.99</v>
      </c>
      <c r="I967" s="113">
        <v>312</v>
      </c>
      <c r="J967" s="115" t="s">
        <v>271</v>
      </c>
    </row>
    <row r="968" spans="1:10" x14ac:dyDescent="0.25">
      <c r="A968" s="113">
        <v>965</v>
      </c>
      <c r="B968" s="114" t="s">
        <v>1868</v>
      </c>
      <c r="C968" s="115" t="s">
        <v>1869</v>
      </c>
      <c r="D968" s="115" t="s">
        <v>461</v>
      </c>
      <c r="E968" s="115" t="s">
        <v>1851</v>
      </c>
      <c r="F968" s="116">
        <v>99.953125</v>
      </c>
      <c r="G968" s="116">
        <v>100.698325</v>
      </c>
      <c r="H968" s="116">
        <v>4.1399999999999997</v>
      </c>
      <c r="I968" s="113">
        <v>115</v>
      </c>
      <c r="J968" s="115" t="s">
        <v>271</v>
      </c>
    </row>
    <row r="969" spans="1:10" x14ac:dyDescent="0.25">
      <c r="A969" s="113">
        <v>966</v>
      </c>
      <c r="B969" s="114" t="s">
        <v>1870</v>
      </c>
      <c r="C969" s="115" t="s">
        <v>1871</v>
      </c>
      <c r="D969" s="115" t="s">
        <v>461</v>
      </c>
      <c r="E969" s="115" t="s">
        <v>1851</v>
      </c>
      <c r="F969" s="116">
        <v>99.855241863430919</v>
      </c>
      <c r="G969" s="116">
        <v>101.03884186343092</v>
      </c>
      <c r="H969" s="116">
        <v>4.3499999999999996</v>
      </c>
      <c r="I969" s="113">
        <v>39</v>
      </c>
      <c r="J969" s="115" t="s">
        <v>271</v>
      </c>
    </row>
    <row r="970" spans="1:10" x14ac:dyDescent="0.25">
      <c r="A970" s="113">
        <v>967</v>
      </c>
      <c r="B970" s="114" t="s">
        <v>1872</v>
      </c>
      <c r="C970" s="115" t="s">
        <v>1873</v>
      </c>
      <c r="D970" s="115" t="s">
        <v>461</v>
      </c>
      <c r="E970" s="115" t="s">
        <v>1851</v>
      </c>
      <c r="F970" s="116">
        <v>99.955171300884714</v>
      </c>
      <c r="G970" s="116">
        <v>101.27367130088471</v>
      </c>
      <c r="H970" s="116">
        <v>4.5599999999999996</v>
      </c>
      <c r="I970" s="113">
        <v>9</v>
      </c>
      <c r="J970" s="115" t="s">
        <v>271</v>
      </c>
    </row>
    <row r="971" spans="1:10" x14ac:dyDescent="0.25">
      <c r="A971" s="113">
        <v>968</v>
      </c>
      <c r="B971" s="114" t="s">
        <v>1874</v>
      </c>
      <c r="C971" s="115" t="s">
        <v>1875</v>
      </c>
      <c r="D971" s="115" t="s">
        <v>461</v>
      </c>
      <c r="E971" s="115" t="s">
        <v>1851</v>
      </c>
      <c r="F971" s="116">
        <v>93.15625</v>
      </c>
      <c r="G971" s="116">
        <v>93.936049999999994</v>
      </c>
      <c r="H971" s="116">
        <v>4.05</v>
      </c>
      <c r="I971" s="113">
        <v>2458</v>
      </c>
      <c r="J971" s="115" t="s">
        <v>271</v>
      </c>
    </row>
    <row r="972" spans="1:10" x14ac:dyDescent="0.25">
      <c r="A972" s="113">
        <v>969</v>
      </c>
      <c r="B972" s="114" t="s">
        <v>1908</v>
      </c>
      <c r="C972" s="115" t="s">
        <v>1909</v>
      </c>
      <c r="D972" s="115" t="s">
        <v>461</v>
      </c>
      <c r="E972" s="115" t="s">
        <v>2129</v>
      </c>
      <c r="F972" s="116">
        <v>100</v>
      </c>
      <c r="G972" s="116">
        <v>100.1497</v>
      </c>
      <c r="H972" s="116">
        <v>0.35</v>
      </c>
      <c r="I972" s="113">
        <v>326</v>
      </c>
      <c r="J972" s="115" t="s">
        <v>271</v>
      </c>
    </row>
    <row r="973" spans="1:10" x14ac:dyDescent="0.25">
      <c r="A973" s="113">
        <v>970</v>
      </c>
      <c r="B973" s="114" t="s">
        <v>1910</v>
      </c>
      <c r="C973" s="115" t="s">
        <v>1911</v>
      </c>
      <c r="D973" s="115" t="s">
        <v>461</v>
      </c>
      <c r="E973" s="115" t="s">
        <v>2129</v>
      </c>
      <c r="F973" s="116">
        <v>100</v>
      </c>
      <c r="G973" s="116">
        <v>100.1157</v>
      </c>
      <c r="H973" s="116">
        <v>0.35</v>
      </c>
      <c r="I973" s="113">
        <v>61</v>
      </c>
      <c r="J973" s="115" t="s">
        <v>271</v>
      </c>
    </row>
    <row r="974" spans="1:10" x14ac:dyDescent="0.25">
      <c r="A974" s="113">
        <v>971</v>
      </c>
      <c r="B974" s="114" t="s">
        <v>2325</v>
      </c>
      <c r="C974" s="115" t="s">
        <v>2326</v>
      </c>
      <c r="D974" s="115" t="s">
        <v>461</v>
      </c>
      <c r="E974" s="115" t="s">
        <v>2129</v>
      </c>
      <c r="F974" s="116">
        <v>100</v>
      </c>
      <c r="G974" s="116">
        <v>100.035</v>
      </c>
      <c r="H974" s="116">
        <v>0.35</v>
      </c>
      <c r="I974" s="113">
        <v>684</v>
      </c>
      <c r="J974" s="115" t="s">
        <v>271</v>
      </c>
    </row>
    <row r="975" spans="1:10" x14ac:dyDescent="0.25">
      <c r="A975" s="113">
        <v>972</v>
      </c>
      <c r="B975" s="114" t="s">
        <v>1912</v>
      </c>
      <c r="C975" s="115" t="s">
        <v>1913</v>
      </c>
      <c r="D975" s="115" t="s">
        <v>461</v>
      </c>
      <c r="E975" s="115" t="s">
        <v>2129</v>
      </c>
      <c r="F975" s="116">
        <v>100</v>
      </c>
      <c r="G975" s="116">
        <v>100.0021</v>
      </c>
      <c r="H975" s="116">
        <v>0.02</v>
      </c>
      <c r="I975" s="113">
        <v>3098</v>
      </c>
      <c r="J975" s="115" t="s">
        <v>271</v>
      </c>
    </row>
    <row r="976" spans="1:10" x14ac:dyDescent="0.25">
      <c r="A976" s="113">
        <v>973</v>
      </c>
      <c r="B976" s="114" t="s">
        <v>2408</v>
      </c>
      <c r="C976" s="115" t="s">
        <v>2409</v>
      </c>
      <c r="D976" s="115" t="s">
        <v>461</v>
      </c>
      <c r="E976" s="115" t="s">
        <v>2129</v>
      </c>
      <c r="F976" s="116">
        <v>90.5614830951546</v>
      </c>
      <c r="G976" s="116">
        <v>91.673683095154601</v>
      </c>
      <c r="H976" s="116">
        <v>20.47</v>
      </c>
      <c r="I976" s="113">
        <v>3578</v>
      </c>
      <c r="J976" s="115" t="s">
        <v>271</v>
      </c>
    </row>
    <row r="977" spans="1:10" x14ac:dyDescent="0.25">
      <c r="A977" s="113">
        <v>974</v>
      </c>
      <c r="B977" s="114" t="s">
        <v>1914</v>
      </c>
      <c r="C977" s="115" t="s">
        <v>1915</v>
      </c>
      <c r="D977" s="115" t="s">
        <v>451</v>
      </c>
      <c r="E977" s="115" t="s">
        <v>1916</v>
      </c>
      <c r="F977" s="116">
        <v>0.01</v>
      </c>
      <c r="G977" s="116">
        <v>0.01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1917</v>
      </c>
      <c r="C978" s="115" t="s">
        <v>1918</v>
      </c>
      <c r="D978" s="115" t="s">
        <v>451</v>
      </c>
      <c r="E978" s="115" t="s">
        <v>1916</v>
      </c>
      <c r="F978" s="116">
        <v>28000</v>
      </c>
      <c r="G978" s="116">
        <v>28000</v>
      </c>
      <c r="H978" s="116">
        <v>0</v>
      </c>
      <c r="I978" s="113">
        <v>0</v>
      </c>
      <c r="J978" s="115" t="s">
        <v>240</v>
      </c>
    </row>
    <row r="979" spans="1:10" x14ac:dyDescent="0.25">
      <c r="A979" s="113">
        <v>976</v>
      </c>
      <c r="B979" s="114" t="s">
        <v>2238</v>
      </c>
      <c r="C979" s="115" t="s">
        <v>2239</v>
      </c>
      <c r="D979" s="115" t="s">
        <v>461</v>
      </c>
      <c r="E979" s="115" t="s">
        <v>2240</v>
      </c>
      <c r="F979" s="116">
        <v>100.20865286407178</v>
      </c>
      <c r="G979" s="116">
        <v>104.59615286407178</v>
      </c>
      <c r="H979" s="116">
        <v>20.14</v>
      </c>
      <c r="I979" s="113">
        <v>1002</v>
      </c>
      <c r="J979" s="115" t="s">
        <v>271</v>
      </c>
    </row>
    <row r="980" spans="1:10" x14ac:dyDescent="0.25">
      <c r="A980" s="113">
        <v>977</v>
      </c>
      <c r="B980" s="114" t="s">
        <v>2225</v>
      </c>
      <c r="C980" s="115" t="s">
        <v>2226</v>
      </c>
      <c r="D980" s="115" t="s">
        <v>461</v>
      </c>
      <c r="E980" s="115" t="s">
        <v>1919</v>
      </c>
      <c r="F980" s="116">
        <v>100</v>
      </c>
      <c r="G980" s="116">
        <v>100.0826</v>
      </c>
      <c r="H980" s="116">
        <v>0.35</v>
      </c>
      <c r="I980" s="113">
        <v>635</v>
      </c>
      <c r="J980" s="115" t="s">
        <v>271</v>
      </c>
    </row>
    <row r="981" spans="1:10" x14ac:dyDescent="0.25">
      <c r="A981" s="113">
        <v>978</v>
      </c>
      <c r="B981" s="114" t="s">
        <v>1920</v>
      </c>
      <c r="C981" s="115" t="s">
        <v>1921</v>
      </c>
      <c r="D981" s="115" t="s">
        <v>461</v>
      </c>
      <c r="E981" s="115" t="s">
        <v>1919</v>
      </c>
      <c r="F981" s="116">
        <v>100</v>
      </c>
      <c r="G981" s="116">
        <v>100.0035</v>
      </c>
      <c r="H981" s="116">
        <v>0.02</v>
      </c>
      <c r="I981" s="113">
        <v>3098</v>
      </c>
      <c r="J981" s="115" t="s">
        <v>271</v>
      </c>
    </row>
    <row r="982" spans="1:10" x14ac:dyDescent="0.25">
      <c r="A982" s="113">
        <v>979</v>
      </c>
      <c r="B982" s="114" t="s">
        <v>1922</v>
      </c>
      <c r="C982" s="115" t="s">
        <v>1923</v>
      </c>
      <c r="D982" s="115" t="s">
        <v>461</v>
      </c>
      <c r="E982" s="115" t="s">
        <v>1919</v>
      </c>
      <c r="F982" s="116">
        <v>100</v>
      </c>
      <c r="G982" s="116">
        <v>100.0039</v>
      </c>
      <c r="H982" s="116">
        <v>0.02</v>
      </c>
      <c r="I982" s="113">
        <v>3098</v>
      </c>
      <c r="J982" s="115" t="s">
        <v>271</v>
      </c>
    </row>
    <row r="983" spans="1:10" x14ac:dyDescent="0.25">
      <c r="A983" s="113">
        <v>980</v>
      </c>
      <c r="B983" s="114" t="s">
        <v>1924</v>
      </c>
      <c r="C983" s="115" t="s">
        <v>1925</v>
      </c>
      <c r="D983" s="115" t="s">
        <v>461</v>
      </c>
      <c r="E983" s="115" t="s">
        <v>1919</v>
      </c>
      <c r="F983" s="116">
        <v>100</v>
      </c>
      <c r="G983" s="116">
        <v>100.9658</v>
      </c>
      <c r="H983" s="116">
        <v>6.08</v>
      </c>
      <c r="I983" s="113">
        <v>1713</v>
      </c>
      <c r="J983" s="115" t="s">
        <v>271</v>
      </c>
    </row>
    <row r="984" spans="1:10" x14ac:dyDescent="0.25">
      <c r="A984" s="113">
        <v>981</v>
      </c>
      <c r="B984" s="114" t="s">
        <v>1926</v>
      </c>
      <c r="C984" s="115" t="s">
        <v>1927</v>
      </c>
      <c r="D984" s="115" t="s">
        <v>461</v>
      </c>
      <c r="E984" s="115" t="s">
        <v>1919</v>
      </c>
      <c r="F984" s="116">
        <v>100</v>
      </c>
      <c r="G984" s="116">
        <v>105.8181</v>
      </c>
      <c r="H984" s="116">
        <v>7.08</v>
      </c>
      <c r="I984" s="113">
        <v>2195</v>
      </c>
      <c r="J984" s="115" t="s">
        <v>271</v>
      </c>
    </row>
    <row r="985" spans="1:10" x14ac:dyDescent="0.25">
      <c r="A985" s="113">
        <v>982</v>
      </c>
      <c r="B985" s="114" t="s">
        <v>2337</v>
      </c>
      <c r="C985" s="115" t="s">
        <v>2338</v>
      </c>
      <c r="D985" s="115" t="s">
        <v>461</v>
      </c>
      <c r="E985" s="115" t="s">
        <v>1919</v>
      </c>
      <c r="F985" s="116">
        <v>90.565361604314802</v>
      </c>
      <c r="G985" s="116">
        <v>92.284261604314807</v>
      </c>
      <c r="H985" s="116">
        <v>20.46</v>
      </c>
      <c r="I985" s="113">
        <v>3566</v>
      </c>
      <c r="J985" s="115" t="s">
        <v>271</v>
      </c>
    </row>
    <row r="986" spans="1:10" x14ac:dyDescent="0.25">
      <c r="A986" s="113">
        <v>983</v>
      </c>
      <c r="B986" s="114" t="s">
        <v>2410</v>
      </c>
      <c r="C986" s="115" t="s">
        <v>2411</v>
      </c>
      <c r="D986" s="115" t="s">
        <v>461</v>
      </c>
      <c r="E986" s="115" t="s">
        <v>1919</v>
      </c>
      <c r="F986" s="116">
        <v>90.5614830951546</v>
      </c>
      <c r="G986" s="116">
        <v>91.673683095154601</v>
      </c>
      <c r="H986" s="116">
        <v>20.47</v>
      </c>
      <c r="I986" s="113">
        <v>3578</v>
      </c>
      <c r="J986" s="115" t="s">
        <v>271</v>
      </c>
    </row>
    <row r="987" spans="1:10" x14ac:dyDescent="0.25">
      <c r="A987" s="113">
        <v>984</v>
      </c>
      <c r="B987" s="114" t="s">
        <v>1928</v>
      </c>
      <c r="C987" s="115" t="s">
        <v>1929</v>
      </c>
      <c r="D987" s="115" t="s">
        <v>461</v>
      </c>
      <c r="E987" s="115" t="s">
        <v>1919</v>
      </c>
      <c r="F987" s="116">
        <v>100</v>
      </c>
      <c r="G987" s="116">
        <v>100.1356</v>
      </c>
      <c r="H987" s="116">
        <v>6.09</v>
      </c>
      <c r="I987" s="113">
        <v>2122</v>
      </c>
      <c r="J987" s="115" t="s">
        <v>271</v>
      </c>
    </row>
    <row r="988" spans="1:10" x14ac:dyDescent="0.25">
      <c r="A988" s="113">
        <v>985</v>
      </c>
      <c r="B988" s="114" t="s">
        <v>1930</v>
      </c>
      <c r="C988" s="115" t="s">
        <v>1931</v>
      </c>
      <c r="D988" s="115" t="s">
        <v>461</v>
      </c>
      <c r="E988" s="115" t="s">
        <v>1919</v>
      </c>
      <c r="F988" s="116">
        <v>100</v>
      </c>
      <c r="G988" s="116">
        <v>105.08329999999999</v>
      </c>
      <c r="H988" s="116">
        <v>6.08</v>
      </c>
      <c r="I988" s="113">
        <v>2550</v>
      </c>
      <c r="J988" s="115" t="s">
        <v>271</v>
      </c>
    </row>
    <row r="989" spans="1:10" x14ac:dyDescent="0.25">
      <c r="A989" s="113">
        <v>986</v>
      </c>
      <c r="B989" s="114" t="s">
        <v>1932</v>
      </c>
      <c r="C989" s="115" t="s">
        <v>1933</v>
      </c>
      <c r="D989" s="115" t="s">
        <v>461</v>
      </c>
      <c r="E989" s="115" t="s">
        <v>1919</v>
      </c>
      <c r="F989" s="116">
        <v>100</v>
      </c>
      <c r="G989" s="116">
        <v>105.08329999999999</v>
      </c>
      <c r="H989" s="116">
        <v>6.08</v>
      </c>
      <c r="I989" s="113">
        <v>2550</v>
      </c>
      <c r="J989" s="115" t="s">
        <v>271</v>
      </c>
    </row>
    <row r="990" spans="1:10" x14ac:dyDescent="0.25">
      <c r="A990" s="113">
        <v>987</v>
      </c>
      <c r="B990" s="114" t="s">
        <v>1934</v>
      </c>
      <c r="C990" s="115" t="s">
        <v>1935</v>
      </c>
      <c r="D990" s="115" t="s">
        <v>461</v>
      </c>
      <c r="E990" s="115" t="s">
        <v>1919</v>
      </c>
      <c r="F990" s="116">
        <v>100</v>
      </c>
      <c r="G990" s="116">
        <v>103.9481</v>
      </c>
      <c r="H990" s="116">
        <v>6.08</v>
      </c>
      <c r="I990" s="113">
        <v>2617</v>
      </c>
      <c r="J990" s="115" t="s">
        <v>271</v>
      </c>
    </row>
    <row r="991" spans="1:10" x14ac:dyDescent="0.25">
      <c r="A991" s="113">
        <v>988</v>
      </c>
      <c r="B991" s="114" t="s">
        <v>1936</v>
      </c>
      <c r="C991" s="115" t="s">
        <v>1937</v>
      </c>
      <c r="D991" s="115" t="s">
        <v>451</v>
      </c>
      <c r="E991" s="115" t="s">
        <v>1938</v>
      </c>
      <c r="F991" s="116">
        <v>24196.912950000005</v>
      </c>
      <c r="G991" s="116">
        <v>24196.912950000005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1939</v>
      </c>
      <c r="C992" s="115" t="s">
        <v>1940</v>
      </c>
      <c r="D992" s="115" t="s">
        <v>761</v>
      </c>
      <c r="E992" s="115" t="s">
        <v>1941</v>
      </c>
      <c r="F992" s="116">
        <v>44311.285550000008</v>
      </c>
      <c r="G992" s="116">
        <v>44311.285550000008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1942</v>
      </c>
      <c r="C993" s="115" t="s">
        <v>1943</v>
      </c>
      <c r="D993" s="115" t="s">
        <v>761</v>
      </c>
      <c r="E993" s="115" t="s">
        <v>1941</v>
      </c>
      <c r="F993" s="116">
        <v>46391.526650000007</v>
      </c>
      <c r="G993" s="116">
        <v>46391.526650000007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1944</v>
      </c>
      <c r="C994" s="115" t="s">
        <v>1945</v>
      </c>
      <c r="D994" s="115" t="s">
        <v>451</v>
      </c>
      <c r="E994" s="115" t="s">
        <v>1946</v>
      </c>
      <c r="F994" s="116">
        <v>58445.636900000012</v>
      </c>
      <c r="G994" s="116">
        <v>58445.636900000012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1947</v>
      </c>
      <c r="C995" s="115" t="s">
        <v>1948</v>
      </c>
      <c r="D995" s="115" t="s">
        <v>451</v>
      </c>
      <c r="E995" s="115" t="s">
        <v>1949</v>
      </c>
      <c r="F995" s="116">
        <v>1000</v>
      </c>
      <c r="G995" s="116">
        <v>1000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1950</v>
      </c>
      <c r="C996" s="115" t="s">
        <v>1951</v>
      </c>
      <c r="D996" s="115" t="s">
        <v>451</v>
      </c>
      <c r="E996" s="115" t="s">
        <v>1952</v>
      </c>
      <c r="F996" s="116">
        <v>0.01</v>
      </c>
      <c r="G996" s="116">
        <v>0.01</v>
      </c>
      <c r="H996" s="116">
        <v>0</v>
      </c>
      <c r="I996" s="113">
        <v>2823</v>
      </c>
      <c r="J996" s="115" t="s">
        <v>240</v>
      </c>
    </row>
    <row r="997" spans="1:10" x14ac:dyDescent="0.25">
      <c r="A997" s="113">
        <v>994</v>
      </c>
      <c r="B997" s="114" t="s">
        <v>1953</v>
      </c>
      <c r="C997" s="115" t="s">
        <v>1954</v>
      </c>
      <c r="D997" s="115" t="s">
        <v>451</v>
      </c>
      <c r="E997" s="115" t="s">
        <v>1952</v>
      </c>
      <c r="F997" s="116">
        <v>0.01</v>
      </c>
      <c r="G997" s="116">
        <v>0.01</v>
      </c>
      <c r="H997" s="116">
        <v>0</v>
      </c>
      <c r="I997" s="113">
        <v>2662</v>
      </c>
      <c r="J997" s="115" t="s">
        <v>240</v>
      </c>
    </row>
    <row r="998" spans="1:10" x14ac:dyDescent="0.25">
      <c r="A998" s="113">
        <v>995</v>
      </c>
      <c r="B998" s="114" t="s">
        <v>1955</v>
      </c>
      <c r="C998" s="115" t="s">
        <v>1956</v>
      </c>
      <c r="D998" s="115" t="s">
        <v>461</v>
      </c>
      <c r="E998" s="115" t="s">
        <v>1957</v>
      </c>
      <c r="F998" s="116">
        <v>100</v>
      </c>
      <c r="G998" s="116">
        <v>100.3896</v>
      </c>
      <c r="H998" s="116">
        <v>4.24</v>
      </c>
      <c r="I998" s="113">
        <v>267</v>
      </c>
      <c r="J998" s="115" t="s">
        <v>271</v>
      </c>
    </row>
    <row r="999" spans="1:10" x14ac:dyDescent="0.25">
      <c r="A999" s="113">
        <v>996</v>
      </c>
      <c r="B999" s="114" t="s">
        <v>1958</v>
      </c>
      <c r="C999" s="115" t="s">
        <v>1959</v>
      </c>
      <c r="D999" s="115" t="s">
        <v>461</v>
      </c>
      <c r="E999" s="115" t="s">
        <v>1957</v>
      </c>
      <c r="F999" s="116">
        <v>100</v>
      </c>
      <c r="G999" s="116">
        <v>100.08069999999999</v>
      </c>
      <c r="H999" s="116">
        <v>0.35</v>
      </c>
      <c r="I999" s="113">
        <v>97</v>
      </c>
      <c r="J999" s="115" t="s">
        <v>271</v>
      </c>
    </row>
    <row r="1000" spans="1:10" x14ac:dyDescent="0.25">
      <c r="A1000" s="113">
        <v>997</v>
      </c>
      <c r="B1000" s="114" t="s">
        <v>1960</v>
      </c>
      <c r="C1000" s="115" t="s">
        <v>1961</v>
      </c>
      <c r="D1000" s="115" t="s">
        <v>461</v>
      </c>
      <c r="E1000" s="115" t="s">
        <v>1957</v>
      </c>
      <c r="F1000" s="116">
        <v>100</v>
      </c>
      <c r="G1000" s="116">
        <v>100.0924</v>
      </c>
      <c r="H1000" s="116">
        <v>0.35</v>
      </c>
      <c r="I1000" s="113">
        <v>265</v>
      </c>
      <c r="J1000" s="115" t="s">
        <v>271</v>
      </c>
    </row>
    <row r="1001" spans="1:10" x14ac:dyDescent="0.25">
      <c r="A1001" s="113">
        <v>998</v>
      </c>
      <c r="B1001" s="114" t="s">
        <v>2149</v>
      </c>
      <c r="C1001" s="115" t="s">
        <v>2150</v>
      </c>
      <c r="D1001" s="115" t="s">
        <v>461</v>
      </c>
      <c r="E1001" s="115" t="s">
        <v>1957</v>
      </c>
      <c r="F1001" s="116">
        <v>100</v>
      </c>
      <c r="G1001" s="116">
        <v>100.1206</v>
      </c>
      <c r="H1001" s="116">
        <v>0.35</v>
      </c>
      <c r="I1001" s="113">
        <v>596</v>
      </c>
      <c r="J1001" s="115" t="s">
        <v>271</v>
      </c>
    </row>
    <row r="1002" spans="1:10" x14ac:dyDescent="0.25">
      <c r="A1002" s="113">
        <v>999</v>
      </c>
      <c r="B1002" s="114" t="s">
        <v>2327</v>
      </c>
      <c r="C1002" s="115" t="s">
        <v>2328</v>
      </c>
      <c r="D1002" s="115" t="s">
        <v>461</v>
      </c>
      <c r="E1002" s="115" t="s">
        <v>1957</v>
      </c>
      <c r="F1002" s="116">
        <v>100</v>
      </c>
      <c r="G1002" s="116">
        <v>100.035</v>
      </c>
      <c r="H1002" s="116">
        <v>0.35</v>
      </c>
      <c r="I1002" s="113">
        <v>684</v>
      </c>
      <c r="J1002" s="115" t="s">
        <v>271</v>
      </c>
    </row>
    <row r="1003" spans="1:10" x14ac:dyDescent="0.25">
      <c r="A1003" s="113">
        <v>1000</v>
      </c>
      <c r="B1003" s="114" t="s">
        <v>1962</v>
      </c>
      <c r="C1003" s="115" t="s">
        <v>1963</v>
      </c>
      <c r="D1003" s="115" t="s">
        <v>461</v>
      </c>
      <c r="E1003" s="115" t="s">
        <v>1957</v>
      </c>
      <c r="F1003" s="116">
        <v>100</v>
      </c>
      <c r="G1003" s="116">
        <v>100.0035</v>
      </c>
      <c r="H1003" s="116">
        <v>0.02</v>
      </c>
      <c r="I1003" s="113">
        <v>3098</v>
      </c>
      <c r="J1003" s="115" t="s">
        <v>271</v>
      </c>
    </row>
    <row r="1004" spans="1:10" x14ac:dyDescent="0.25">
      <c r="A1004" s="113">
        <v>1001</v>
      </c>
      <c r="B1004" s="114" t="s">
        <v>1964</v>
      </c>
      <c r="C1004" s="115" t="s">
        <v>1965</v>
      </c>
      <c r="D1004" s="115" t="s">
        <v>461</v>
      </c>
      <c r="E1004" s="115" t="s">
        <v>1957</v>
      </c>
      <c r="F1004" s="116">
        <v>100</v>
      </c>
      <c r="G1004" s="116">
        <v>100.9658</v>
      </c>
      <c r="H1004" s="116">
        <v>6.08</v>
      </c>
      <c r="I1004" s="113">
        <v>1713</v>
      </c>
      <c r="J1004" s="115" t="s">
        <v>271</v>
      </c>
    </row>
    <row r="1005" spans="1:10" x14ac:dyDescent="0.25">
      <c r="A1005" s="113">
        <v>1002</v>
      </c>
      <c r="B1005" s="114" t="s">
        <v>1966</v>
      </c>
      <c r="C1005" s="115" t="s">
        <v>1967</v>
      </c>
      <c r="D1005" s="115" t="s">
        <v>461</v>
      </c>
      <c r="E1005" s="115" t="s">
        <v>1957</v>
      </c>
      <c r="F1005" s="116">
        <v>100</v>
      </c>
      <c r="G1005" s="116">
        <v>105.8181</v>
      </c>
      <c r="H1005" s="116">
        <v>7.08</v>
      </c>
      <c r="I1005" s="113">
        <v>2195</v>
      </c>
      <c r="J1005" s="115" t="s">
        <v>271</v>
      </c>
    </row>
    <row r="1006" spans="1:10" x14ac:dyDescent="0.25">
      <c r="A1006" s="113">
        <v>1003</v>
      </c>
      <c r="B1006" s="114" t="s">
        <v>2339</v>
      </c>
      <c r="C1006" s="115" t="s">
        <v>2340</v>
      </c>
      <c r="D1006" s="115" t="s">
        <v>461</v>
      </c>
      <c r="E1006" s="115" t="s">
        <v>1957</v>
      </c>
      <c r="F1006" s="116">
        <v>90.565361604314802</v>
      </c>
      <c r="G1006" s="116">
        <v>92.284261604314807</v>
      </c>
      <c r="H1006" s="116">
        <v>20.46</v>
      </c>
      <c r="I1006" s="113">
        <v>3566</v>
      </c>
      <c r="J1006" s="115" t="s">
        <v>271</v>
      </c>
    </row>
    <row r="1007" spans="1:10" x14ac:dyDescent="0.25">
      <c r="A1007" s="113">
        <v>1004</v>
      </c>
      <c r="B1007" s="114" t="s">
        <v>1968</v>
      </c>
      <c r="C1007" s="115" t="s">
        <v>1969</v>
      </c>
      <c r="D1007" s="115" t="s">
        <v>461</v>
      </c>
      <c r="E1007" s="115" t="s">
        <v>1957</v>
      </c>
      <c r="F1007" s="116">
        <v>100</v>
      </c>
      <c r="G1007" s="116">
        <v>100.1356</v>
      </c>
      <c r="H1007" s="116">
        <v>6.09</v>
      </c>
      <c r="I1007" s="113">
        <v>2122</v>
      </c>
      <c r="J1007" s="115" t="s">
        <v>271</v>
      </c>
    </row>
    <row r="1008" spans="1:10" x14ac:dyDescent="0.25">
      <c r="A1008" s="113">
        <v>1005</v>
      </c>
      <c r="B1008" s="114" t="s">
        <v>1970</v>
      </c>
      <c r="C1008" s="115" t="s">
        <v>1971</v>
      </c>
      <c r="D1008" s="115" t="s">
        <v>461</v>
      </c>
      <c r="E1008" s="115" t="s">
        <v>1957</v>
      </c>
      <c r="F1008" s="116">
        <v>100</v>
      </c>
      <c r="G1008" s="116">
        <v>105.08329999999999</v>
      </c>
      <c r="H1008" s="116">
        <v>6.08</v>
      </c>
      <c r="I1008" s="113">
        <v>2550</v>
      </c>
      <c r="J1008" s="115" t="s">
        <v>271</v>
      </c>
    </row>
    <row r="1009" spans="1:10" x14ac:dyDescent="0.25">
      <c r="A1009" s="113">
        <v>1006</v>
      </c>
      <c r="B1009" s="114" t="s">
        <v>1972</v>
      </c>
      <c r="C1009" s="115" t="s">
        <v>1973</v>
      </c>
      <c r="D1009" s="115" t="s">
        <v>461</v>
      </c>
      <c r="E1009" s="115" t="s">
        <v>1957</v>
      </c>
      <c r="F1009" s="116">
        <v>100</v>
      </c>
      <c r="G1009" s="116">
        <v>105.08329999999999</v>
      </c>
      <c r="H1009" s="116">
        <v>6.08</v>
      </c>
      <c r="I1009" s="113">
        <v>2550</v>
      </c>
      <c r="J1009" s="115" t="s">
        <v>271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22.08.25</vt:lpstr>
      <vt:lpstr>Риск цены за 22.08.25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2025-08-25T06:07:37Z</dcterms:modified>
</cp:coreProperties>
</file>