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AD67E2F4-794E-4039-93F7-88DC4D244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08.25" sheetId="2" r:id="rId2"/>
    <sheet name="Риск цены за 29.08.25" sheetId="4" r:id="rId3"/>
  </sheets>
  <definedNames>
    <definedName name="_xlnm._FilterDatabase" localSheetId="1" hidden="1">'KASE за 29.08.25'!#REF!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L69" i="1"/>
  <c r="M69" i="1" s="1"/>
  <c r="L70" i="1"/>
  <c r="M70" i="1" s="1"/>
  <c r="L71" i="1"/>
  <c r="M71" i="1" s="1"/>
  <c r="B92" i="1"/>
  <c r="B91" i="1"/>
  <c r="B88" i="1"/>
  <c r="J73" i="1"/>
  <c r="I73" i="1"/>
  <c r="C73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3" i="1" l="1"/>
  <c r="M73" i="1"/>
  <c r="L61" i="1"/>
  <c r="O60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<sst xmlns="http://schemas.openxmlformats.org/spreadsheetml/2006/main" count="6487" uniqueCount="2857">
  <si>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</si>
  <si>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</si>
  <si>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</si>
  <si>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</si>
  <si>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</si>
  <si>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</si>
  <si>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</si>
  <si>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</si>
  <si>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</si>
  <si>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</si>
  <si>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</si>
  <si>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</si>
  <si>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</si>
  <si>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</si>
  <si>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</si>
  <si>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</si>
  <si>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</si>
  <si>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</si>
  <si>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</si>
  <si>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</si>
  <si>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</si>
  <si>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</si>
  <si>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</si>
  <si>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</si>
  <si>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</si>
  <si>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</si>
  <si>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</si>
  <si>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</si>
  <si>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</si>
  <si>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</si>
  <si>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</si>
  <si>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</si>
  <si>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</si>
  <si>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</si>
  <si>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</si>
  <si>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</si>
  <si>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</si>
  <si>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</si>
  <si>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</si>
  <si>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</si>
  <si>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</si>
  <si>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</si>
  <si>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</si>
  <si>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</si>
  <si>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</si>
  <si>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</si>
  <si>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</si>
  <si>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</si>
  <si>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</si>
  <si>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</si>
  <si>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</si>
  <si>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</si>
  <si>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</si>
  <si>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</si>
  <si>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</si>
  <si>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</si>
  <si>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</si>
  <si>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</si>
  <si>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</si>
  <si>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</si>
  <si>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</si>
  <si>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</si>
  <si>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</si>
  <si>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</si>
  <si>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</si>
  <si>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</si>
  <si>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</si>
  <si>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</si>
  <si>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</si>
  <si>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</si>
  <si>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</si>
  <si>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</si>
  <si>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</si>
  <si>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</si>
  <si>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</si>
  <si>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</si>
  <si>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</si>
  <si>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</si>
  <si>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</si>
  <si>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</si>
  <si>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</si>
  <si>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</si>
  <si>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</si>
  <si>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</si>
  <si>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</si>
  <si>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</si>
  <si>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</si>
  <si>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</si>
  <si>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</si>
  <si>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</si>
  <si>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</si>
  <si>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</si>
  <si>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</si>
  <si>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</si>
  <si>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</si>
  <si>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</si>
  <si>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</si>
  <si>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</si>
  <si>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</si>
  <si>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</si>
  <si>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</si>
  <si>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</si>
  <si>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</si>
  <si>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</si>
  <si>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</si>
  <si>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</si>
  <si>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</si>
  <si>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</si>
  <si>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</si>
  <si>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</si>
  <si>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</si>
  <si>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</si>
  <si>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</si>
  <si>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</si>
  <si>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</si>
  <si>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</si>
  <si>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</si>
  <si>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</si>
  <si>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</si>
  <si>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</si>
  <si>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</si>
  <si>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</si>
  <si>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</si>
  <si>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</si>
  <si>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</si>
  <si>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</si>
  <si>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</si>
  <si>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</si>
  <si>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</si>
  <si>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</si>
  <si>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</si>
  <si>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</si>
  <si>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</si>
  <si>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</si>
  <si>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</si>
  <si>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</si>
  <si>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</si>
  <si>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</si>
  <si>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</si>
  <si>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</si>
  <si>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</si>
  <si>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</si>
  <si>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</si>
  <si>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</si>
  <si>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</si>
  <si>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</si>
  <si>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</si>
  <si>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</si>
  <si>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</si>
  <si>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</si>
  <si>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</si>
  <si>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</si>
  <si>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</si>
  <si>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</si>
  <si>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</si>
  <si>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</si>
  <si>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</si>
  <si>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</si>
  <si>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</si>
  <si>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</si>
  <si>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</si>
  <si>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</si>
  <si>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</si>
  <si>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</si>
  <si>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</si>
  <si>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</si>
  <si>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</si>
  <si>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</si>
  <si>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</si>
  <si>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</si>
  <si>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</si>
  <si>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</si>
  <si>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</si>
  <si>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</si>
  <si>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</si>
  <si>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</si>
  <si>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</si>
  <si>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</si>
  <si>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</si>
  <si>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</si>
  <si>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</si>
  <si>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</si>
  <si>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</si>
  <si>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</si>
  <si>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</si>
  <si>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</si>
  <si>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</si>
  <si>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</si>
  <si>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</si>
  <si>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</si>
  <si>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</si>
  <si>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</si>
  <si>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</si>
  <si>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</si>
  <si>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</si>
  <si>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</si>
  <si>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</si>
  <si>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</si>
  <si>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</si>
  <si>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</si>
  <si>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</si>
  <si>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</si>
  <si>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</si>
  <si>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</si>
  <si>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</si>
  <si>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</si>
  <si>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</si>
  <si>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</si>
  <si>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</si>
  <si>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</si>
  <si>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</si>
  <si>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</si>
  <si>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</si>
  <si>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</si>
  <si>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</si>
  <si>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</si>
  <si>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</si>
  <si>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</si>
  <si>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</si>
  <si>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</si>
  <si>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</si>
  <si>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</si>
  <si>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</si>
  <si>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</si>
  <si>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</si>
  <si>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</si>
  <si>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</si>
  <si>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</si>
  <si>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</si>
  <si>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</si>
  <si>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</si>
  <si>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</si>
  <si>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</si>
  <si>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</si>
  <si>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</si>
  <si>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</si>
  <si>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</si>
  <si>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</si>
  <si>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</si>
  <si>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</si>
  <si>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</si>
  <si>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</si>
  <si>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</si>
  <si>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</si>
  <si>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</si>
  <si>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</si>
  <si>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</si>
  <si>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</si>
  <si>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</si>
  <si>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</si>
  <si>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</si>
  <si>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</si>
  <si>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</si>
  <si>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</si>
  <si>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</si>
  <si>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</si>
  <si>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</si>
  <si>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</si>
  <si>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</si>
  <si>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</si>
  <si>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</si>
  <si>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</si>
  <si>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</si>
  <si>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</si>
  <si>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</si>
  <si>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</si>
  <si>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</si>
  <si>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</si>
  <si>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</si>
  <si>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</si>
  <si>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</si>
  <si>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</si>
  <si>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</si>
  <si>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</si>
  <si>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</si>
  <si>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</si>
  <si>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</si>
  <si>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</si>
  <si>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</si>
  <si>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</si>
  <si>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</si>
  <si>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</si>
  <si>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</si>
  <si>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</si>
  <si>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</si>
  <si>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</si>
  <si>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</si>
  <si>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</si>
  <si>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</si>
  <si>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</si>
  <si>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</si>
  <si>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</si>
  <si>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</si>
  <si>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</si>
  <si>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</si>
  <si>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</si>
  <si>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</si>
  <si>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</si>
  <si>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</si>
  <si>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</si>
  <si>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</si>
  <si>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</si>
  <si>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</si>
  <si>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</si>
  <si>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</si>
  <si>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</si>
  <si>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</si>
  <si>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</si>
  <si>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</si>
  <si>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</si>
  <si>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</si>
  <si>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</si>
  <si>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</si>
  <si>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</si>
  <si>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</si>
  <si>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</si>
  <si>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</si>
  <si>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</si>
  <si>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</si>
  <si>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</si>
  <si>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</si>
  <si>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</si>
  <si>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</si>
  <si>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</si>
  <si>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</si>
  <si>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</si>
  <si>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</si>
  <si>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</si>
  <si>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</si>
  <si>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</si>
  <si>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</si>
  <si>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</si>
  <si>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</si>
  <si>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</si>
  <si>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</si>
  <si>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</si>
  <si>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</si>
  <si>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</si>
  <si>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</si>
  <si>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</si>
  <si>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</si>
  <si>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</si>
  <si>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</si>
  <si>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</si>
  <si>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</si>
  <si>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</si>
  <si>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</si>
  <si>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</si>
  <si>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</si>
  <si>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</si>
  <si>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</si>
  <si>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</si>
  <si>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</si>
  <si>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</si>
  <si>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</si>
  <si>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</si>
  <si>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</si>
  <si>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</si>
  <si>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</si>
  <si>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</si>
  <si>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</si>
  <si>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</si>
  <si>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</si>
  <si>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</si>
  <si>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</si>
  <si>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</si>
  <si>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</si>
  <si>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</si>
  <si>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</si>
  <si>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</si>
  <si>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</si>
  <si>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</si>
  <si>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</si>
  <si>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</si>
  <si>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</si>
  <si>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</si>
  <si>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</si>
  <si>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</si>
  <si>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</si>
  <si>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</si>
  <si>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</si>
  <si>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</si>
  <si>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</si>
  <si>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</si>
  <si>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</si>
  <si>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</si>
  <si>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</si>
  <si>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</si>
  <si>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</si>
  <si>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</si>
  <si>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</si>
  <si>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</si>
  <si>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</si>
  <si>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</si>
  <si>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</si>
  <si>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</si>
  <si>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</si>
  <si>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</si>
  <si>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</si>
  <si>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</si>
  <si>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</si>
  <si>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</si>
  <si>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</si>
  <si>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</si>
  <si>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</si>
  <si>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</si>
  <si>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</si>
  <si>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</si>
  <si>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</si>
  <si>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</si>
  <si>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</si>
  <si>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</si>
  <si>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</si>
  <si>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</si>
  <si>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</si>
  <si>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</si>
  <si>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</si>
  <si>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</si>
  <si>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</si>
  <si>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</si>
  <si>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</si>
  <si>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</si>
  <si>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</si>
  <si>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</si>
  <si>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</si>
  <si>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</si>
  <si>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</si>
  <si>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</si>
  <si>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</si>
  <si>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</si>
  <si>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</si>
  <si>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</si>
  <si>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</si>
  <si>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</si>
  <si>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</si>
  <si>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</si>
  <si>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</si>
  <si>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</si>
  <si>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</si>
  <si>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</si>
  <si>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</si>
  <si>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</si>
  <si>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</si>
  <si>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</si>
  <si>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</si>
  <si>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</si>
  <si>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</si>
  <si>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</si>
  <si>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</si>
  <si>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</si>
  <si>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</si>
  <si>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</si>
  <si>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</si>
  <si>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</si>
  <si>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</si>
  <si>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</si>
  <si>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</si>
  <si>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</si>
  <si>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</si>
  <si>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</si>
  <si>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</si>
  <si>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</si>
  <si>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</si>
  <si>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</si>
  <si>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</si>
  <si>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</si>
  <si>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</si>
  <si>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</si>
  <si>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</si>
  <si>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</si>
  <si>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</si>
  <si>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</si>
  <si>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</si>
  <si>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</si>
  <si>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</si>
  <si>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</si>
  <si>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</si>
  <si>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</si>
  <si>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</si>
  <si>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</si>
  <si>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</si>
  <si>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</si>
  <si>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</si>
  <si>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</si>
  <si>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</si>
  <si>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</si>
  <si>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</si>
  <si>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</si>
  <si>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</si>
  <si>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</si>
  <si>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</si>
  <si>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</si>
  <si>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</si>
  <si>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</si>
  <si>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</si>
  <si>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</si>
  <si>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</si>
  <si>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</si>
  <si>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</si>
  <si>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</si>
  <si>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</si>
  <si>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</si>
  <si>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</si>
  <si>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</si>
  <si>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</si>
  <si>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</si>
  <si>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</si>
  <si>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</si>
  <si>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</si>
  <si>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</si>
  <si>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</si>
  <si>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</si>
  <si>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</si>
  <si>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</si>
  <si>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</si>
  <si>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</si>
  <si>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</si>
  <si>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</si>
  <si>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</si>
  <si>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</si>
  <si>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</si>
  <si>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</si>
  <si>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</si>
  <si>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</si>
  <si>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</si>
  <si>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</si>
  <si>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</si>
  <si>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</si>
  <si>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</si>
  <si>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</si>
  <si>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</si>
  <si>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</si>
  <si>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</si>
  <si>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</si>
  <si>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</si>
  <si>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</si>
  <si>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</si>
  <si>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</si>
  <si>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</si>
  <si>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</si>
  <si>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</si>
  <si>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</si>
  <si>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</si>
  <si>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</si>
  <si>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</si>
  <si>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</si>
  <si>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</si>
  <si>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</si>
  <si>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</si>
  <si>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</si>
  <si>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</si>
  <si>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</si>
  <si>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</si>
  <si>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</si>
  <si>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</si>
  <si>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</si>
  <si>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</si>
  <si>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</si>
  <si>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</si>
  <si>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</si>
  <si>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</si>
  <si>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</si>
  <si>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</si>
  <si>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</si>
  <si>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</si>
  <si>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</si>
  <si>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</si>
  <si>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</si>
  <si>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</si>
  <si>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</si>
  <si>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</si>
  <si>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</si>
  <si>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</si>
  <si>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</si>
  <si>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</si>
  <si>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</si>
  <si>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</si>
  <si>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</si>
  <si>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</si>
  <si>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</si>
  <si>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</si>
  <si>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</si>
  <si>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</si>
  <si>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</si>
  <si>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</si>
  <si>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</si>
  <si>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</si>
  <si>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</si>
  <si>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</si>
  <si>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</si>
  <si>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</si>
  <si>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</si>
  <si>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</si>
  <si>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</si>
  <si>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</si>
  <si>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</si>
  <si>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</si>
  <si>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</si>
  <si>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</si>
  <si>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</si>
  <si>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</si>
  <si>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</si>
  <si>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</si>
  <si>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</si>
  <si>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</si>
  <si>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</si>
  <si>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</si>
  <si>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</si>
  <si>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</si>
  <si>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</si>
  <si>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</si>
  <si>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</si>
  <si>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</si>
  <si>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</si>
  <si>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</si>
  <si>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</si>
  <si>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</si>
  <si>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</si>
  <si>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</si>
  <si>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</si>
  <si>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</si>
  <si>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</si>
  <si>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</si>
  <si>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</si>
  <si>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</si>
  <si>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</si>
  <si>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</si>
  <si>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</si>
  <si>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</si>
  <si>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</si>
  <si>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</si>
  <si>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</si>
  <si>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</si>
  <si>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</si>
  <si>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</si>
  <si>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</si>
  <si>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</si>
  <si>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</si>
  <si>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</si>
  <si>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</si>
  <si>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</si>
  <si>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</si>
  <si>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</si>
  <si>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</si>
  <si>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</si>
  <si>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</si>
  <si>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</si>
  <si>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</si>
  <si>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</si>
  <si>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</si>
  <si>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</si>
  <si>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</si>
  <si>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</si>
  <si>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</si>
  <si>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</si>
  <si>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</si>
  <si>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</si>
  <si>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</si>
  <si>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</si>
  <si>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</si>
  <si>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</si>
  <si>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</si>
  <si>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</si>
  <si>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</si>
  <si>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</si>
  <si>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</si>
  <si>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</si>
  <si>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</si>
  <si>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</si>
  <si>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</si>
  <si>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</si>
  <si>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</si>
  <si>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</si>
  <si>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</si>
  <si>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</si>
  <si>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</si>
  <si>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</si>
  <si>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</si>
  <si>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</si>
  <si>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</si>
  <si>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</si>
  <si>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</si>
  <si>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</si>
  <si>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</si>
  <si>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</si>
  <si>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</si>
  <si>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</si>
  <si>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</si>
  <si>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</si>
  <si>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</si>
  <si>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</si>
  <si>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</si>
  <si>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</si>
  <si>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</si>
  <si>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</si>
  <si>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</si>
  <si>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</si>
  <si>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</si>
  <si>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</si>
  <si>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</si>
  <si>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</si>
  <si>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</si>
  <si>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</si>
  <si>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</si>
  <si>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</si>
  <si>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</si>
  <si>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</si>
  <si>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</si>
  <si>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</si>
  <si>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</si>
  <si>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</si>
  <si>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</si>
  <si>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</si>
  <si>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</si>
  <si>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</si>
  <si>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</si>
  <si>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</si>
  <si>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</si>
  <si>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</si>
  <si>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</si>
  <si>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</si>
  <si>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</si>
  <si>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</si>
  <si>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</si>
  <si>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</si>
  <si>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</si>
  <si>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</si>
  <si>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</si>
  <si>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</si>
  <si>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</si>
  <si>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</si>
  <si>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</si>
  <si>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</si>
  <si>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</si>
  <si>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</si>
  <si>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</si>
  <si>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</si>
  <si>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</si>
  <si>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</si>
  <si>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</si>
  <si>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</si>
  <si>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</si>
  <si>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</si>
  <si>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</si>
  <si>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</si>
  <si>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</si>
  <si>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</si>
  <si>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</si>
  <si>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</si>
  <si>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</si>
  <si>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</si>
  <si>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</si>
  <si>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</si>
  <si>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</si>
  <si>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</si>
  <si>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</si>
  <si>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</si>
  <si>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</si>
  <si>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</si>
  <si>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</si>
  <si>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</si>
  <si>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</si>
  <si>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</si>
  <si>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</si>
  <si>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</si>
  <si>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</si>
  <si>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</si>
  <si>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</si>
  <si>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</si>
  <si>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</si>
  <si>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</si>
  <si>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</si>
  <si>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</si>
  <si>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</si>
  <si>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</si>
  <si>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</si>
  <si>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</si>
  <si>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</si>
  <si>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</si>
  <si>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</si>
  <si>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</si>
  <si>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</si>
  <si>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</si>
  <si>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</si>
  <si>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</si>
  <si>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</si>
  <si>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</si>
  <si>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</si>
  <si>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</si>
  <si>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</si>
  <si>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</si>
  <si>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</si>
  <si>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</si>
  <si>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</si>
  <si>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</si>
  <si>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</si>
  <si>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</si>
  <si>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</si>
  <si>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</si>
  <si>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</si>
  <si>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</si>
  <si>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</si>
  <si>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</si>
  <si>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</si>
  <si>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</si>
  <si>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</si>
  <si>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</si>
  <si>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</si>
  <si>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</si>
  <si>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</si>
  <si>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</si>
  <si>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</si>
  <si>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</si>
  <si>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</si>
  <si>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</si>
  <si>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</si>
  <si>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</si>
  <si>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</si>
  <si>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</si>
  <si>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</si>
  <si>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</si>
  <si>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</si>
  <si>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</si>
  <si>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</si>
  <si>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</si>
  <si>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</si>
  <si>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</si>
  <si>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</si>
  <si>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</si>
  <si>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</si>
  <si>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</si>
  <si>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</si>
  <si>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</si>
  <si>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</si>
  <si>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</si>
  <si>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</si>
  <si>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</si>
  <si>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</si>
  <si>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</si>
  <si>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</si>
  <si>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</si>
  <si>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</si>
  <si>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</si>
  <si>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</si>
  <si>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</si>
  <si>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</si>
  <si>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</si>
  <si>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</si>
  <si>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</si>
  <si>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</si>
  <si>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</si>
  <si>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</si>
  <si>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</si>
  <si>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</si>
  <si>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</si>
  <si>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</si>
  <si>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</si>
  <si>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</si>
  <si>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</si>
  <si>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</si>
  <si>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</si>
  <si>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</si>
  <si>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</si>
  <si>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</si>
  <si>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</si>
  <si>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</si>
  <si>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</si>
  <si>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</si>
  <si>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</si>
  <si>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</si>
  <si>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</si>
  <si>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</si>
  <si>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</si>
  <si>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</si>
  <si>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</si>
  <si>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</si>
  <si>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</si>
  <si>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</si>
  <si>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</si>
  <si>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</si>
  <si>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</si>
  <si>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</si>
  <si>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</si>
  <si>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</si>
  <si>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</si>
  <si>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</si>
  <si>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</si>
  <si>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</si>
  <si>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</si>
  <si>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</si>
  <si>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</si>
  <si>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</si>
  <si>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</si>
  <si>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</si>
  <si>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</si>
  <si>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</si>
  <si>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</si>
  <si>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</si>
  <si>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</si>
  <si>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</si>
  <si>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</si>
  <si>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</si>
  <si>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</si>
  <si>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</si>
  <si>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</si>
  <si>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</si>
  <si>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</si>
  <si>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</si>
  <si>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</si>
  <si>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</si>
  <si>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</si>
  <si>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</si>
  <si>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</si>
  <si>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</si>
  <si>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</si>
  <si>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</si>
  <si>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</si>
  <si>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</si>
  <si>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</si>
  <si>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</si>
  <si>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</si>
  <si>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</si>
  <si>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</si>
  <si>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</si>
  <si>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</si>
  <si>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</si>
  <si>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</si>
  <si>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</si>
  <si>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</si>
  <si>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</si>
  <si>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</si>
  <si>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</si>
  <si>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</si>
  <si>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</si>
  <si>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</si>
  <si>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</si>
  <si>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</si>
  <si>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</si>
  <si>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</si>
  <si>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</si>
  <si>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</si>
  <si>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</si>
  <si>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</si>
  <si>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</si>
  <si>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</si>
  <si>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</si>
  <si>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</si>
  <si>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</si>
  <si>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</si>
  <si>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</si>
  <si>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</si>
  <si>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</si>
  <si>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</si>
  <si>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</si>
  <si>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</si>
  <si>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</si>
  <si>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</si>
  <si>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</si>
  <si>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</si>
  <si>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</si>
  <si>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</si>
  <si>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</si>
  <si>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</si>
  <si>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</si>
  <si>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</si>
  <si>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</si>
  <si>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</si>
  <si>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</si>
  <si>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</si>
  <si>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</si>
  <si>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</si>
  <si>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</si>
  <si>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</si>
  <si>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</si>
  <si>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</si>
  <si>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</si>
  <si>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</si>
  <si>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</si>
  <si>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</si>
  <si>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</si>
  <si>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</si>
  <si>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</si>
  <si>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</si>
  <si>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</si>
  <si>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</si>
  <si>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</si>
  <si>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</si>
  <si>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</si>
  <si>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</si>
  <si>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</si>
  <si>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</si>
  <si>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</si>
  <si>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</si>
  <si>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</si>
  <si>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</si>
  <si>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</si>
  <si>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</si>
  <si>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</si>
  <si>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</si>
  <si>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</si>
  <si>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</si>
  <si>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</si>
  <si>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</si>
  <si>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</si>
  <si>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</si>
  <si>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</si>
  <si>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</si>
  <si>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</si>
  <si>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</si>
  <si>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</si>
  <si>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</si>
  <si>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</si>
  <si>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</si>
  <si>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</si>
  <si>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</si>
  <si>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</si>
  <si>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</si>
  <si>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</si>
  <si>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</si>
  <si>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</si>
  <si>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</si>
  <si>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</si>
  <si>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</si>
  <si>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</si>
  <si>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</si>
  <si>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</si>
  <si>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</si>
  <si>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</si>
  <si>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</si>
  <si>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</si>
  <si>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</si>
  <si>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</si>
  <si>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</si>
  <si>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</si>
  <si>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</si>
  <si>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</si>
  <si>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</si>
  <si>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</si>
  <si>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</si>
  <si>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</si>
  <si>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</si>
  <si>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</si>
  <si>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</si>
  <si>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</si>
  <si>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</si>
  <si>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</si>
  <si>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</si>
  <si>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</si>
  <si>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</si>
  <si>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</si>
  <si>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</si>
  <si>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</si>
  <si>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</si>
  <si>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</si>
  <si>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</si>
  <si>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</si>
  <si>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</si>
  <si>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</si>
  <si>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</si>
  <si>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</si>
  <si>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</si>
  <si>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</si>
  <si>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</si>
  <si>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</si>
  <si>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</si>
  <si>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</si>
  <si>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</si>
  <si>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</si>
  <si>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</si>
  <si>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</si>
  <si>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</si>
  <si>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</si>
  <si>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</si>
  <si>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</si>
  <si>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</si>
  <si>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</si>
  <si>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</si>
  <si>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</si>
  <si>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</si>
  <si>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</si>
  <si>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</si>
  <si>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</si>
  <si>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</si>
  <si>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</si>
  <si>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</si>
  <si>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</si>
  <si>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</si>
  <si>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</si>
  <si>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</si>
  <si>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</si>
  <si>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</si>
  <si>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</si>
  <si>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</si>
  <si>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</si>
  <si>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</si>
  <si>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</si>
  <si>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</si>
  <si>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</si>
  <si>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</si>
  <si>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</si>
  <si>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</si>
  <si>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</si>
  <si>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</si>
  <si>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</si>
  <si>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</si>
  <si>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</si>
  <si>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</si>
  <si>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</si>
  <si>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</si>
  <si>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</si>
  <si>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</si>
  <si>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</si>
  <si>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</si>
  <si>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</si>
  <si>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</si>
  <si>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</si>
  <si>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</si>
  <si>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</si>
  <si>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</si>
  <si>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</si>
  <si>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</si>
  <si>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</si>
  <si>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</si>
  <si>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</si>
  <si>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</si>
  <si>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</si>
  <si>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</si>
  <si>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</si>
  <si>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</si>
  <si>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</si>
  <si>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</si>
  <si>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</si>
  <si>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</si>
  <si>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</si>
  <si>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</si>
  <si>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</si>
  <si>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</si>
  <si>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</si>
  <si>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</si>
  <si>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</si>
  <si>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</si>
  <si>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</si>
  <si>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</si>
  <si>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</si>
  <si>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</si>
  <si>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</si>
  <si>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</si>
  <si>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</si>
  <si>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</si>
  <si>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</si>
  <si>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</si>
  <si>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</si>
  <si>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</si>
  <si>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</si>
  <si>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</si>
  <si>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</si>
  <si>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</si>
  <si>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</si>
  <si>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</si>
  <si>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</si>
  <si>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</si>
  <si>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</si>
  <si>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</si>
  <si>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</si>
  <si>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</si>
  <si>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</si>
  <si>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</si>
  <si>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</si>
  <si>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</si>
  <si>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</si>
  <si>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</si>
  <si>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</si>
  <si>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</si>
  <si>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</si>
  <si>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</si>
  <si>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</si>
  <si>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</si>
  <si>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</si>
  <si>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</si>
  <si>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</si>
  <si>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</si>
  <si>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</si>
  <si>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</si>
  <si>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</si>
  <si>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</si>
  <si>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</si>
  <si>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</si>
  <si>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</si>
  <si>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</si>
  <si>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</si>
  <si>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</si>
  <si>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</si>
  <si>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</si>
  <si>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</si>
  <si>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</si>
  <si>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</si>
  <si>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</si>
  <si>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</si>
  <si>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</si>
  <si>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</si>
  <si>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</si>
  <si>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</si>
  <si>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</si>
  <si>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</si>
  <si>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</si>
  <si>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</si>
  <si>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</si>
  <si>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</si>
  <si>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</si>
  <si>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</si>
  <si>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</si>
  <si>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</si>
  <si>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</si>
  <si>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</si>
  <si>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</si>
  <si>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</si>
  <si>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</si>
  <si>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</si>
  <si>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</si>
  <si>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</si>
  <si>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</si>
  <si>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</si>
  <si>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</si>
  <si>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</si>
  <si>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</si>
  <si>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</si>
  <si>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</si>
  <si>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</si>
  <si>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</si>
  <si>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</si>
  <si>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</si>
  <si>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</si>
  <si>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</si>
  <si>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</si>
  <si>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</si>
  <si>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</si>
  <si>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</si>
  <si>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</si>
  <si>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</si>
  <si>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</si>
  <si>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</si>
  <si>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</si>
  <si>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</si>
  <si>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</si>
  <si>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</si>
  <si>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</si>
  <si>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</si>
  <si>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</si>
  <si>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</si>
  <si>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</si>
  <si>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</si>
  <si>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</si>
  <si>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</si>
  <si>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</si>
  <si>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</si>
  <si>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</si>
  <si>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</si>
  <si>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</si>
  <si>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</si>
  <si>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</si>
  <si>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</si>
  <si>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</si>
  <si>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</si>
  <si>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</si>
  <si>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</si>
  <si>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</si>
  <si>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</si>
  <si>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</si>
  <si>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</si>
  <si>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</si>
  <si>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</si>
  <si>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</si>
  <si>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</si>
  <si>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</si>
  <si>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</si>
  <si>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</si>
  <si>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</si>
  <si>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</si>
  <si>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</si>
  <si>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</si>
  <si>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</si>
  <si>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</si>
  <si>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</si>
  <si>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</si>
  <si>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</si>
  <si>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</si>
  <si>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</si>
  <si>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</si>
  <si>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</si>
  <si>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</si>
  <si>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</si>
  <si>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</si>
  <si>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</si>
  <si>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</si>
  <si>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</si>
  <si>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</si>
  <si>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</si>
  <si>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</si>
  <si>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</si>
  <si>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</si>
  <si>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</si>
  <si>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</si>
  <si>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</si>
  <si>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</si>
  <si>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</si>
  <si>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</si>
  <si>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</si>
  <si>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</si>
  <si>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</si>
  <si>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</si>
  <si>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</si>
  <si>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</si>
  <si>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</si>
  <si>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</si>
  <si>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</si>
  <si>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</si>
  <si>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</si>
  <si>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</si>
  <si>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</si>
  <si>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</si>
  <si>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</si>
  <si>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</si>
  <si>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</si>
  <si>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</si>
  <si>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</si>
  <si>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</si>
  <si>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</si>
  <si>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</si>
  <si>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</si>
  <si>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</si>
  <si>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</si>
  <si>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</si>
  <si>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</si>
  <si>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</si>
  <si>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</si>
  <si>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</si>
  <si>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</si>
  <si>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</si>
  <si>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</si>
  <si>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</si>
  <si>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</si>
  <si>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</si>
  <si>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</si>
  <si>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</si>
  <si>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</si>
  <si>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</si>
  <si>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</si>
  <si>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</si>
  <si>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</si>
  <si>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</si>
  <si>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</si>
  <si>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</si>
  <si>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</si>
  <si>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</si>
  <si>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</si>
  <si>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</si>
  <si>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</si>
  <si>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</si>
  <si>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</si>
  <si>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</si>
  <si>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</si>
  <si>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</si>
  <si>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</si>
  <si>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</si>
  <si>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</si>
  <si>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</si>
  <si>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</si>
  <si>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</si>
  <si>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</si>
  <si>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</si>
  <si>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</si>
  <si>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</si>
  <si>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</si>
  <si>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</si>
  <si>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</si>
  <si>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</si>
  <si>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</si>
  <si>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</si>
  <si>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</si>
  <si>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</si>
  <si>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</si>
  <si>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</si>
  <si>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</si>
  <si>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</si>
  <si>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</si>
  <si>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</si>
  <si>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</si>
  <si>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</si>
  <si>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</si>
  <si>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</si>
  <si>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</si>
  <si>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</si>
  <si>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</si>
  <si>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</si>
  <si>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</si>
  <si>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</si>
  <si>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</si>
  <si>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</si>
  <si>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</si>
  <si>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</si>
  <si>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</si>
  <si>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</si>
  <si>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</si>
  <si>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</si>
  <si>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</si>
  <si>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</si>
  <si>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</si>
  <si>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</si>
  <si>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</si>
  <si>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</si>
  <si>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</si>
  <si>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</si>
  <si>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</si>
  <si>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</si>
  <si>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</si>
  <si>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</si>
  <si>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</si>
  <si>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</si>
  <si>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</si>
  <si>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</si>
  <si>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</si>
  <si>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</si>
  <si>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</si>
  <si>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</si>
  <si>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</si>
  <si>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</si>
  <si>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</si>
  <si>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</si>
  <si>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</si>
  <si>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</si>
  <si>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</si>
  <si>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</si>
  <si>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</si>
  <si>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</si>
  <si>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</si>
  <si>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</si>
  <si>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</si>
  <si>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</si>
  <si>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</si>
  <si>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</si>
  <si>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</si>
  <si>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</si>
  <si>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</si>
  <si>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</si>
  <si>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</si>
  <si>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</si>
  <si>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</si>
  <si>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</si>
  <si>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</si>
  <si>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</si>
  <si>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</si>
  <si>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</si>
  <si>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</si>
  <si>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</si>
  <si>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</si>
  <si>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</si>
  <si>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</si>
  <si>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</si>
  <si>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</si>
  <si>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</si>
  <si>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</si>
  <si>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</si>
  <si>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</si>
  <si>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</si>
  <si>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</si>
  <si>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</si>
  <si>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</si>
  <si>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</si>
  <si>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</si>
  <si>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</si>
  <si>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</si>
  <si>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</si>
  <si>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</si>
  <si>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</si>
  <si>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</si>
  <si>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</si>
  <si>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</si>
  <si>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</si>
  <si>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</si>
  <si>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</si>
  <si>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</si>
  <si>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</si>
  <si>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</si>
  <si>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</si>
  <si>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</si>
  <si>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</si>
  <si>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</si>
  <si>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</si>
  <si>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</si>
  <si>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</si>
  <si>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</si>
  <si>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</si>
  <si>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</si>
  <si>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</si>
  <si>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</si>
  <si>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</si>
  <si>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</si>
  <si>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</si>
  <si>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</si>
  <si>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</si>
  <si>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</si>
  <si>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</si>
  <si>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</si>
  <si>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</si>
  <si>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</si>
  <si>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</si>
  <si>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</si>
  <si>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</si>
  <si>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</si>
  <si>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</si>
  <si>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</si>
  <si>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</si>
  <si>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</si>
  <si>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</si>
  <si>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</si>
  <si>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</si>
  <si>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</si>
  <si>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</si>
  <si>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</si>
  <si>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</si>
  <si>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</si>
  <si>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</si>
  <si>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</si>
  <si>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</si>
  <si>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</si>
  <si>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</si>
  <si>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</si>
  <si>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</si>
  <si>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</si>
  <si>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</si>
  <si>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</si>
  <si>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</si>
  <si>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</si>
  <si>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</si>
  <si>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</si>
  <si>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</si>
  <si>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</si>
  <si>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</si>
  <si>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</si>
  <si>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</si>
  <si>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</si>
  <si>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</si>
  <si>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</si>
  <si>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</si>
  <si>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</si>
  <si>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</si>
  <si>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</si>
  <si>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</si>
  <si>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</si>
  <si>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</si>
  <si>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</si>
  <si>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</si>
  <si>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</si>
  <si>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</si>
  <si>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</si>
  <si>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</si>
  <si>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</si>
  <si>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</si>
  <si>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</si>
  <si>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</si>
  <si>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</si>
  <si>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</si>
  <si>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</si>
  <si>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</si>
  <si>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</si>
  <si>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</si>
  <si>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</si>
  <si>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</si>
  <si>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</si>
  <si>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</si>
  <si>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</si>
  <si>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</si>
  <si>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</si>
  <si>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</si>
  <si>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</si>
  <si>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</si>
  <si>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</si>
  <si>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</si>
  <si>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</si>
  <si>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</si>
  <si>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</si>
  <si>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</si>
  <si>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</si>
  <si>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</si>
  <si>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</si>
  <si>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</si>
  <si>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</si>
  <si>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</si>
  <si>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</si>
  <si>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</si>
  <si>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</si>
  <si>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</si>
  <si>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</si>
  <si>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</si>
  <si>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</si>
  <si>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</si>
  <si>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</si>
  <si>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</si>
  <si>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</si>
  <si>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</si>
  <si>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</si>
  <si>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</si>
  <si>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</si>
  <si>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</si>
  <si>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</si>
  <si>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</si>
  <si>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</si>
  <si>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</si>
  <si>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</si>
  <si>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</si>
  <si>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</si>
  <si>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</si>
  <si>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</si>
  <si>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</si>
  <si>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</si>
  <si>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</si>
  <si>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</si>
  <si>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</si>
  <si>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</si>
  <si>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</si>
  <si>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</si>
  <si>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</si>
  <si>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</si>
  <si>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</si>
  <si>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</si>
  <si>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</si>
  <si>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</si>
  <si>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</si>
  <si>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</si>
  <si>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</si>
  <si>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</si>
  <si>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</si>
  <si>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</si>
  <si>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</si>
  <si>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</si>
  <si>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</si>
  <si>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</si>
  <si>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</si>
  <si>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</si>
  <si>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</si>
  <si>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</si>
  <si>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</si>
  <si>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</si>
  <si>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</si>
  <si>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</si>
  <si>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</si>
  <si>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</si>
  <si>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</si>
  <si>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</si>
  <si>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</si>
  <si>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</si>
  <si>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</si>
  <si>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</si>
  <si>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</si>
  <si>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</si>
  <si>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</si>
  <si>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</si>
  <si>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</si>
  <si>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</si>
  <si>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</si>
  <si>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</si>
  <si>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</si>
  <si>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</si>
  <si>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</si>
  <si>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</si>
  <si>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</si>
  <si>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</si>
  <si>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</si>
  <si>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</si>
  <si>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</si>
  <si>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</si>
  <si>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</si>
  <si>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</si>
  <si>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</si>
  <si>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</si>
  <si>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</si>
  <si>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</si>
  <si>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</si>
  <si>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</si>
  <si>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</si>
  <si>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</si>
  <si>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</si>
  <si>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</si>
  <si>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</si>
  <si>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</si>
  <si>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</si>
  <si>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</si>
  <si>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</si>
  <si>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</si>
  <si>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</si>
  <si>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</si>
  <si>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</si>
  <si>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</si>
  <si>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</si>
  <si>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</si>
  <si>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</si>
  <si>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</si>
  <si>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</si>
  <si>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</si>
  <si>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</si>
  <si>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</si>
  <si>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</si>
  <si>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</si>
  <si>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</si>
  <si>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</si>
  <si>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</si>
  <si>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</si>
  <si>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</si>
  <si>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</si>
  <si>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</si>
  <si>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</si>
  <si>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</si>
  <si>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</si>
  <si>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</si>
  <si>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</si>
  <si>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</si>
  <si>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</si>
  <si>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</si>
  <si>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</si>
  <si>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</si>
  <si>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</si>
  <si>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</si>
  <si>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</si>
  <si>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</si>
  <si>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</si>
  <si>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</si>
  <si>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</si>
  <si>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</si>
  <si>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</si>
  <si>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</si>
  <si>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</si>
  <si>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</si>
  <si>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</si>
  <si>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</si>
  <si>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</si>
  <si>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</si>
  <si>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</si>
  <si>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</si>
  <si>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</si>
  <si>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</si>
  <si>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</si>
  <si>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</si>
  <si>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</si>
  <si>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</si>
  <si>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</si>
  <si>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</si>
  <si>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</si>
  <si>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</si>
  <si>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</si>
  <si>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</si>
  <si>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</si>
  <si>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</si>
  <si>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</si>
  <si>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</si>
  <si>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</si>
  <si>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</si>
  <si>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</si>
  <si>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</si>
  <si>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</si>
  <si>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</si>
  <si>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</si>
  <si>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</si>
  <si>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</si>
  <si>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</si>
  <si>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</si>
  <si>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</si>
  <si>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</si>
  <si>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</si>
  <si>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</si>
  <si>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</si>
  <si>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</si>
  <si>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</si>
  <si>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</si>
  <si>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</si>
  <si>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</si>
  <si>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</si>
  <si>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</si>
  <si>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</si>
  <si>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</si>
  <si>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</si>
  <si>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</si>
  <si>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</si>
  <si>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</si>
  <si>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</si>
  <si>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</si>
  <si>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</si>
  <si>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</si>
  <si>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</si>
  <si>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</si>
  <si>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</si>
  <si>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</si>
  <si>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</si>
  <si>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</si>
  <si>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</si>
  <si>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</si>
  <si>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</si>
  <si>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</si>
  <si>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</si>
  <si>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</si>
  <si>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</si>
  <si>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</si>
  <si>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</si>
  <si>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</si>
  <si>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</si>
  <si>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</si>
  <si>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</si>
  <si>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</si>
  <si>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</si>
  <si>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</si>
  <si>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</si>
  <si>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</si>
  <si>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</si>
  <si>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</si>
  <si>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</si>
  <si>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</si>
  <si>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</si>
  <si>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</si>
  <si>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</si>
  <si>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</si>
  <si>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</si>
  <si>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</si>
  <si>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</si>
  <si>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</si>
  <si>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</si>
  <si>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</si>
  <si>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</si>
  <si>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</si>
  <si>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</si>
  <si>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</si>
  <si>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</si>
  <si>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</si>
  <si>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</si>
  <si>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</si>
  <si>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</si>
  <si>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</si>
  <si>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</si>
  <si>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</si>
  <si>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</si>
  <si>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</si>
  <si>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</si>
  <si>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</si>
  <si>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</si>
  <si>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</si>
  <si>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</si>
  <si>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</si>
  <si>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</si>
  <si>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</si>
  <si>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</si>
  <si>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</si>
  <si>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</si>
  <si>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</si>
  <si>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</si>
  <si>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</si>
  <si>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</si>
  <si>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</si>
  <si>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</si>
  <si>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</si>
  <si>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</si>
  <si>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</si>
  <si>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</si>
  <si>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</si>
  <si>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</si>
  <si>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</si>
  <si>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</si>
  <si>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</si>
  <si>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</si>
  <si>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</si>
  <si>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</si>
  <si>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</si>
  <si>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</si>
  <si>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</si>
  <si>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</si>
  <si>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</si>
  <si>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</si>
  <si>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</si>
  <si>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</si>
  <si>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</si>
  <si>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</si>
  <si>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</si>
  <si>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</si>
  <si>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</si>
  <si>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</si>
  <si>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</si>
  <si>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</si>
  <si>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</si>
  <si>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</si>
  <si>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</si>
  <si>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</si>
  <si>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</si>
  <si>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</si>
  <si>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</si>
  <si>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</si>
  <si>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</si>
  <si>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</si>
  <si>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</si>
  <si>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</si>
  <si>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</si>
  <si>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</si>
  <si>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</si>
  <si>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</si>
  <si>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</si>
  <si>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</si>
  <si>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</si>
  <si>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</si>
  <si>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</si>
  <si>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</si>
  <si>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</si>
  <si>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</si>
  <si>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</si>
  <si>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</si>
  <si>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</si>
  <si>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</si>
  <si>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</si>
  <si>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</si>
  <si>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</si>
  <si>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</si>
  <si>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</si>
  <si>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</si>
  <si>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</si>
  <si>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</si>
  <si>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</si>
  <si>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</si>
  <si>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</si>
  <si>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</si>
  <si>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</si>
  <si>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</si>
  <si>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</si>
  <si>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</si>
  <si>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</si>
  <si>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</si>
  <si>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</si>
  <si>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</si>
  <si>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</si>
  <si>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</si>
  <si>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</si>
  <si>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</si>
  <si>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</si>
  <si>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</si>
  <si>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</si>
  <si>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</si>
  <si>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</si>
  <si>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</si>
  <si>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</si>
  <si>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</si>
  <si>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</si>
  <si>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</si>
  <si>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</si>
  <si>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</si>
  <si>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</si>
  <si>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</si>
  <si>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</si>
  <si>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</si>
  <si>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</si>
  <si>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</si>
  <si>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</si>
  <si>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</si>
  <si>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</si>
  <si>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</si>
  <si>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</si>
  <si>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</si>
  <si>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</si>
  <si>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</si>
  <si>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</si>
  <si>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</si>
  <si>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</si>
  <si>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</si>
  <si>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</si>
  <si>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</si>
  <si>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</si>
  <si>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</si>
  <si>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</si>
  <si>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</si>
  <si>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</si>
  <si>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</si>
  <si>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</si>
  <si>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</si>
  <si>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</si>
  <si>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</si>
  <si>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</si>
  <si>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</si>
  <si>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</si>
  <si>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</si>
  <si>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</si>
  <si>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</si>
  <si>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</si>
  <si>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</si>
  <si>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</si>
  <si>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</si>
  <si>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</si>
  <si>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</si>
  <si>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</si>
  <si>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</si>
  <si>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</si>
  <si>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</si>
  <si>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</si>
  <si>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</si>
  <si>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</si>
  <si>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</si>
  <si>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</si>
  <si>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</si>
  <si>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</si>
  <si>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</si>
  <si>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</si>
  <si>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</si>
  <si>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</si>
  <si>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</si>
  <si>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</si>
  <si>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</si>
  <si>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</si>
  <si>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</si>
  <si>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</si>
  <si>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</si>
  <si>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</si>
  <si>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</si>
  <si>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</si>
  <si>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</si>
  <si>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</si>
  <si>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</si>
  <si>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</si>
  <si>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</si>
  <si>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</si>
  <si>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</si>
  <si>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</si>
  <si>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</si>
  <si>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</si>
  <si>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</si>
  <si>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</si>
  <si>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</si>
  <si>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</si>
  <si>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</si>
  <si>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</si>
  <si>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</si>
  <si>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</si>
  <si>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</si>
  <si>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</si>
  <si>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</si>
  <si>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</si>
  <si>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</si>
  <si>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</si>
  <si>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</si>
  <si>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</si>
  <si>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</si>
  <si>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</si>
  <si>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</si>
  <si>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</si>
  <si>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</si>
  <si>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</si>
  <si>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</si>
  <si>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</si>
  <si>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</si>
  <si>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</si>
  <si>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</si>
  <si>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</si>
  <si>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</si>
  <si>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</si>
  <si>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</si>
  <si>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</si>
  <si>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</si>
  <si>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</si>
  <si>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</si>
  <si>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</si>
  <si>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</si>
  <si>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</si>
  <si>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</si>
  <si>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</si>
  <si>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</si>
  <si>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</si>
  <si>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</si>
  <si>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</si>
  <si>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</si>
  <si>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</si>
  <si>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</si>
  <si>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</si>
  <si>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</si>
  <si>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</si>
  <si>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</si>
  <si>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</si>
  <si>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</si>
  <si>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</si>
  <si>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</si>
  <si>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</si>
  <si>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</si>
  <si>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</si>
  <si>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</si>
  <si>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</si>
  <si>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</si>
  <si>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</si>
  <si>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</si>
  <si>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</si>
  <si>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</si>
  <si>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</si>
  <si>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</si>
  <si>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</si>
  <si>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</si>
  <si>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</si>
  <si>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</si>
  <si>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</si>
  <si>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</si>
  <si>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</si>
  <si>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</si>
  <si>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</si>
  <si>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</si>
  <si>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</si>
  <si>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</si>
  <si>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</si>
  <si>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</si>
  <si>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</si>
  <si>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</si>
  <si>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</si>
  <si>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</si>
  <si>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</si>
  <si>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</si>
  <si>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</si>
  <si>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</si>
  <si>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</si>
  <si>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</si>
  <si>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</si>
  <si>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</si>
  <si>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</si>
  <si>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</si>
  <si>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</si>
  <si>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</si>
  <si>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</si>
  <si>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</si>
  <si>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</si>
  <si>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</si>
  <si>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</si>
  <si>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</si>
  <si>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</si>
  <si>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</si>
  <si>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</si>
  <si>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</si>
  <si>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</si>
  <si>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</si>
  <si>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</si>
  <si>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</si>
  <si>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</si>
  <si>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</si>
  <si>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</si>
  <si>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</si>
  <si>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</si>
  <si>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</si>
  <si>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</si>
  <si>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</si>
  <si>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</si>
  <si>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</si>
  <si>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</si>
  <si>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</si>
  <si>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</si>
  <si>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</si>
  <si>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</si>
  <si>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</si>
  <si>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</si>
  <si>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</si>
  <si>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</si>
  <si>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</si>
  <si>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</si>
  <si>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</si>
  <si>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</si>
  <si>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</si>
  <si>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</si>
  <si>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</si>
  <si>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</si>
  <si>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</si>
  <si>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</si>
  <si>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</si>
  <si>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</si>
  <si>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</si>
  <si>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</si>
  <si>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</si>
  <si>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</si>
  <si>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</si>
  <si>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</si>
  <si>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</si>
  <si>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</si>
  <si>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</si>
  <si>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</si>
  <si>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</si>
  <si>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</si>
  <si>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</si>
  <si>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</si>
  <si>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</si>
  <si>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</si>
  <si>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</si>
  <si>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</si>
  <si>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</si>
  <si>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</si>
  <si>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</si>
  <si>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</si>
  <si>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</si>
  <si>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</si>
  <si>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</si>
  <si>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</si>
  <si>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</si>
  <si>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</si>
  <si>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</si>
  <si>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</si>
  <si>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</si>
  <si>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</si>
  <si>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</si>
  <si>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</si>
  <si>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</si>
  <si>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</si>
  <si>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</si>
  <si>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</si>
  <si>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</si>
  <si>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</si>
  <si>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</si>
  <si>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</si>
  <si>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</si>
  <si>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</si>
  <si>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</si>
  <si>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</si>
  <si>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</si>
  <si>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</si>
  <si>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</si>
  <si>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</si>
  <si>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</si>
  <si>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</si>
  <si>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</si>
  <si>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</si>
  <si>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</si>
  <si>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</si>
  <si>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</si>
  <si>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</si>
  <si>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</si>
  <si>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</si>
  <si>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</si>
  <si>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</si>
  <si>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</si>
  <si>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</si>
  <si>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</si>
  <si>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</si>
  <si>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</si>
  <si>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</si>
  <si>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</si>
  <si>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</si>
  <si>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</si>
  <si>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</si>
  <si>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</si>
  <si>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</si>
  <si>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</si>
  <si>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</si>
  <si>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</si>
  <si>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</si>
  <si>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</si>
  <si>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</si>
  <si>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</si>
  <si>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</si>
  <si>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</si>
  <si>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</si>
  <si>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</si>
  <si>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</si>
  <si>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</si>
  <si>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</si>
  <si>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</si>
  <si>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</si>
  <si>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</si>
  <si>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</si>
  <si>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</si>
  <si>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</si>
  <si>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</si>
  <si>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</si>
  <si>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</si>
  <si>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</si>
  <si>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</si>
  <si>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</si>
  <si>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</si>
  <si>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</si>
  <si>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</si>
  <si>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</si>
  <si>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</si>
  <si>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</si>
  <si>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</si>
  <si>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</si>
  <si>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</si>
  <si>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</si>
  <si>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</si>
  <si>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</si>
  <si>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</si>
  <si>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</si>
  <si>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</si>
  <si>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</si>
  <si>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</si>
  <si>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</si>
  <si>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</si>
  <si>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</si>
  <si>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</si>
  <si>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</si>
  <si>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</si>
  <si>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</si>
  <si>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</si>
  <si>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</si>
  <si>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</si>
  <si>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</si>
  <si>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</si>
  <si>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</si>
  <si>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</si>
  <si>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</si>
  <si>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</si>
  <si>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</si>
  <si>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</si>
  <si>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</si>
  <si>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</si>
  <si>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</si>
  <si>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</si>
  <si>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</si>
  <si>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</si>
  <si>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</si>
  <si>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</si>
  <si>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</si>
  <si>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</si>
  <si>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</si>
  <si>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</si>
  <si>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</si>
  <si>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</si>
  <si>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</si>
  <si>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</si>
  <si>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</si>
  <si>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</si>
  <si>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</si>
  <si>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</si>
  <si>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</si>
  <si>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</si>
  <si>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</si>
  <si>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</si>
  <si>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</si>
  <si>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</si>
  <si>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</si>
  <si>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</si>
  <si>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</si>
  <si>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</si>
  <si>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</si>
  <si>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</si>
  <si>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</si>
  <si>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</si>
  <si>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</si>
  <si>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</si>
  <si>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</si>
  <si>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</si>
  <si>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</si>
  <si>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</si>
  <si>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</si>
  <si>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</si>
  <si>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</si>
  <si>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</si>
  <si>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</si>
  <si>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</si>
  <si>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</si>
  <si>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</si>
  <si>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</si>
  <si>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</si>
  <si>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</si>
  <si>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</si>
  <si>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</si>
  <si>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</si>
  <si>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</si>
  <si>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</si>
  <si>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</si>
  <si>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</si>
  <si>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</si>
  <si>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</si>
  <si>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</si>
  <si>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</si>
  <si>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</si>
  <si>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</si>
  <si>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</si>
  <si>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</si>
  <si>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</si>
  <si>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</si>
  <si>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</si>
  <si>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</si>
  <si>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</si>
  <si>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</si>
  <si>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</si>
  <si>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</si>
  <si>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</si>
  <si>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</si>
  <si>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</si>
  <si>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</si>
  <si>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</si>
  <si>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</si>
  <si>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</si>
  <si>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</si>
  <si>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</si>
  <si>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</si>
  <si>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</si>
  <si>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</si>
  <si>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</si>
  <si>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</si>
  <si>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</si>
  <si>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</si>
  <si>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</si>
  <si>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</si>
  <si>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</si>
  <si>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</si>
  <si>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</si>
  <si>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</si>
  <si>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</si>
  <si>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</si>
  <si>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</si>
  <si>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</si>
  <si>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</si>
  <si>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</si>
  <si>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</si>
  <si>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</si>
  <si>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</si>
  <si>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</si>
  <si>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</si>
  <si>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</si>
  <si>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</si>
  <si>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</si>
  <si>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</si>
  <si>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</si>
  <si>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</si>
  <si>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</si>
  <si>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</si>
  <si>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</si>
  <si>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</si>
  <si>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</si>
  <si>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</si>
  <si>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</si>
  <si>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</si>
  <si>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</si>
  <si>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</si>
  <si>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</si>
  <si>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</si>
  <si>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</si>
  <si>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</si>
  <si>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</si>
  <si>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</si>
  <si>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</si>
  <si>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</si>
  <si>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</si>
  <si>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</si>
  <si>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</si>
  <si>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</si>
  <si>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</si>
  <si>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</si>
  <si>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</si>
  <si>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</si>
  <si>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</si>
  <si>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</si>
  <si>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</si>
  <si>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</si>
  <si>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</si>
  <si>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</si>
  <si>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</si>
  <si>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</si>
  <si>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</si>
  <si>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</si>
  <si>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</si>
  <si>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</si>
  <si>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</si>
  <si>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Ломбард "GoldFinMarket"</t>
  </si>
  <si>
    <t>21,02</t>
  </si>
  <si>
    <t>МФО "TAS FINANCE GROUP" (ТАС ФИНАНС ГРУПП)</t>
  </si>
  <si>
    <t>21,49</t>
  </si>
  <si>
    <t>17,03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</si>
  <si>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</si>
  <si>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</si>
  <si>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</si>
  <si>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</si>
  <si>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</si>
  <si>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</si>
  <si>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</si>
  <si>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</si>
  <si>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</si>
  <si>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</si>
  <si>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</si>
  <si>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</si>
  <si>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</si>
  <si>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11,62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</si>
  <si>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</si>
  <si>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</si>
  <si>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</si>
  <si>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</si>
  <si>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</si>
  <si>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</si>
  <si>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</si>
  <si>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</si>
  <si>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</si>
  <si>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</si>
  <si>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</si>
  <si>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</si>
  <si>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</si>
  <si>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</si>
  <si>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</si>
  <si>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</si>
  <si>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</si>
  <si>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</si>
  <si>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</si>
  <si>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18FHJIag</t>
  </si>
  <si>
    <t>19FHJIpc</t>
  </si>
  <si>
    <t>20HCBNb13</t>
  </si>
  <si>
    <t>21HCBNb17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</si>
  <si>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</si>
  <si>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</si>
  <si>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</si>
  <si>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</si>
  <si>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</si>
  <si>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</si>
  <si>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</si>
  <si>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</si>
  <si>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</si>
  <si>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</si>
  <si>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32KMGZ</t>
  </si>
  <si>
    <t>33KMGZe12</t>
  </si>
  <si>
    <t>6,57</t>
  </si>
  <si>
    <t>34KMGZe14</t>
  </si>
  <si>
    <t>35KMGZe15</t>
  </si>
  <si>
    <t>36KMGZe16</t>
  </si>
  <si>
    <t>37KSPI</t>
  </si>
  <si>
    <t>38KSPId</t>
  </si>
  <si>
    <t>39KZAP</t>
  </si>
  <si>
    <t>40KZTCb3</t>
  </si>
  <si>
    <t>41KZTK</t>
  </si>
  <si>
    <t>42KZTKp</t>
  </si>
  <si>
    <t>43KZTO</t>
  </si>
  <si>
    <t>44KZ_23_3504</t>
  </si>
  <si>
    <t>53MFOKb16</t>
  </si>
  <si>
    <t>54MFOKb18</t>
  </si>
  <si>
    <t>55MFOKb19</t>
  </si>
  <si>
    <t>56MFOKb20</t>
  </si>
  <si>
    <t>57MFOKb21</t>
  </si>
  <si>
    <t>20,13</t>
  </si>
  <si>
    <t>58MFOKb22</t>
  </si>
  <si>
    <t>59MFOKb24</t>
  </si>
  <si>
    <t>60MFOKb25</t>
  </si>
  <si>
    <t>61MFOKb26</t>
  </si>
  <si>
    <t>62MFRFb12</t>
  </si>
  <si>
    <t>63MFRFb16</t>
  </si>
  <si>
    <t>64MFRFb18</t>
  </si>
  <si>
    <t>65MFRFb19</t>
  </si>
  <si>
    <t>66MFRFb21</t>
  </si>
  <si>
    <t>16,64</t>
  </si>
  <si>
    <t>11,23</t>
  </si>
  <si>
    <t>60 (0)</t>
  </si>
  <si>
    <t>1 380 (4)</t>
  </si>
  <si>
    <t>17,31</t>
  </si>
  <si>
    <t>17,24</t>
  </si>
  <si>
    <t>16,85</t>
  </si>
  <si>
    <t>17,14</t>
  </si>
  <si>
    <t>17,09</t>
  </si>
  <si>
    <t>16,78</t>
  </si>
  <si>
    <t>16,82</t>
  </si>
  <si>
    <t>16,71</t>
  </si>
  <si>
    <t>16,74</t>
  </si>
  <si>
    <t>17,34</t>
  </si>
  <si>
    <t>17,00</t>
  </si>
  <si>
    <t>16,68</t>
  </si>
  <si>
    <t>16,69</t>
  </si>
  <si>
    <t>16,67</t>
  </si>
  <si>
    <t>210 (1)</t>
  </si>
  <si>
    <t>837 (2)</t>
  </si>
  <si>
    <t>630 (2)</t>
  </si>
  <si>
    <t>4,96</t>
  </si>
  <si>
    <t>1 658 (5)</t>
  </si>
  <si>
    <t>5,98</t>
  </si>
  <si>
    <t>204 (1)</t>
  </si>
  <si>
    <t>969 (3)</t>
  </si>
  <si>
    <t>5,89</t>
  </si>
  <si>
    <t>201 (1)</t>
  </si>
  <si>
    <t>910 (3)</t>
  </si>
  <si>
    <t>941 (3)</t>
  </si>
  <si>
    <t>898 (2)</t>
  </si>
  <si>
    <t>1 755 (5)</t>
  </si>
  <si>
    <t>31 (0)</t>
  </si>
  <si>
    <t>7 790 (22)</t>
  </si>
  <si>
    <t>4,88</t>
  </si>
  <si>
    <t>1 675 (5)</t>
  </si>
  <si>
    <t>6,65</t>
  </si>
  <si>
    <t>8 335 (23)</t>
  </si>
  <si>
    <t>5,30</t>
  </si>
  <si>
    <t>2 745 (8)</t>
  </si>
  <si>
    <t>918 (3)</t>
  </si>
  <si>
    <t>3 460 (10)</t>
  </si>
  <si>
    <t>45MFLGb8</t>
  </si>
  <si>
    <t>537 (1)</t>
  </si>
  <si>
    <t>46MFMCb2</t>
  </si>
  <si>
    <t>435 (1)</t>
  </si>
  <si>
    <t>47MFMOb10</t>
  </si>
  <si>
    <t>24,31</t>
  </si>
  <si>
    <t>433 (1)</t>
  </si>
  <si>
    <t>48MFMOb17</t>
  </si>
  <si>
    <t>72,23</t>
  </si>
  <si>
    <t>172 (0)</t>
  </si>
  <si>
    <t>49MFMOb25</t>
  </si>
  <si>
    <t>702 (2)</t>
  </si>
  <si>
    <t>50MFMOb26</t>
  </si>
  <si>
    <t>15,27</t>
  </si>
  <si>
    <t>617 (2)</t>
  </si>
  <si>
    <t>51MFMOb28</t>
  </si>
  <si>
    <t>14,53</t>
  </si>
  <si>
    <t>651 (2)</t>
  </si>
  <si>
    <t>52MFMOb32</t>
  </si>
  <si>
    <t>711 (2)</t>
  </si>
  <si>
    <t>22,23</t>
  </si>
  <si>
    <t>75 (0)</t>
  </si>
  <si>
    <t>21,58</t>
  </si>
  <si>
    <t>237 (1)</t>
  </si>
  <si>
    <t>10,33</t>
  </si>
  <si>
    <t>559 (2)</t>
  </si>
  <si>
    <t>22,71</t>
  </si>
  <si>
    <t>706 (2)</t>
  </si>
  <si>
    <t>869 (2)</t>
  </si>
  <si>
    <t>22,65</t>
  </si>
  <si>
    <t>412 (1)</t>
  </si>
  <si>
    <t>913 (3)</t>
  </si>
  <si>
    <t>22,15</t>
  </si>
  <si>
    <t>932 (3)</t>
  </si>
  <si>
    <t>20,76</t>
  </si>
  <si>
    <t>1 011 (3)</t>
  </si>
  <si>
    <t>166,14</t>
  </si>
  <si>
    <t>50 (0)</t>
  </si>
  <si>
    <t>34,04</t>
  </si>
  <si>
    <t>929 (3)</t>
  </si>
  <si>
    <t>26,82</t>
  </si>
  <si>
    <t>683 (2)</t>
  </si>
  <si>
    <t>24,17</t>
  </si>
  <si>
    <t>1 017 (3)</t>
  </si>
  <si>
    <t>699 (2)</t>
  </si>
  <si>
    <t>67MFSCb5</t>
  </si>
  <si>
    <t>10,62</t>
  </si>
  <si>
    <t>596 (2)</t>
  </si>
  <si>
    <t>68MFTSb1</t>
  </si>
  <si>
    <t>105 (0)</t>
  </si>
  <si>
    <t>69MFTSb2</t>
  </si>
  <si>
    <t>21,65</t>
  </si>
  <si>
    <t>320 (1)</t>
  </si>
  <si>
    <t>70MFTSb3</t>
  </si>
  <si>
    <t>676 (2)</t>
  </si>
  <si>
    <t>71MKM012_0159</t>
  </si>
  <si>
    <t>15,26</t>
  </si>
  <si>
    <t>56 (0)</t>
  </si>
  <si>
    <t>72MKM012_0160</t>
  </si>
  <si>
    <t>16,07</t>
  </si>
  <si>
    <t>161 (0)</t>
  </si>
  <si>
    <t>73MKM012_0161</t>
  </si>
  <si>
    <t>259 (1)</t>
  </si>
  <si>
    <t>74MOM048_0052</t>
  </si>
  <si>
    <t>16,21</t>
  </si>
  <si>
    <t>142 (0)</t>
  </si>
  <si>
    <t>75MOM048_0053</t>
  </si>
  <si>
    <t>16,46</t>
  </si>
  <si>
    <t>295 (1)</t>
  </si>
  <si>
    <t>76MOM048_0054</t>
  </si>
  <si>
    <t>16,60</t>
  </si>
  <si>
    <t>377 (1)</t>
  </si>
  <si>
    <t>77MOM048_0056</t>
  </si>
  <si>
    <t>16,39</t>
  </si>
  <si>
    <t>1 418 (4)</t>
  </si>
  <si>
    <t>78MOM060_0052</t>
  </si>
  <si>
    <t>16,55</t>
  </si>
  <si>
    <t>335 (1)</t>
  </si>
  <si>
    <t>79MOM060_0054</t>
  </si>
  <si>
    <t>799 (2)</t>
  </si>
  <si>
    <t>80MTC048_0001</t>
  </si>
  <si>
    <t>1 431 (4)</t>
  </si>
  <si>
    <t>81MTM048_0001</t>
  </si>
  <si>
    <t>370 (1)</t>
  </si>
  <si>
    <t>82MTM060_0001</t>
  </si>
  <si>
    <t>17,19</t>
  </si>
  <si>
    <t>765 (2)</t>
  </si>
  <si>
    <t>83MTM072_0001</t>
  </si>
  <si>
    <t>17,39</t>
  </si>
  <si>
    <t>1 159 (3)</t>
  </si>
  <si>
    <t>84MTM084_0001</t>
  </si>
  <si>
    <t>1 624 (5)</t>
  </si>
  <si>
    <t>85MTM096_0001</t>
  </si>
  <si>
    <t>17,61</t>
  </si>
  <si>
    <t>1 934 (5)</t>
  </si>
  <si>
    <t>86MUJ144_0005</t>
  </si>
  <si>
    <t>11,28</t>
  </si>
  <si>
    <t>88 (0)</t>
  </si>
  <si>
    <t>87MUJ156_0004</t>
  </si>
  <si>
    <t>391 (1)</t>
  </si>
  <si>
    <t>88MUJ168_0004</t>
  </si>
  <si>
    <t>89MUJ168_0005</t>
  </si>
  <si>
    <t>359 (1)</t>
  </si>
  <si>
    <t>90MUJ180_0007</t>
  </si>
  <si>
    <t>59 (0)</t>
  </si>
  <si>
    <t>91MUJ180_0008</t>
  </si>
  <si>
    <t>1 184 (3)</t>
  </si>
  <si>
    <t>92MUJ192_0002</t>
  </si>
  <si>
    <t>93MUJ192_0003</t>
  </si>
  <si>
    <t>269 (1)</t>
  </si>
  <si>
    <t>94MUJ192_0004</t>
  </si>
  <si>
    <t>1 615 (4)</t>
  </si>
  <si>
    <t>95MUJ204_0001</t>
  </si>
  <si>
    <t>96MUJ204_0002</t>
  </si>
  <si>
    <t>331 (1)</t>
  </si>
  <si>
    <t>97MUJ204_0003</t>
  </si>
  <si>
    <t>600 (2)</t>
  </si>
  <si>
    <t>98MUJ204_0004</t>
  </si>
  <si>
    <t>690 (2)</t>
  </si>
  <si>
    <t>99MUJ204_0005</t>
  </si>
  <si>
    <t>1 259 (3)</t>
  </si>
  <si>
    <t>100MUJ204_0006</t>
  </si>
  <si>
    <t>1 379 (4)</t>
  </si>
  <si>
    <t>101MUJ216_0001</t>
  </si>
  <si>
    <t>660 (2)</t>
  </si>
  <si>
    <t>102MUJ216_0002</t>
  </si>
  <si>
    <t>807 (2)</t>
  </si>
  <si>
    <t>103MUJ216_0003</t>
  </si>
  <si>
    <t>896 (2)</t>
  </si>
  <si>
    <t>104MUJ216_0004</t>
  </si>
  <si>
    <t>1 438 (4)</t>
  </si>
  <si>
    <t>105MUJ216_0005</t>
  </si>
  <si>
    <t>1 711 (5)</t>
  </si>
  <si>
    <t>106MUJ228_0001</t>
  </si>
  <si>
    <t>1 078 (3)</t>
  </si>
  <si>
    <t>107MUJ228_0002</t>
  </si>
  <si>
    <t>1 201 (3)</t>
  </si>
  <si>
    <t>108MUJ228_0003</t>
  </si>
  <si>
    <t>109MUJ228_0004</t>
  </si>
  <si>
    <t>1 589 (4)</t>
  </si>
  <si>
    <t>110MUJ228_0005</t>
  </si>
  <si>
    <t>1 830 (5)</t>
  </si>
  <si>
    <t>111MUJ228_0006</t>
  </si>
  <si>
    <t>2 188 (6)</t>
  </si>
  <si>
    <t>112MUJ240_0001</t>
  </si>
  <si>
    <t>2 280 (6)</t>
  </si>
  <si>
    <t>113MUM072_0013</t>
  </si>
  <si>
    <t>620 (2)</t>
  </si>
  <si>
    <t>114MUM072_0014</t>
  </si>
  <si>
    <t>1 264 (4)</t>
  </si>
  <si>
    <t>115MUM072_0015</t>
  </si>
  <si>
    <t>1 628 (5)</t>
  </si>
  <si>
    <t>116MUM084_0018</t>
  </si>
  <si>
    <t>17,22</t>
  </si>
  <si>
    <t>943 (3)</t>
  </si>
  <si>
    <t>117MUM084_0019</t>
  </si>
  <si>
    <t>1 973 (5)</t>
  </si>
  <si>
    <t>118MUM084_0020</t>
  </si>
  <si>
    <t>2 347 (7)</t>
  </si>
  <si>
    <t>119MUM096_0011</t>
  </si>
  <si>
    <t>1 138 (3)</t>
  </si>
  <si>
    <t>120MUM096_0012</t>
  </si>
  <si>
    <t>1 409 (4)</t>
  </si>
  <si>
    <t>121MUM096_0013</t>
  </si>
  <si>
    <t>1 595 (4)</t>
  </si>
  <si>
    <t>122MUM096_0014</t>
  </si>
  <si>
    <t>2 053 (6)</t>
  </si>
  <si>
    <t>123MUM096_0015</t>
  </si>
  <si>
    <t>2 796 (8)</t>
  </si>
  <si>
    <t>124MUM108_0012</t>
  </si>
  <si>
    <t>17,16</t>
  </si>
  <si>
    <t>304 (1)</t>
  </si>
  <si>
    <t>125MUM108_0013</t>
  </si>
  <si>
    <t>17,08</t>
  </si>
  <si>
    <t>1 292 (4)</t>
  </si>
  <si>
    <t>126MUM108_0014</t>
  </si>
  <si>
    <t>2 420 (7)</t>
  </si>
  <si>
    <t>127MUM108_0015</t>
  </si>
  <si>
    <t>3 067 (9)</t>
  </si>
  <si>
    <t>128MUM120_0017</t>
  </si>
  <si>
    <t>547 (2)</t>
  </si>
  <si>
    <t>129MUM120_0018</t>
  </si>
  <si>
    <t>664 (2)</t>
  </si>
  <si>
    <t>130MUM120_0019</t>
  </si>
  <si>
    <t>1 998 (6)</t>
  </si>
  <si>
    <t>131MUM120_0020</t>
  </si>
  <si>
    <t>3 404 (9)</t>
  </si>
  <si>
    <t>132MUM132_0007</t>
  </si>
  <si>
    <t>2 487 (7)</t>
  </si>
  <si>
    <t>133MUM144_0009</t>
  </si>
  <si>
    <t>2 874 (8)</t>
  </si>
  <si>
    <t>134MUM156_0005</t>
  </si>
  <si>
    <t>135MUM156_0006</t>
  </si>
  <si>
    <t>2 051 (6)</t>
  </si>
  <si>
    <t>136MUM156_0007</t>
  </si>
  <si>
    <t>3 048 (8)</t>
  </si>
  <si>
    <t>137MUM156_0008</t>
  </si>
  <si>
    <t>4 583 (13)</t>
  </si>
  <si>
    <t>138MUM168_0001</t>
  </si>
  <si>
    <t>16,41</t>
  </si>
  <si>
    <t>34 (0)</t>
  </si>
  <si>
    <t>139MUM168_0002</t>
  </si>
  <si>
    <t>16,63</t>
  </si>
  <si>
    <t>77 (0)</t>
  </si>
  <si>
    <t>140MUM168_0003</t>
  </si>
  <si>
    <t>2 387 (7)</t>
  </si>
  <si>
    <t>141MUM168_0005</t>
  </si>
  <si>
    <t>3 431 (10)</t>
  </si>
  <si>
    <t>142MUM180_0003</t>
  </si>
  <si>
    <t>85 (0)</t>
  </si>
  <si>
    <t>143MUM180_0004</t>
  </si>
  <si>
    <t>349 (1)</t>
  </si>
  <si>
    <t>144MUM180_0005</t>
  </si>
  <si>
    <t>444 (1)</t>
  </si>
  <si>
    <t>145MUM180_0006</t>
  </si>
  <si>
    <t>568 (2)</t>
  </si>
  <si>
    <t>146MUM180_0007</t>
  </si>
  <si>
    <t>739 (2)</t>
  </si>
  <si>
    <t>147MUM180_0008</t>
  </si>
  <si>
    <t>17,28</t>
  </si>
  <si>
    <t>775 (2)</t>
  </si>
  <si>
    <t>148MUM180_0009</t>
  </si>
  <si>
    <t>17,13</t>
  </si>
  <si>
    <t>1 181 (3)</t>
  </si>
  <si>
    <t>149MUM180_0011</t>
  </si>
  <si>
    <t>1 424 (4)</t>
  </si>
  <si>
    <t>150MUM180_0012</t>
  </si>
  <si>
    <t>151MUM180_0013</t>
  </si>
  <si>
    <t>2 735 (8)</t>
  </si>
  <si>
    <t>152MUM180_0014</t>
  </si>
  <si>
    <t>2 754 (8)</t>
  </si>
  <si>
    <t>153MUM180_0015</t>
  </si>
  <si>
    <t>16,73</t>
  </si>
  <si>
    <t>3 956 (11)</t>
  </si>
  <si>
    <t>154MUM180_0016</t>
  </si>
  <si>
    <t>4 109 (11)</t>
  </si>
  <si>
    <t>155MUM192_0001</t>
  </si>
  <si>
    <t>17,29</t>
  </si>
  <si>
    <t>770 (2)</t>
  </si>
  <si>
    <t>156MUM192_0002</t>
  </si>
  <si>
    <t>949 (3)</t>
  </si>
  <si>
    <t>157MUM192_0003</t>
  </si>
  <si>
    <t>17,17</t>
  </si>
  <si>
    <t>1 101 (3)</t>
  </si>
  <si>
    <t>158MUM216_0001</t>
  </si>
  <si>
    <t>3 931 (11)</t>
  </si>
  <si>
    <t>159MUM216_0002</t>
  </si>
  <si>
    <t>4 122 (11)</t>
  </si>
  <si>
    <t>160MUM240_0001</t>
  </si>
  <si>
    <t>2 395 (7)</t>
  </si>
  <si>
    <t>161MUM240_0002</t>
  </si>
  <si>
    <t>16,75</t>
  </si>
  <si>
    <t>3 133 (9)</t>
  </si>
  <si>
    <t>162MUM240_0004</t>
  </si>
  <si>
    <t>3 390 (9)</t>
  </si>
  <si>
    <t>163MUM300_0001</t>
  </si>
  <si>
    <t>4 791 (13)</t>
  </si>
  <si>
    <t>164MUM300_0002</t>
  </si>
  <si>
    <t>5 006 (14)</t>
  </si>
  <si>
    <t>165MUM300_0003</t>
  </si>
  <si>
    <t>5 217 (14)</t>
  </si>
  <si>
    <t>166MUM360_0001</t>
  </si>
  <si>
    <t>6 867 (19)</t>
  </si>
  <si>
    <t>167MUX072_0003</t>
  </si>
  <si>
    <t>2 012 (6)</t>
  </si>
  <si>
    <t>168NCOMb3</t>
  </si>
  <si>
    <t>222 (1)</t>
  </si>
  <si>
    <t>169NCOMb6</t>
  </si>
  <si>
    <t>262 (1)</t>
  </si>
  <si>
    <t>170NTK028_2866</t>
  </si>
  <si>
    <t>14,92</t>
  </si>
  <si>
    <t>19 (0)</t>
  </si>
  <si>
    <t>171PRKRe1</t>
  </si>
  <si>
    <t>209 (1)</t>
  </si>
  <si>
    <t>172SKKZe1</t>
  </si>
  <si>
    <t>4,50</t>
  </si>
  <si>
    <t>419 (1)</t>
  </si>
  <si>
    <t>Национальный Банк РК</t>
  </si>
  <si>
    <t>Расчетная цена на 30.08.25</t>
  </si>
  <si>
    <t>Расчетная грязная цена 30.08.25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</si>
</sst>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4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3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45899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2855</v>
      </c>
      <c r="J5" s="2" t="s">
        <v>2856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29.08.25'!$C$5:$F$162,4,0)</f>
        <v>84.701999999999998</v>
      </c>
      <c r="J6" s="32">
        <f>VLOOKUP(B6,'KASE за 29.08.25'!$C$5:$G$162,5,0)</f>
        <v>87.02</v>
      </c>
      <c r="K6" s="64">
        <v>40831875</v>
      </c>
      <c r="L6" s="29">
        <f>D6*I6/100+K6</f>
        <v>1523116875</v>
      </c>
      <c r="M6" s="33">
        <f t="shared" ref="M6:M49" si="0">L6/$L$62</f>
        <v>5.7809758908602377E-2</v>
      </c>
      <c r="N6" s="13">
        <f>D6*E6%/360</f>
        <v>266875.00000000006</v>
      </c>
      <c r="O6" s="12">
        <f>K6+N6</f>
        <v>41098750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29.08.25'!$C$5:$F$162,4,0)</f>
        <v>86.315899999999999</v>
      </c>
      <c r="J7" s="32">
        <f>VLOOKUP(B7,'KASE за 29.08.25'!$C$5:$G$162,5,0)</f>
        <v>90.273700000000005</v>
      </c>
      <c r="K7" s="64">
        <v>77740000.00000003</v>
      </c>
      <c r="L7" s="29">
        <f>D7*I7/100+K7</f>
        <v>1760900050</v>
      </c>
      <c r="M7" s="33">
        <f t="shared" si="0"/>
        <v>6.6834797134425986E-2</v>
      </c>
      <c r="N7" s="13">
        <f t="shared" ref="N7:N15" si="1">D7*E7%/360</f>
        <v>563333.33333333337</v>
      </c>
      <c r="O7" s="12">
        <f t="shared" ref="O7:O41" si="2">K7+N7</f>
        <v>78303333.333333358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29.08.25'!$C$5:$F$162,4,0)</f>
        <v>84.406199999999998</v>
      </c>
      <c r="J8" s="32">
        <f>VLOOKUP(B8,'KASE за 29.08.25'!$C$5:$G$162,5,0)</f>
        <v>88.959000000000003</v>
      </c>
      <c r="K8" s="64">
        <v>63174375</v>
      </c>
      <c r="L8" s="29">
        <f>D8*I8/100+K8</f>
        <v>1226587232.7</v>
      </c>
      <c r="M8" s="33">
        <f t="shared" si="0"/>
        <v>4.6555003996496827E-2</v>
      </c>
      <c r="N8" s="13">
        <f>D8*E8%/360</f>
        <v>421162.5</v>
      </c>
      <c r="O8" s="12">
        <f t="shared" si="2"/>
        <v>63595537.5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29.08.25'!$C$5:$F$162,4,0)</f>
        <v>82.436000000000007</v>
      </c>
      <c r="J9" s="32">
        <f>VLOOKUP(B9,'KASE за 29.08.25'!$C$5:$G$162,5,0)</f>
        <v>83.344499999999996</v>
      </c>
      <c r="K9" s="64">
        <v>7896088.8888888936</v>
      </c>
      <c r="L9" s="29">
        <f>D9*I9/100+K9</f>
        <v>702007208.88888884</v>
      </c>
      <c r="M9" s="33">
        <f t="shared" si="0"/>
        <v>2.6644618127527168E-2</v>
      </c>
      <c r="N9" s="13">
        <f>D9*E9%/360</f>
        <v>246752.77777777781</v>
      </c>
      <c r="O9" s="12">
        <f>K9+N9</f>
        <v>8142841.6666666716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29.08.25'!$C$5:$F$162,4,0)</f>
        <v>77.218999999999994</v>
      </c>
      <c r="J10" s="32">
        <f>VLOOKUP(B10,'KASE за 29.08.25'!$C$5:$G$162,5,0)</f>
        <v>81.853999999999999</v>
      </c>
      <c r="K10" s="64">
        <v>67622361.111111209</v>
      </c>
      <c r="L10" s="29">
        <f t="shared" ref="L10:L15" si="3">D10*I10/100+K10</f>
        <v>1187297861.1111109</v>
      </c>
      <c r="M10" s="33">
        <f t="shared" si="0"/>
        <v>4.5063779562899656E-2</v>
      </c>
      <c r="N10" s="13">
        <f>D10*E10%/360</f>
        <v>414861.11111111112</v>
      </c>
      <c r="O10" s="12">
        <f t="shared" si="2"/>
        <v>68037222.222222313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29.08.25'!$C$5:$F$162,4,0)</f>
        <v>67.825699999999998</v>
      </c>
      <c r="J11" s="32">
        <f>VLOOKUP(B11,'KASE за 29.08.25'!$C$5:$G$162,5,0)</f>
        <v>70.947500000000005</v>
      </c>
      <c r="K11" s="64">
        <v>61332916.666666776</v>
      </c>
      <c r="L11" s="29">
        <f t="shared" si="3"/>
        <v>1383934066.6666667</v>
      </c>
      <c r="M11" s="33">
        <f t="shared" si="0"/>
        <v>5.2527088401802161E-2</v>
      </c>
      <c r="N11" s="13">
        <f t="shared" si="1"/>
        <v>457708.33333333326</v>
      </c>
      <c r="O11" s="12">
        <f t="shared" si="2"/>
        <v>61790625.000000112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29.08.25'!$C$5:$F$162,4,0)</f>
        <v>75.783000000000001</v>
      </c>
      <c r="J12" s="32">
        <f>VLOOKUP(B12,'KASE за 29.08.25'!$C$5:$G$162,5,0)</f>
        <v>76.759200000000007</v>
      </c>
      <c r="K12" s="64">
        <v>9877283.333333334</v>
      </c>
      <c r="L12" s="29">
        <f>D12*I12/100+K12</f>
        <v>754066343.33333337</v>
      </c>
      <c r="M12" s="33">
        <f t="shared" si="0"/>
        <v>2.862051771909584E-2</v>
      </c>
      <c r="N12" s="13">
        <f>D12*E12%/360</f>
        <v>290508.33333333331</v>
      </c>
      <c r="O12" s="12">
        <f t="shared" si="2"/>
        <v>10167791.666666668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29.08.25'!$C$5:$F$162,4,0)</f>
        <v>75.783000000000001</v>
      </c>
      <c r="J13" s="32">
        <f>VLOOKUP(B13,'KASE за 29.08.25'!$C$5:$G$162,5,0)</f>
        <v>76.759200000000007</v>
      </c>
      <c r="K13" s="64">
        <v>2514583.3333333335</v>
      </c>
      <c r="L13" s="29">
        <f>D13*I13/100+K13</f>
        <v>191972083.33333334</v>
      </c>
      <c r="M13" s="33">
        <f t="shared" si="0"/>
        <v>7.2862825150447662E-3</v>
      </c>
      <c r="N13" s="13">
        <f>D13*E13%/360</f>
        <v>73958.333333333328</v>
      </c>
      <c r="O13" s="12">
        <f>K13+N13</f>
        <v>2588541.666666667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29.08.25'!$C$5:$F$173,4,0)</f>
        <v>61.530700000000003</v>
      </c>
      <c r="J14" s="32">
        <f>VLOOKUP(B14,'KASE за 29.08.25'!$C$5:$G$173,5,0)</f>
        <v>63.929299999999998</v>
      </c>
      <c r="K14" s="64">
        <v>47209500.000000007</v>
      </c>
      <c r="L14" s="29">
        <f t="shared" si="3"/>
        <v>1247058150</v>
      </c>
      <c r="M14" s="33">
        <f t="shared" si="0"/>
        <v>4.7331975753014816E-2</v>
      </c>
      <c r="N14" s="13">
        <f t="shared" si="1"/>
        <v>437125.00000000006</v>
      </c>
      <c r="O14" s="12">
        <f t="shared" si="2"/>
        <v>47646625.000000007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29.08.25'!$C$5:$F$173,4,0)</f>
        <v>60.118899999999996</v>
      </c>
      <c r="J15" s="32">
        <f>VLOOKUP(B15,'KASE за 29.08.25'!$C$5:$G$173,5,0)</f>
        <v>64.826400000000007</v>
      </c>
      <c r="K15" s="64">
        <v>92233375</v>
      </c>
      <c r="L15" s="29">
        <f t="shared" si="3"/>
        <v>1264551925</v>
      </c>
      <c r="M15" s="33">
        <f t="shared" si="0"/>
        <v>4.7995950351255236E-2</v>
      </c>
      <c r="N15" s="13">
        <f t="shared" si="1"/>
        <v>437125.00000000006</v>
      </c>
      <c r="O15" s="12">
        <f t="shared" si="2"/>
        <v>92670500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29.08.25'!$C$5:$F$174,4,0)</f>
        <v>56.571800000000003</v>
      </c>
      <c r="J16" s="32">
        <f>VLOOKUP(B16,'KASE за 29.08.25'!$C$5:$G$174,5,0)</f>
        <v>58.481499999999997</v>
      </c>
      <c r="K16" s="64">
        <v>6005980.7500000093</v>
      </c>
      <c r="L16" s="29">
        <f t="shared" ref="L16:L30" si="4">D16*I16/100+K16</f>
        <v>182509431.03200001</v>
      </c>
      <c r="M16" s="33">
        <f t="shared" si="0"/>
        <v>6.9271284296591575E-3</v>
      </c>
      <c r="N16" s="13">
        <f>D16*E16%/360</f>
        <v>47666.513888888891</v>
      </c>
      <c r="O16" s="12">
        <f t="shared" si="2"/>
        <v>6053647.2638888983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29.08.25'!$C$5:$F$174,4,0)</f>
        <v>56.571800000000003</v>
      </c>
      <c r="J17" s="32">
        <f>VLOOKUP(B17,'KASE за 29.08.25'!$C$5:$G$174,5,0)</f>
        <v>58.481499999999997</v>
      </c>
      <c r="K17" s="64">
        <v>9624999.9999999963</v>
      </c>
      <c r="L17" s="29">
        <f t="shared" si="4"/>
        <v>292484000</v>
      </c>
      <c r="M17" s="33">
        <f t="shared" si="0"/>
        <v>1.1101202936001649E-2</v>
      </c>
      <c r="N17" s="13">
        <f t="shared" ref="N17:N27" si="5">D17*E17%/360</f>
        <v>76388.888888888891</v>
      </c>
      <c r="O17" s="12">
        <f t="shared" si="2"/>
        <v>9701388.8888888843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29.08.25'!$C$5:$F$174,4,0)</f>
        <v>56.571800000000003</v>
      </c>
      <c r="J18" s="32">
        <f>VLOOKUP(B18,'KASE за 29.08.25'!$C$5:$G$174,5,0)</f>
        <v>58.481499999999997</v>
      </c>
      <c r="K18" s="64">
        <v>9624999.9999999963</v>
      </c>
      <c r="L18" s="29">
        <f>D18*I18/100+K18</f>
        <v>292484000</v>
      </c>
      <c r="M18" s="33">
        <f t="shared" si="0"/>
        <v>1.1101202936001649E-2</v>
      </c>
      <c r="N18" s="13">
        <f>D18*E18%/360</f>
        <v>76388.888888888891</v>
      </c>
      <c r="O18" s="12">
        <f t="shared" si="2"/>
        <v>9701388.8888888843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56.571800000000003</v>
      </c>
      <c r="J19" s="32">
        <f>VLOOKUP(B19,'KASE за 29.08.25'!$C$5:$G$174,5,0)</f>
        <v>58.481499999999997</v>
      </c>
      <c r="K19" s="64">
        <v>5774999.9999999953</v>
      </c>
      <c r="L19" s="29">
        <f>D19*I19/100+K19</f>
        <v>175490400.00000003</v>
      </c>
      <c r="M19" s="33">
        <f t="shared" si="0"/>
        <v>6.6607217616009903E-3</v>
      </c>
      <c r="N19" s="13">
        <f>D19*E19%/360</f>
        <v>45833.333333333336</v>
      </c>
      <c r="O19" s="12">
        <f t="shared" si="2"/>
        <v>5820833.3333333284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29.08.25'!$C$5:$F$174,4,0)</f>
        <v>56.571800000000003</v>
      </c>
      <c r="J20" s="32">
        <f>VLOOKUP(B20,'KASE за 29.08.25'!$C$5:$G$174,5,0)</f>
        <v>58.481499999999997</v>
      </c>
      <c r="K20" s="64">
        <v>5774999.9999999953</v>
      </c>
      <c r="L20" s="29">
        <f>D20*I20/100+K20</f>
        <v>175490400.00000003</v>
      </c>
      <c r="M20" s="33">
        <f t="shared" si="0"/>
        <v>6.6607217616009903E-3</v>
      </c>
      <c r="N20" s="13">
        <f>D20*E20%/360</f>
        <v>45833.333333333336</v>
      </c>
      <c r="O20" s="12">
        <f t="shared" si="2"/>
        <v>5820833.3333333284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29.08.25'!$C$5:$F$162,4,0)</f>
        <v>82.436000000000007</v>
      </c>
      <c r="J21" s="32">
        <f>VLOOKUP(B21,'KASE за 29.08.25'!$C$5:$G$162,5,0)</f>
        <v>83.344499999999996</v>
      </c>
      <c r="K21" s="64">
        <v>4688888.8888888918</v>
      </c>
      <c r="L21" s="29">
        <f t="shared" si="4"/>
        <v>416868888.8888889</v>
      </c>
      <c r="M21" s="33">
        <f t="shared" si="0"/>
        <v>1.5822219790693093E-2</v>
      </c>
      <c r="N21" s="13">
        <f>D21*E21%/360</f>
        <v>146527.77777777781</v>
      </c>
      <c r="O21" s="12">
        <f t="shared" si="2"/>
        <v>4835416.6666666698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29.08.25'!$C$5:$F$162,4,0)</f>
        <v>82.436000000000007</v>
      </c>
      <c r="J22" s="32">
        <f>VLOOKUP(B22,'KASE за 29.08.25'!$C$5:$G$162,5,0)</f>
        <v>83.344499999999996</v>
      </c>
      <c r="K22" s="64">
        <v>5189943.5555555532</v>
      </c>
      <c r="L22" s="29">
        <f t="shared" si="4"/>
        <v>461415498.35555565</v>
      </c>
      <c r="M22" s="33">
        <f t="shared" si="0"/>
        <v>1.7512982197526561E-2</v>
      </c>
      <c r="N22" s="13">
        <f t="shared" si="5"/>
        <v>162185.73611111112</v>
      </c>
      <c r="O22" s="12">
        <f t="shared" si="2"/>
        <v>5352129.2916666642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29.08.25'!$C$5:$F$174,4,0)</f>
        <v>75.626599999999996</v>
      </c>
      <c r="J23" s="32">
        <f>VLOOKUP(B23,'KASE за 29.08.25'!$C$5:$G$174,5,0)</f>
        <v>77.445999999999998</v>
      </c>
      <c r="K23" s="64">
        <v>11661008.333333312</v>
      </c>
      <c r="L23" s="29">
        <f t="shared" si="4"/>
        <v>492687778.96333331</v>
      </c>
      <c r="M23" s="33">
        <f t="shared" si="0"/>
        <v>1.8699918690799795E-2</v>
      </c>
      <c r="N23" s="13">
        <f t="shared" si="5"/>
        <v>88340.972222222219</v>
      </c>
      <c r="O23" s="12">
        <f t="shared" si="2"/>
        <v>11749349.305555534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29.08.25'!$C$5:$F$173,4,0)</f>
        <v>55.855499999999999</v>
      </c>
      <c r="J24" s="32">
        <f>VLOOKUP(B24,'KASE за 29.08.25'!$C$5:$G$173,5,0)</f>
        <v>56.644100000000002</v>
      </c>
      <c r="K24" s="64">
        <v>5675218.9861111082</v>
      </c>
      <c r="L24" s="29">
        <f>D24*I24/100+K24</f>
        <v>396153199.71611112</v>
      </c>
      <c r="M24" s="33">
        <f t="shared" si="0"/>
        <v>1.5035957740577059E-2</v>
      </c>
      <c r="N24" s="13">
        <f t="shared" si="5"/>
        <v>162149.11388888888</v>
      </c>
      <c r="O24" s="12">
        <f t="shared" si="2"/>
        <v>5837368.0999999968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29.08.25'!$C$5:$F$173,4,0)</f>
        <v>55.855499999999999</v>
      </c>
      <c r="J25" s="32">
        <f>VLOOKUP(B25,'KASE за 29.08.25'!$C$5:$G$173,5,0)</f>
        <v>56.644100000000002</v>
      </c>
      <c r="K25" s="64">
        <v>2306120.3958333321</v>
      </c>
      <c r="L25" s="29">
        <f>D25*I25/100+K25</f>
        <v>160976514.91083333</v>
      </c>
      <c r="M25" s="33">
        <f t="shared" si="0"/>
        <v>6.1098486069510001E-3</v>
      </c>
      <c r="N25" s="13">
        <f>D25*E25%/360</f>
        <v>65889.15416666666</v>
      </c>
      <c r="O25" s="12">
        <f t="shared" si="2"/>
        <v>2372009.5499999989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29.08.25'!$C$5:$F$162,4,0)</f>
        <v>72.376900000000006</v>
      </c>
      <c r="J26" s="32">
        <f>VLOOKUP(B26,'KASE за 29.08.25'!$C$5:$G$162,5,0)</f>
        <v>76.750200000000007</v>
      </c>
      <c r="K26" s="64">
        <v>21973333.333332978</v>
      </c>
      <c r="L26" s="29">
        <f t="shared" si="4"/>
        <v>383857833.33333296</v>
      </c>
      <c r="M26" s="33">
        <f t="shared" si="0"/>
        <v>1.4569288256476345E-2</v>
      </c>
      <c r="N26" s="13">
        <f t="shared" si="5"/>
        <v>106666.66666666667</v>
      </c>
      <c r="O26" s="12">
        <f t="shared" si="2"/>
        <v>22079999.999999646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29.08.25'!$C$5:$F$162,4,0)</f>
        <v>72.376900000000006</v>
      </c>
      <c r="J27" s="32">
        <f>VLOOKUP(B27,'KASE за 29.08.25'!$C$5:$G$162,5,0)</f>
        <v>76.750200000000007</v>
      </c>
      <c r="K27" s="64">
        <v>21973333.333332978</v>
      </c>
      <c r="L27" s="29">
        <f t="shared" si="4"/>
        <v>383857833.33333296</v>
      </c>
      <c r="M27" s="33">
        <f t="shared" si="0"/>
        <v>1.4569288256476345E-2</v>
      </c>
      <c r="N27" s="13">
        <f t="shared" si="5"/>
        <v>106666.66666666667</v>
      </c>
      <c r="O27" s="12">
        <f t="shared" si="2"/>
        <v>22079999.999999646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29.08.25'!$C$5:$F$162,4,0)</f>
        <v>72.376900000000006</v>
      </c>
      <c r="J28" s="32">
        <f>VLOOKUP(B28,'KASE за 29.08.25'!$C$5:$G$162,5,0)</f>
        <v>76.750200000000007</v>
      </c>
      <c r="K28" s="64">
        <v>21973333.333332978</v>
      </c>
      <c r="L28" s="29">
        <f>D28*I28/100+K28</f>
        <v>383857833.33333296</v>
      </c>
      <c r="M28" s="33">
        <f t="shared" si="0"/>
        <v>1.4569288256476345E-2</v>
      </c>
      <c r="N28" s="13">
        <f>D28*E28%/360</f>
        <v>106666.66666666667</v>
      </c>
      <c r="O28" s="12">
        <f t="shared" si="2"/>
        <v>22079999.999999646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29.08.25'!$C$4:$G$963,4,0)</f>
        <v>93.307067285765186</v>
      </c>
      <c r="J29" s="32">
        <f>VLOOKUP(B29,'Риск цены за 29.08.25'!$C$4:$G$963,5,0)</f>
        <v>107.44816728576518</v>
      </c>
      <c r="K29" s="64">
        <v>241074166.66667214</v>
      </c>
      <c r="L29" s="29">
        <f>D29*I29/100+K29</f>
        <v>1827294310.5246804</v>
      </c>
      <c r="M29" s="33">
        <f t="shared" si="0"/>
        <v>6.9354785099135993E-2</v>
      </c>
      <c r="N29" s="13">
        <f t="shared" ref="N29:N35" si="7">D29*E29%/360</f>
        <v>675277.77777777787</v>
      </c>
      <c r="O29" s="12">
        <f t="shared" si="2"/>
        <v>241749444.44444993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29.08.25'!$C$5:$F$162,4,0)</f>
        <v>83.0321</v>
      </c>
      <c r="J30" s="32">
        <f>VLOOKUP(B30,'KASE за 29.08.25'!$C$5:$G$162,5,0)</f>
        <v>89.2654</v>
      </c>
      <c r="K30" s="64">
        <v>31333333.333333097</v>
      </c>
      <c r="L30" s="29">
        <f t="shared" si="4"/>
        <v>446493833.33333308</v>
      </c>
      <c r="M30" s="33">
        <f t="shared" si="0"/>
        <v>1.6946631793556668E-2</v>
      </c>
      <c r="N30" s="13">
        <f t="shared" si="7"/>
        <v>166666.66666666666</v>
      </c>
      <c r="O30" s="12">
        <f t="shared" si="2"/>
        <v>31499999.999999765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29.08.25'!$C$5:$F$162,4,0)</f>
        <v>84.893699999999995</v>
      </c>
      <c r="J31" s="32">
        <f>VLOOKUP(B31,'KASE за 29.08.25'!$C$5:$G$162,5,0)</f>
        <v>90.626999999999995</v>
      </c>
      <c r="K31" s="64">
        <v>17300000</v>
      </c>
      <c r="L31" s="29">
        <f t="shared" ref="L31:L46" si="9">D31*I31/100+K31</f>
        <v>271981100</v>
      </c>
      <c r="M31" s="33">
        <f t="shared" si="0"/>
        <v>1.0323017279088628E-2</v>
      </c>
      <c r="N31" s="13">
        <f t="shared" si="7"/>
        <v>100000</v>
      </c>
      <c r="O31" s="12">
        <f t="shared" si="2"/>
        <v>17400000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29.08.25'!$C$5:$F$162,4,0)</f>
        <v>84.893699999999995</v>
      </c>
      <c r="J32" s="32">
        <f>VLOOKUP(B32,'KASE за 29.08.25'!$C$5:$G$162,5,0)</f>
        <v>90.626999999999995</v>
      </c>
      <c r="K32" s="64">
        <v>16641389</v>
      </c>
      <c r="L32" s="29">
        <f t="shared" si="9"/>
        <v>261626779.523</v>
      </c>
      <c r="M32" s="33">
        <f t="shared" si="0"/>
        <v>9.9300200112737227E-3</v>
      </c>
      <c r="N32" s="13">
        <f t="shared" si="7"/>
        <v>96193</v>
      </c>
      <c r="O32" s="12">
        <f t="shared" si="2"/>
        <v>16737582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29.08.25'!$C$4:$G$963,4,0)</f>
        <v>98.003244842125213</v>
      </c>
      <c r="J33" s="32">
        <f>VLOOKUP(B33,'Риск цены за 29.08.25'!$C$4:$G$963,5,0)</f>
        <v>101.51434484212521</v>
      </c>
      <c r="K33" s="64">
        <v>10649000</v>
      </c>
      <c r="L33" s="29">
        <f t="shared" si="9"/>
        <v>304658734.52637565</v>
      </c>
      <c r="M33" s="33">
        <f t="shared" si="0"/>
        <v>1.1563293849245595E-2</v>
      </c>
      <c r="N33" s="13">
        <f t="shared" si="7"/>
        <v>115750</v>
      </c>
      <c r="O33" s="12">
        <f t="shared" si="2"/>
        <v>10764750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29.08.25'!$C$5:$F$162,4,0)</f>
        <v>70.458500000000001</v>
      </c>
      <c r="J34" s="32">
        <f>VLOOKUP(B34,'KASE за 29.08.25'!$C$5:$G$162,5,0)</f>
        <v>73.013900000000007</v>
      </c>
      <c r="K34" s="64">
        <v>180522.22222222251</v>
      </c>
      <c r="L34" s="29">
        <f t="shared" si="9"/>
        <v>5112617.2222222229</v>
      </c>
      <c r="M34" s="33">
        <f t="shared" si="0"/>
        <v>1.9404890974544228E-4</v>
      </c>
      <c r="N34" s="13">
        <f t="shared" si="7"/>
        <v>1641.1111111111109</v>
      </c>
      <c r="O34" s="12">
        <f t="shared" si="2"/>
        <v>182163.33333333363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29.08.25'!$C$5:$F$162,4,0)</f>
        <v>88.839699999999993</v>
      </c>
      <c r="J35" s="32">
        <f>VLOOKUP(B35,'KASE за 29.08.25'!$C$5:$G$162,5,0)</f>
        <v>92.7286</v>
      </c>
      <c r="K35" s="64">
        <v>392777.77777777694</v>
      </c>
      <c r="L35" s="29">
        <f t="shared" si="9"/>
        <v>9276747.7777777743</v>
      </c>
      <c r="M35" s="33">
        <f t="shared" si="0"/>
        <v>3.5209809653592472E-4</v>
      </c>
      <c r="N35" s="13">
        <f t="shared" si="7"/>
        <v>3888.8888888888896</v>
      </c>
      <c r="O35" s="12">
        <f t="shared" si="2"/>
        <v>396666.66666666581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29.08.25'!$C$5:$F$174,4,0)</f>
        <v>60.038800000000002</v>
      </c>
      <c r="J36" s="32">
        <f>VLOOKUP(B36,'KASE за 29.08.25'!$C$5:$G$174,5,0)</f>
        <v>64.823800000000006</v>
      </c>
      <c r="K36" s="64">
        <v>14427500</v>
      </c>
      <c r="L36" s="29">
        <f t="shared" si="9"/>
        <v>194543900</v>
      </c>
      <c r="M36" s="33">
        <f t="shared" si="0"/>
        <v>7.3838955767194488E-3</v>
      </c>
      <c r="N36" s="13">
        <f t="shared" ref="N36:N60" si="10">D36*E36%/360</f>
        <v>72500</v>
      </c>
      <c r="O36" s="12">
        <f t="shared" si="2"/>
        <v>14500000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29.08.25'!$C$5:$F$174,4,0)</f>
        <v>60.038800000000002</v>
      </c>
      <c r="J37" s="32">
        <f>VLOOKUP(B37,'KASE за 29.08.25'!$C$5:$G$174,5,0)</f>
        <v>64.823800000000006</v>
      </c>
      <c r="K37" s="64">
        <v>9618333.3333329801</v>
      </c>
      <c r="L37" s="29">
        <f t="shared" si="9"/>
        <v>129695933.33333299</v>
      </c>
      <c r="M37" s="33">
        <f t="shared" si="0"/>
        <v>4.9225970511462859E-3</v>
      </c>
      <c r="N37" s="13">
        <f t="shared" si="10"/>
        <v>48333.333333333336</v>
      </c>
      <c r="O37" s="12">
        <f t="shared" si="2"/>
        <v>9666666.666666314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29.08.25'!$C$5:$F$162,4,0)</f>
        <v>82.071799999999996</v>
      </c>
      <c r="J38" s="32">
        <f>VLOOKUP(B38,'KASE за 29.08.25'!$C$5:$G$162,5,0)</f>
        <v>88.335700000000003</v>
      </c>
      <c r="K38" s="64">
        <v>16554388.888889091</v>
      </c>
      <c r="L38" s="29">
        <f t="shared" si="9"/>
        <v>232403222.8888891</v>
      </c>
      <c r="M38" s="33">
        <f t="shared" si="0"/>
        <v>8.8208426453083976E-3</v>
      </c>
      <c r="N38" s="13">
        <f t="shared" si="10"/>
        <v>80361.111111111109</v>
      </c>
      <c r="O38" s="12">
        <f t="shared" si="2"/>
        <v>16634750.000000203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29.08.25'!$C$5:$F$162,4,0)</f>
        <v>95.247399999999999</v>
      </c>
      <c r="J39" s="32">
        <f>VLOOKUP(B39,'KASE за 29.08.25'!$C$5:$G$162,5,0)</f>
        <v>102.7274</v>
      </c>
      <c r="K39" s="64">
        <v>25651725</v>
      </c>
      <c r="L39" s="29">
        <f t="shared" si="9"/>
        <v>350445359</v>
      </c>
      <c r="M39" s="33">
        <f t="shared" si="0"/>
        <v>1.3301120909994912E-2</v>
      </c>
      <c r="N39" s="13">
        <f t="shared" si="10"/>
        <v>144925</v>
      </c>
      <c r="O39" s="12">
        <f t="shared" si="2"/>
        <v>25796650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29.08.25'!$C$5:$F$162,4,0)</f>
        <v>84.563900000000004</v>
      </c>
      <c r="J40" s="32">
        <f>VLOOKUP(B40,'KASE за 29.08.25'!$C$5:$G$162,5,0)</f>
        <v>93.347099999999998</v>
      </c>
      <c r="K40" s="64">
        <v>7290110.0575000299</v>
      </c>
      <c r="L40" s="29">
        <f t="shared" si="9"/>
        <v>77247287.610500038</v>
      </c>
      <c r="M40" s="33">
        <f t="shared" si="0"/>
        <v>2.9319135953414436E-3</v>
      </c>
      <c r="N40" s="13">
        <f t="shared" si="10"/>
        <v>24059.769166666669</v>
      </c>
      <c r="O40" s="12">
        <f t="shared" si="2"/>
        <v>7314169.8266666969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29.08.25'!$C$5:$F$162,4,0)</f>
        <v>74.537999999999997</v>
      </c>
      <c r="J41" s="32">
        <f>VLOOKUP(B41,'KASE за 29.08.25'!$C$5:$G$162,5,0)</f>
        <v>74.879300000000001</v>
      </c>
      <c r="K41" s="110">
        <v>825066.66666666686</v>
      </c>
      <c r="L41" s="29">
        <f t="shared" si="9"/>
        <v>170399016.66666666</v>
      </c>
      <c r="M41" s="33">
        <f t="shared" si="0"/>
        <v>6.4674787821275481E-3</v>
      </c>
      <c r="N41" s="13">
        <f t="shared" si="10"/>
        <v>48533.333333333336</v>
      </c>
      <c r="O41" s="12">
        <f t="shared" si="2"/>
        <v>873600.00000000023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29.08.25'!$C$5:$F$162,4,0)</f>
        <v>76.473200000000006</v>
      </c>
      <c r="J42" s="32">
        <f>VLOOKUP(B42,'KASE за 29.08.25'!$C$5:$G$162,5,0)</f>
        <v>81.667599999999993</v>
      </c>
      <c r="K42" s="64">
        <v>26072222.222210974</v>
      </c>
      <c r="L42" s="29">
        <f t="shared" si="9"/>
        <v>408438222.222211</v>
      </c>
      <c r="M42" s="33">
        <f t="shared" si="0"/>
        <v>1.5502234623803363E-2</v>
      </c>
      <c r="N42" s="13">
        <f t="shared" si="10"/>
        <v>100277.77777777778</v>
      </c>
      <c r="O42" s="12">
        <f t="shared" ref="O42:O60" si="11">K42+N42</f>
        <v>26172499.99998875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29.08.25'!$C$5:$F$162,4,0)</f>
        <v>95.247399999999999</v>
      </c>
      <c r="J43" s="32">
        <f>VLOOKUP(B43,'KASE за 29.08.25'!$C$5:$G$162,5,0)</f>
        <v>102.7274</v>
      </c>
      <c r="K43" s="64">
        <v>19483275</v>
      </c>
      <c r="L43" s="29">
        <f t="shared" si="9"/>
        <v>266174041</v>
      </c>
      <c r="M43" s="33">
        <f t="shared" si="0"/>
        <v>1.0102610896447749E-2</v>
      </c>
      <c r="N43" s="13">
        <f t="shared" si="10"/>
        <v>110075</v>
      </c>
      <c r="O43" s="12">
        <f t="shared" si="11"/>
        <v>19593350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29.08.25'!$C$4:$G$963,4,0)</f>
        <v>99.365754567736573</v>
      </c>
      <c r="J44" s="32">
        <f>VLOOKUP(B44,'Риск цены за 29.08.25'!$C$4:$G$963,5,0)</f>
        <v>105.81385456773658</v>
      </c>
      <c r="K44" s="64">
        <v>12988888.888888912</v>
      </c>
      <c r="L44" s="29">
        <f t="shared" si="9"/>
        <v>211720398.02436206</v>
      </c>
      <c r="M44" s="33">
        <f t="shared" si="0"/>
        <v>8.0358279569463145E-3</v>
      </c>
      <c r="N44" s="13">
        <f t="shared" si="10"/>
        <v>92777.777777777766</v>
      </c>
      <c r="O44" s="12">
        <f t="shared" si="11"/>
        <v>13081666.66666669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29.08.25'!$C$5:$F$162,4,0)</f>
        <v>79.908000000000001</v>
      </c>
      <c r="J45" s="84">
        <f>VLOOKUP(B45,'KASE за 29.08.25'!$C$5:$G$162,5,0)</f>
        <v>84.471900000000005</v>
      </c>
      <c r="K45" s="106">
        <v>22893055.555555701</v>
      </c>
      <c r="L45" s="29">
        <f t="shared" si="9"/>
        <v>422433055.5555557</v>
      </c>
      <c r="M45" s="85">
        <f t="shared" si="0"/>
        <v>1.6033407217480214E-2</v>
      </c>
      <c r="N45" s="13">
        <f t="shared" si="10"/>
        <v>73611.111111111109</v>
      </c>
      <c r="O45" s="12">
        <f t="shared" si="11"/>
        <v>22966666.666666813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29.08.25'!$C$5:$F$162,4,0)</f>
        <v>82.071799999999996</v>
      </c>
      <c r="J46" s="84">
        <f>VLOOKUP(B46,'KASE за 29.08.25'!$C$5:$G$162,5,0)</f>
        <v>88.335700000000003</v>
      </c>
      <c r="K46" s="106">
        <v>46390055.555555716</v>
      </c>
      <c r="L46" s="74">
        <f t="shared" si="9"/>
        <v>651259221.5555557</v>
      </c>
      <c r="M46" s="85">
        <f t="shared" si="0"/>
        <v>2.4718483002252031E-2</v>
      </c>
      <c r="N46" s="13">
        <f t="shared" si="10"/>
        <v>225194.44444444444</v>
      </c>
      <c r="O46" s="12">
        <f t="shared" si="11"/>
        <v>46615250.000000164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29.08.25'!$C$5:$F$162,4,0)</f>
        <v>77.218999999999994</v>
      </c>
      <c r="J47" s="84">
        <f>VLOOKUP(B47,'KASE за 29.08.25'!$C$5:$G$162,5,0)</f>
        <v>81.853999999999999</v>
      </c>
      <c r="K47" s="64">
        <v>279816.66666666634</v>
      </c>
      <c r="L47" s="74">
        <f t="shared" ref="L47:L60" si="12">D47*I47/100+K47</f>
        <v>4912956.6666666651</v>
      </c>
      <c r="M47" s="85">
        <f t="shared" si="0"/>
        <v>1.8647081198441235E-4</v>
      </c>
      <c r="N47" s="13">
        <f t="shared" si="10"/>
        <v>1716.6666666666667</v>
      </c>
      <c r="O47" s="12">
        <f t="shared" si="11"/>
        <v>281533.33333333302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29.08.25'!$C$5:$F$162,4,0)</f>
        <v>77.218999999999994</v>
      </c>
      <c r="J48" s="84">
        <f>VLOOKUP(B48,'KASE за 29.08.25'!$C$5:$G$162,5,0)</f>
        <v>81.853999999999999</v>
      </c>
      <c r="K48" s="106">
        <v>279816.66666666634</v>
      </c>
      <c r="L48" s="74">
        <f t="shared" si="12"/>
        <v>4912956.6666666651</v>
      </c>
      <c r="M48" s="85">
        <f t="shared" si="0"/>
        <v>1.8647081198441235E-4</v>
      </c>
      <c r="N48" s="13">
        <f t="shared" si="10"/>
        <v>1716.6666666666667</v>
      </c>
      <c r="O48" s="12">
        <f t="shared" si="11"/>
        <v>281533.33333333302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27152777.777777839</v>
      </c>
      <c r="L49" s="74">
        <f t="shared" si="12"/>
        <v>527152777.77777785</v>
      </c>
      <c r="M49" s="85">
        <f t="shared" si="0"/>
        <v>2.000803450577841E-2</v>
      </c>
      <c r="N49" s="13">
        <f t="shared" si="10"/>
        <v>236111.11111111112</v>
      </c>
      <c r="O49" s="12">
        <f t="shared" si="11"/>
        <v>27388888.888888951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29.08.25'!$C$5:$F$165,4,0)</f>
        <v>70.458500000000001</v>
      </c>
      <c r="J50" s="84">
        <f>VLOOKUP(B50,'KASE за 29.08.25'!$C$5:$G$165,5,0)</f>
        <v>73.013900000000007</v>
      </c>
      <c r="K50" s="108">
        <v>12894444.444444429</v>
      </c>
      <c r="L50" s="74">
        <f t="shared" si="12"/>
        <v>365186944.44444442</v>
      </c>
      <c r="M50" s="85">
        <f t="shared" ref="M50:M61" si="13">L50/$L$62</f>
        <v>1.3860636410388731E-2</v>
      </c>
      <c r="N50" s="13">
        <f t="shared" si="10"/>
        <v>117222.2222222222</v>
      </c>
      <c r="O50" s="12">
        <f t="shared" si="11"/>
        <v>13011666.666666651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29.08.25'!$C$5:$F$165,4,0)</f>
        <v>74.537999999999997</v>
      </c>
      <c r="J51" s="84">
        <f>VLOOKUP(B51,'KASE за 29.08.25'!$C$5:$G$165,5,0)</f>
        <v>74.879300000000001</v>
      </c>
      <c r="K51" s="111">
        <v>1813333.3333333337</v>
      </c>
      <c r="L51" s="74">
        <f t="shared" si="12"/>
        <v>374503333.33333331</v>
      </c>
      <c r="M51" s="85">
        <f t="shared" si="13"/>
        <v>1.4214239081599007E-2</v>
      </c>
      <c r="N51" s="13">
        <f t="shared" si="10"/>
        <v>106666.66666666667</v>
      </c>
      <c r="O51" s="12">
        <f t="shared" si="11"/>
        <v>1920000.0000000005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29.08.25'!$C$5:$F$165,4,0)</f>
        <v>75.626599999999996</v>
      </c>
      <c r="J52" s="84">
        <f>VLOOKUP(B52,'KASE за 29.08.25'!$C$5:$G$165,5,0)</f>
        <v>77.445999999999998</v>
      </c>
      <c r="K52" s="108">
        <v>9166666.6666666381</v>
      </c>
      <c r="L52" s="74">
        <f t="shared" si="12"/>
        <v>387299666.66666663</v>
      </c>
      <c r="M52" s="85">
        <f t="shared" si="13"/>
        <v>1.4699922719575976E-2</v>
      </c>
      <c r="N52" s="13">
        <f t="shared" si="10"/>
        <v>69444.444444444438</v>
      </c>
      <c r="O52" s="12">
        <f t="shared" si="11"/>
        <v>9236111.1111110821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29.08.25'!$C$5:$F$165,4,0)</f>
        <v>82.436000000000007</v>
      </c>
      <c r="J53" s="84">
        <f>VLOOKUP(B53,'KASE за 29.08.25'!$C$5:$G$165,5,0)</f>
        <v>83.344499999999996</v>
      </c>
      <c r="K53" s="108">
        <v>1875555.5555555546</v>
      </c>
      <c r="L53" s="74">
        <f t="shared" si="12"/>
        <v>166747555.55555558</v>
      </c>
      <c r="M53" s="85">
        <f t="shared" si="13"/>
        <v>6.3288879162772382E-3</v>
      </c>
      <c r="N53" s="13">
        <f t="shared" si="10"/>
        <v>58611.111111111124</v>
      </c>
      <c r="O53" s="12">
        <f t="shared" si="11"/>
        <v>1934166.6666666656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29.08.25'!$C$5:$F$165,4,0)</f>
        <v>84.893699999999995</v>
      </c>
      <c r="J54" s="84">
        <f>VLOOKUP(B54,'KASE за 29.08.25'!$C$5:$G$165,5,0)</f>
        <v>90.626999999999995</v>
      </c>
      <c r="K54" s="108">
        <v>28833333.333333414</v>
      </c>
      <c r="L54" s="74">
        <f>D54*I54/100+K54</f>
        <v>453301833.33333343</v>
      </c>
      <c r="M54" s="85">
        <f t="shared" si="13"/>
        <v>1.7205028798481049E-2</v>
      </c>
      <c r="N54" s="13">
        <f t="shared" si="10"/>
        <v>166666.66666666666</v>
      </c>
      <c r="O54" s="12">
        <f t="shared" si="11"/>
        <v>29000000.000000082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29.08.25'!$C$5:$F$165,4,0)</f>
        <v>84.893699999999995</v>
      </c>
      <c r="J55" s="84">
        <f>VLOOKUP(B55,'KASE за 29.08.25'!$C$5:$G$165,5,0)</f>
        <v>90.626999999999995</v>
      </c>
      <c r="K55" s="108">
        <v>28833333.333333414</v>
      </c>
      <c r="L55" s="74">
        <f t="shared" si="12"/>
        <v>453301833.33333343</v>
      </c>
      <c r="M55" s="85">
        <f t="shared" si="13"/>
        <v>1.7205028798481049E-2</v>
      </c>
      <c r="N55" s="13">
        <f t="shared" si="10"/>
        <v>166666.66666666666</v>
      </c>
      <c r="O55" s="12">
        <f t="shared" si="11"/>
        <v>29000000.000000082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29.08.25'!$C$5:$F$165,4,0)</f>
        <v>84.893699999999995</v>
      </c>
      <c r="J56" s="32">
        <f>VLOOKUP(B56,'KASE за 29.08.25'!$C$5:$G$165,5,0)</f>
        <v>90.626999999999995</v>
      </c>
      <c r="K56" s="107">
        <v>23725277.666666616</v>
      </c>
      <c r="L56" s="74">
        <f t="shared" si="12"/>
        <v>372995787.14366663</v>
      </c>
      <c r="M56" s="85">
        <f t="shared" si="13"/>
        <v>1.415702030659974E-2</v>
      </c>
      <c r="N56" s="13">
        <f t="shared" si="10"/>
        <v>137140.33333333334</v>
      </c>
      <c r="O56" s="12">
        <f t="shared" si="11"/>
        <v>23862417.999999948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29.08.25'!$C$5:$F$174,4,0)</f>
        <v>89.954999999999998</v>
      </c>
      <c r="J57" s="32">
        <f>VLOOKUP(B57,'KASE за 29.08.25'!$C$5:$G$174,5,0)</f>
        <v>93.326700000000002</v>
      </c>
      <c r="K57" s="107">
        <v>7804129.9097222248</v>
      </c>
      <c r="L57" s="74">
        <f>D57*I57/100+K57</f>
        <v>213566297.35972223</v>
      </c>
      <c r="M57" s="85">
        <f t="shared" si="13"/>
        <v>8.1058888940275346E-3</v>
      </c>
      <c r="N57" s="13">
        <f t="shared" si="10"/>
        <v>91813.29305555555</v>
      </c>
      <c r="O57" s="12">
        <f t="shared" si="11"/>
        <v>7895943.2027777806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29.08.25'!$C$5:$F$174,4,0)</f>
        <v>70.458500000000001</v>
      </c>
      <c r="J58" s="84">
        <f>VLOOKUP(B58,'KASE за 29.08.25'!$C$5:$G$174,5,0)</f>
        <v>73.013900000000007</v>
      </c>
      <c r="K58" s="108">
        <v>12894444.444444437</v>
      </c>
      <c r="L58" s="74">
        <f t="shared" si="12"/>
        <v>365186944.44444442</v>
      </c>
      <c r="M58" s="85">
        <f t="shared" si="13"/>
        <v>1.3860636410388731E-2</v>
      </c>
      <c r="N58" s="13">
        <f t="shared" si="10"/>
        <v>117222.2222222222</v>
      </c>
      <c r="O58" s="12">
        <f t="shared" si="11"/>
        <v>13011666.666666659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29.08.25'!$C$5:$F$174,4,0)</f>
        <v>89.954999999999998</v>
      </c>
      <c r="J59" s="84">
        <f>VLOOKUP(B59,'KASE за 29.08.25'!$C$5:$G$174,5,0)</f>
        <v>93.326700000000002</v>
      </c>
      <c r="K59" s="108">
        <v>17059027.777777772</v>
      </c>
      <c r="L59" s="74">
        <f t="shared" si="12"/>
        <v>466834027.77777779</v>
      </c>
      <c r="M59" s="85">
        <f t="shared" si="13"/>
        <v>1.7718641976286368E-2</v>
      </c>
      <c r="N59" s="13">
        <f t="shared" si="10"/>
        <v>200694.44444444444</v>
      </c>
      <c r="O59" s="12">
        <f t="shared" si="11"/>
        <v>17259722.222222216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29.08.25'!$C$5:$F$174,4,0)</f>
        <v>55.855499999999999</v>
      </c>
      <c r="J60" s="84">
        <f>VLOOKUP(B60,'KASE за 29.08.25'!$C$5:$G$174,5,0)</f>
        <v>56.644100000000002</v>
      </c>
      <c r="K60" s="108">
        <v>136716.17361111104</v>
      </c>
      <c r="L60" s="74">
        <f t="shared" si="12"/>
        <v>9543340.9286111128</v>
      </c>
      <c r="M60" s="85">
        <f t="shared" si="13"/>
        <v>3.6221661470700069E-4</v>
      </c>
      <c r="N60" s="13">
        <f t="shared" si="10"/>
        <v>3906.1763888888881</v>
      </c>
      <c r="O60" s="12">
        <f t="shared" si="11"/>
        <v>140622.34999999992</v>
      </c>
      <c r="Q60" s="3"/>
      <c r="R60" s="12"/>
    </row>
    <row r="61" spans="1:18" ht="15.75" thickBot="1" x14ac:dyDescent="0.3">
      <c r="A61" s="83" t="s">
        <v>824</v>
      </c>
      <c r="B61" s="82" t="s">
        <v>2484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779166.66666666663</v>
      </c>
      <c r="L61" s="74">
        <f>D61*I61/100+K61</f>
        <v>500779166.66666669</v>
      </c>
      <c r="M61" s="85">
        <f t="shared" si="13"/>
        <v>1.900702655628499E-2</v>
      </c>
      <c r="N61" s="13">
        <f t="shared" ref="N61" si="15">D61*E61%/360</f>
        <v>259722.22222222222</v>
      </c>
      <c r="O61" s="12">
        <f t="shared" ref="O61" si="16">K61+N61</f>
        <v>1038888.8888888889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1295973169.8283274</v>
      </c>
      <c r="L62" s="112">
        <f>SUM(L6:L61)</f>
        <v>26347054610.76318</v>
      </c>
      <c r="M62" s="109">
        <f>SUM(M6:M61)</f>
        <v>0.99999999999999967</v>
      </c>
      <c r="N62" s="13">
        <v>26347054610.763191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364234.15</v>
      </c>
      <c r="C65" s="8">
        <v>364234.15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2854</v>
      </c>
      <c r="B69" s="56" t="s">
        <v>2441</v>
      </c>
      <c r="C69" s="57">
        <v>8102712</v>
      </c>
      <c r="D69" s="58" t="s">
        <v>240</v>
      </c>
      <c r="E69" s="46">
        <v>45898</v>
      </c>
      <c r="F69" s="46">
        <v>45902</v>
      </c>
      <c r="G69" s="59">
        <v>99.229100000098697</v>
      </c>
      <c r="H69" s="59">
        <v>99.405265635752599</v>
      </c>
      <c r="I69" s="57">
        <v>804024819.32000005</v>
      </c>
      <c r="J69" s="57">
        <v>805452238.73000002</v>
      </c>
      <c r="K69" s="60">
        <v>16.200000053811799</v>
      </c>
      <c r="L69" s="18">
        <f t="shared" ref="L69:L71" si="17">IF(($B$1-E69)=0,0,(J69-I69)/(F69-E69)*($B$1-E69))</f>
        <v>356854.85249999166</v>
      </c>
      <c r="M69" s="18">
        <f t="shared" ref="M69:M71" si="18">IF((F69=$B$1),0,(I69+L69))</f>
        <v>804381674.17250001</v>
      </c>
      <c r="N69" s="16"/>
    </row>
    <row r="70" spans="1:17" s="17" customFormat="1" ht="15" customHeight="1" x14ac:dyDescent="0.25">
      <c r="A70" s="55" t="s">
        <v>920</v>
      </c>
      <c r="B70" s="56" t="s">
        <v>934</v>
      </c>
      <c r="C70" s="57">
        <v>337943300</v>
      </c>
      <c r="D70" s="58" t="s">
        <v>240</v>
      </c>
      <c r="E70" s="46">
        <v>45898</v>
      </c>
      <c r="F70" s="46">
        <v>45902</v>
      </c>
      <c r="G70" s="59">
        <v>1.0267999999999999</v>
      </c>
      <c r="H70" s="59">
        <v>1.0285722849365599</v>
      </c>
      <c r="I70" s="57">
        <v>347000180.44</v>
      </c>
      <c r="J70" s="57">
        <v>347599112.25999999</v>
      </c>
      <c r="K70" s="60">
        <v>15.750000044870299</v>
      </c>
      <c r="L70" s="18">
        <f t="shared" si="17"/>
        <v>149732.95499999821</v>
      </c>
      <c r="M70" s="18">
        <f t="shared" si="18"/>
        <v>347149913.39499998</v>
      </c>
      <c r="N70" s="16"/>
    </row>
    <row r="71" spans="1:17" s="17" customFormat="1" ht="15" customHeight="1" x14ac:dyDescent="0.25">
      <c r="A71" s="55" t="s">
        <v>920</v>
      </c>
      <c r="B71" s="56" t="s">
        <v>934</v>
      </c>
      <c r="C71" s="57">
        <v>6817300</v>
      </c>
      <c r="D71" s="58" t="s">
        <v>240</v>
      </c>
      <c r="E71" s="46">
        <v>45898</v>
      </c>
      <c r="F71" s="46">
        <v>45902</v>
      </c>
      <c r="G71" s="59">
        <v>1.0267999999999999</v>
      </c>
      <c r="H71" s="59">
        <v>1.0285722852155501</v>
      </c>
      <c r="I71" s="57">
        <v>7000003.6399999997</v>
      </c>
      <c r="J71" s="57">
        <v>7012085.8399999999</v>
      </c>
      <c r="K71" s="60">
        <v>15.750002524284399</v>
      </c>
      <c r="L71" s="18">
        <f t="shared" si="17"/>
        <v>3020.5500000000466</v>
      </c>
      <c r="M71" s="18">
        <f t="shared" si="18"/>
        <v>7003024.1899999995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SUM(C69:C71)</f>
        <v>352863312</v>
      </c>
      <c r="D73" s="80"/>
      <c r="E73" s="79"/>
      <c r="F73" s="80"/>
      <c r="G73" s="78"/>
      <c r="H73" s="80"/>
      <c r="I73" s="69">
        <f>SUM(I69:I71)</f>
        <v>1158025003.4000001</v>
      </c>
      <c r="J73" s="69">
        <f>SUM(J69:J71)</f>
        <v>1160063436.8299999</v>
      </c>
      <c r="K73" s="77"/>
      <c r="L73" s="69">
        <f>SUM(L69:L71)</f>
        <v>509608.35749998991</v>
      </c>
      <c r="M73" s="69">
        <f>SUM(M69:M71)</f>
        <v>1158534611.7575002</v>
      </c>
      <c r="N73" s="127">
        <v>1158534611.7575002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L62+B65+M73+G79</f>
        <v>27505953456.670681</v>
      </c>
      <c r="C81" s="127">
        <v>27505953456.670692</v>
      </c>
      <c r="D81" s="3">
        <f>B81-C81</f>
        <v>0</v>
      </c>
      <c r="L81" s="10"/>
      <c r="M81" s="10"/>
    </row>
    <row r="82" spans="1:14" x14ac:dyDescent="0.25"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+4000+3000</f>
        <v>76999.999999999942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+6948.15</f>
        <v>174726.86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+868.18+3474.07</f>
        <v>110994.53000000001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760123.26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45898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344</v>
      </c>
      <c r="C3" s="125" t="s">
        <v>0</v>
      </c>
      <c r="D3" s="125" t="s">
        <v>17</v>
      </c>
      <c r="E3" s="125" t="s">
        <v>339</v>
      </c>
      <c r="F3" s="125" t="s">
        <v>340</v>
      </c>
      <c r="G3" s="125" t="s">
        <v>341</v>
      </c>
      <c r="H3" s="125" t="s">
        <v>2106</v>
      </c>
      <c r="I3" s="125" t="s">
        <v>342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749.37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101.6662</v>
      </c>
      <c r="H8" s="62" t="s">
        <v>2485</v>
      </c>
      <c r="I8" s="62" t="s">
        <v>2554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1468.56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99.890500000000003</v>
      </c>
      <c r="G11" s="62">
        <v>104.7655</v>
      </c>
      <c r="H11" s="62" t="s">
        <v>2437</v>
      </c>
      <c r="I11" s="62" t="s">
        <v>2555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102.7071</v>
      </c>
      <c r="G12" s="62">
        <v>104.9259</v>
      </c>
      <c r="H12" s="62" t="s">
        <v>2556</v>
      </c>
      <c r="I12" s="62" t="s">
        <v>2557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100.00660000000001</v>
      </c>
      <c r="G13" s="62">
        <v>102.6066</v>
      </c>
      <c r="H13" s="62" t="s">
        <v>2558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101.1512</v>
      </c>
      <c r="G14" s="62">
        <v>102.83159999999999</v>
      </c>
      <c r="H14" s="62" t="s">
        <v>2348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4724.0200000000004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2486</v>
      </c>
      <c r="C16" s="62" t="s">
        <v>38</v>
      </c>
      <c r="D16" s="62" t="s">
        <v>2354</v>
      </c>
      <c r="E16" s="62" t="s">
        <v>237</v>
      </c>
      <c r="F16" s="63">
        <v>5878447.5300000003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2487</v>
      </c>
      <c r="C17" s="62" t="s">
        <v>41</v>
      </c>
      <c r="D17" s="62" t="s">
        <v>2354</v>
      </c>
      <c r="E17" s="62" t="s">
        <v>237</v>
      </c>
      <c r="F17" s="63">
        <v>1741209.15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2488</v>
      </c>
      <c r="C18" s="62" t="s">
        <v>44</v>
      </c>
      <c r="D18" s="62" t="s">
        <v>2359</v>
      </c>
      <c r="E18" s="62" t="s">
        <v>42</v>
      </c>
      <c r="F18" s="62">
        <v>99.901700000000005</v>
      </c>
      <c r="G18" s="62">
        <v>102.428</v>
      </c>
      <c r="H18" s="62" t="s">
        <v>2561</v>
      </c>
      <c r="I18" s="62" t="s">
        <v>2562</v>
      </c>
      <c r="J18" s="62" t="s">
        <v>271</v>
      </c>
    </row>
    <row r="19" spans="1:10" ht="15" x14ac:dyDescent="0.25">
      <c r="A19" s="40">
        <v>15</v>
      </c>
      <c r="B19" s="62" t="s">
        <v>2489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100.1781</v>
      </c>
      <c r="H19" s="62" t="s">
        <v>2430</v>
      </c>
      <c r="I19" s="62" t="s">
        <v>2563</v>
      </c>
      <c r="J19" s="62" t="s">
        <v>271</v>
      </c>
    </row>
    <row r="20" spans="1:10" ht="15" x14ac:dyDescent="0.25">
      <c r="A20" s="40">
        <v>16</v>
      </c>
      <c r="B20" s="62" t="s">
        <v>2490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107.4315</v>
      </c>
      <c r="H20" s="62" t="s">
        <v>2423</v>
      </c>
      <c r="I20" s="62" t="s">
        <v>2564</v>
      </c>
      <c r="J20" s="62" t="s">
        <v>271</v>
      </c>
    </row>
    <row r="21" spans="1:10" ht="15" x14ac:dyDescent="0.25">
      <c r="A21" s="40">
        <v>17</v>
      </c>
      <c r="B21" s="62" t="s">
        <v>2491</v>
      </c>
      <c r="C21" s="62" t="s">
        <v>46</v>
      </c>
      <c r="D21" s="62" t="s">
        <v>2354</v>
      </c>
      <c r="E21" s="62" t="s">
        <v>2360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2492</v>
      </c>
      <c r="C22" s="62" t="s">
        <v>994</v>
      </c>
      <c r="D22" s="62" t="s">
        <v>2354</v>
      </c>
      <c r="E22" s="62" t="s">
        <v>2411</v>
      </c>
      <c r="F22" s="63">
        <v>1039.42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2493</v>
      </c>
      <c r="C23" s="62" t="s">
        <v>1000</v>
      </c>
      <c r="D23" s="62" t="s">
        <v>2354</v>
      </c>
      <c r="E23" s="62" t="s">
        <v>2411</v>
      </c>
      <c r="F23" s="63">
        <v>1163.3499999999999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2494</v>
      </c>
      <c r="C24" s="62" t="s">
        <v>2060</v>
      </c>
      <c r="D24" s="62" t="s">
        <v>2352</v>
      </c>
      <c r="E24" s="62" t="s">
        <v>2361</v>
      </c>
      <c r="F24" s="62">
        <v>99.807699999999997</v>
      </c>
      <c r="G24" s="62">
        <v>99.908500000000004</v>
      </c>
      <c r="H24" s="62" t="s">
        <v>2412</v>
      </c>
      <c r="I24" s="62" t="s">
        <v>2565</v>
      </c>
      <c r="J24" s="62" t="s">
        <v>271</v>
      </c>
    </row>
    <row r="25" spans="1:10" ht="15" x14ac:dyDescent="0.25">
      <c r="A25" s="40">
        <v>21</v>
      </c>
      <c r="B25" s="62" t="s">
        <v>2495</v>
      </c>
      <c r="C25" s="62" t="s">
        <v>2343</v>
      </c>
      <c r="D25" s="62" t="s">
        <v>2352</v>
      </c>
      <c r="E25" s="62" t="s">
        <v>2361</v>
      </c>
      <c r="F25" s="62">
        <v>95.747699999999995</v>
      </c>
      <c r="G25" s="62">
        <v>98.135199999999998</v>
      </c>
      <c r="H25" s="62" t="s">
        <v>2424</v>
      </c>
      <c r="I25" s="62" t="s">
        <v>2566</v>
      </c>
      <c r="J25" s="62" t="s">
        <v>271</v>
      </c>
    </row>
    <row r="26" spans="1:10" ht="15" x14ac:dyDescent="0.25">
      <c r="A26" s="40">
        <v>22</v>
      </c>
      <c r="B26" s="62" t="s">
        <v>2496</v>
      </c>
      <c r="C26" s="62" t="s">
        <v>56</v>
      </c>
      <c r="D26" s="62" t="s">
        <v>2354</v>
      </c>
      <c r="E26" s="62" t="s">
        <v>2362</v>
      </c>
      <c r="F26" s="63">
        <v>53058.85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2497</v>
      </c>
      <c r="C27" s="62" t="s">
        <v>58</v>
      </c>
      <c r="D27" s="62" t="s">
        <v>2354</v>
      </c>
      <c r="E27" s="62" t="s">
        <v>2362</v>
      </c>
      <c r="F27" s="63">
        <v>73829.27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2498</v>
      </c>
      <c r="C28" s="62" t="s">
        <v>60</v>
      </c>
      <c r="D28" s="62" t="s">
        <v>2354</v>
      </c>
      <c r="E28" s="62" t="s">
        <v>2362</v>
      </c>
      <c r="F28" s="63">
        <v>72876.92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2499</v>
      </c>
      <c r="C29" s="62" t="s">
        <v>62</v>
      </c>
      <c r="D29" s="62" t="s">
        <v>2354</v>
      </c>
      <c r="E29" s="62" t="s">
        <v>2362</v>
      </c>
      <c r="F29" s="63">
        <v>579760.19999999995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2500</v>
      </c>
      <c r="C30" s="62" t="s">
        <v>64</v>
      </c>
      <c r="D30" s="62" t="s">
        <v>19</v>
      </c>
      <c r="E30" s="62" t="s">
        <v>2363</v>
      </c>
      <c r="F30" s="62">
        <v>365.1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2501</v>
      </c>
      <c r="C31" s="62" t="s">
        <v>370</v>
      </c>
      <c r="D31" s="62" t="s">
        <v>2350</v>
      </c>
      <c r="E31" s="62" t="s">
        <v>2363</v>
      </c>
      <c r="F31" s="62">
        <v>26.58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2502</v>
      </c>
      <c r="C32" s="62" t="s">
        <v>67</v>
      </c>
      <c r="D32" s="62" t="s">
        <v>19</v>
      </c>
      <c r="E32" s="62" t="s">
        <v>2364</v>
      </c>
      <c r="F32" s="63">
        <v>9352.98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2503</v>
      </c>
      <c r="C33" s="62" t="s">
        <v>80</v>
      </c>
      <c r="D33" s="62" t="s">
        <v>19</v>
      </c>
      <c r="E33" s="62" t="s">
        <v>2365</v>
      </c>
      <c r="F33" s="63">
        <v>3367.23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2504</v>
      </c>
      <c r="C34" s="62" t="s">
        <v>83</v>
      </c>
      <c r="D34" s="62" t="s">
        <v>19</v>
      </c>
      <c r="E34" s="62" t="s">
        <v>2366</v>
      </c>
      <c r="F34" s="63">
        <v>1440.97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2505</v>
      </c>
      <c r="C35" s="62" t="s">
        <v>275</v>
      </c>
      <c r="D35" s="62" t="s">
        <v>2352</v>
      </c>
      <c r="E35" s="62" t="s">
        <v>2438</v>
      </c>
      <c r="F35" s="62">
        <v>99.959100000000007</v>
      </c>
      <c r="G35" s="62">
        <v>107.27379999999999</v>
      </c>
      <c r="H35" s="62" t="s">
        <v>2539</v>
      </c>
      <c r="I35" s="62" t="s">
        <v>2567</v>
      </c>
      <c r="J35" s="62" t="s">
        <v>271</v>
      </c>
    </row>
    <row r="36" spans="1:10" ht="15" x14ac:dyDescent="0.25">
      <c r="A36" s="40">
        <v>32</v>
      </c>
      <c r="B36" s="62" t="s">
        <v>2506</v>
      </c>
      <c r="C36" s="62" t="s">
        <v>86</v>
      </c>
      <c r="D36" s="62" t="s">
        <v>19</v>
      </c>
      <c r="E36" s="62" t="s">
        <v>2367</v>
      </c>
      <c r="F36" s="63">
        <v>19970.03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2507</v>
      </c>
      <c r="C37" s="62" t="s">
        <v>89</v>
      </c>
      <c r="D37" s="62" t="s">
        <v>2352</v>
      </c>
      <c r="E37" s="62" t="s">
        <v>2367</v>
      </c>
      <c r="F37" s="62">
        <v>90.638599999999997</v>
      </c>
      <c r="G37" s="62">
        <v>92.715000000000003</v>
      </c>
      <c r="H37" s="62" t="s">
        <v>2508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2509</v>
      </c>
      <c r="C38" s="62" t="s">
        <v>91</v>
      </c>
      <c r="D38" s="62" t="s">
        <v>2352</v>
      </c>
      <c r="E38" s="62" t="s">
        <v>2367</v>
      </c>
      <c r="F38" s="62">
        <v>102.027</v>
      </c>
      <c r="G38" s="62">
        <v>103.8933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2510</v>
      </c>
      <c r="C39" s="62" t="s">
        <v>93</v>
      </c>
      <c r="D39" s="62" t="s">
        <v>2352</v>
      </c>
      <c r="E39" s="62" t="s">
        <v>2367</v>
      </c>
      <c r="F39" s="62">
        <v>96.730099999999993</v>
      </c>
      <c r="G39" s="62">
        <v>98.943600000000004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2511</v>
      </c>
      <c r="C40" s="62" t="s">
        <v>95</v>
      </c>
      <c r="D40" s="62" t="s">
        <v>2352</v>
      </c>
      <c r="E40" s="62" t="s">
        <v>2367</v>
      </c>
      <c r="F40" s="62">
        <v>88.821899999999999</v>
      </c>
      <c r="G40" s="62">
        <v>90.134399999999999</v>
      </c>
      <c r="H40" s="62" t="s">
        <v>2573</v>
      </c>
      <c r="I40" s="62" t="s">
        <v>2574</v>
      </c>
      <c r="J40" s="62" t="s">
        <v>271</v>
      </c>
    </row>
    <row r="41" spans="1:10" ht="15" x14ac:dyDescent="0.25">
      <c r="A41" s="40">
        <v>37</v>
      </c>
      <c r="B41" s="62" t="s">
        <v>2512</v>
      </c>
      <c r="C41" s="62" t="s">
        <v>97</v>
      </c>
      <c r="D41" s="62" t="s">
        <v>19</v>
      </c>
      <c r="E41" s="62" t="s">
        <v>2368</v>
      </c>
      <c r="F41" s="63">
        <v>50124.3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2513</v>
      </c>
      <c r="C42" s="62" t="s">
        <v>100</v>
      </c>
      <c r="D42" s="62" t="s">
        <v>2350</v>
      </c>
      <c r="E42" s="62" t="s">
        <v>2368</v>
      </c>
      <c r="F42" s="62">
        <v>93.33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2514</v>
      </c>
      <c r="C43" s="62" t="s">
        <v>102</v>
      </c>
      <c r="D43" s="62" t="s">
        <v>19</v>
      </c>
      <c r="E43" s="62" t="s">
        <v>2369</v>
      </c>
      <c r="F43" s="63">
        <v>24115.22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2515</v>
      </c>
      <c r="C44" s="62" t="s">
        <v>2086</v>
      </c>
      <c r="D44" s="62" t="s">
        <v>2352</v>
      </c>
      <c r="E44" s="62" t="s">
        <v>2370</v>
      </c>
      <c r="F44" s="62">
        <v>102.84520000000001</v>
      </c>
      <c r="G44" s="62">
        <v>112.7452</v>
      </c>
      <c r="H44" s="62" t="s">
        <v>2424</v>
      </c>
      <c r="I44" s="62" t="s">
        <v>2575</v>
      </c>
      <c r="J44" s="62" t="s">
        <v>271</v>
      </c>
    </row>
    <row r="45" spans="1:10" ht="15" x14ac:dyDescent="0.25">
      <c r="A45" s="40">
        <v>41</v>
      </c>
      <c r="B45" s="62" t="s">
        <v>2516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2517</v>
      </c>
      <c r="C46" s="62" t="s">
        <v>107</v>
      </c>
      <c r="D46" s="62" t="s">
        <v>19</v>
      </c>
      <c r="E46" s="62" t="s">
        <v>2371</v>
      </c>
      <c r="F46" s="63">
        <v>33407.910000000003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2518</v>
      </c>
      <c r="C47" s="62" t="s">
        <v>109</v>
      </c>
      <c r="D47" s="62" t="s">
        <v>19</v>
      </c>
      <c r="E47" s="62" t="s">
        <v>2372</v>
      </c>
      <c r="F47" s="62">
        <v>809.79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2519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99.333200000000005</v>
      </c>
      <c r="H48" s="62" t="s">
        <v>2466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2577</v>
      </c>
      <c r="C49" s="62" t="s">
        <v>2048</v>
      </c>
      <c r="D49" s="62" t="s">
        <v>2352</v>
      </c>
      <c r="E49" s="62" t="s">
        <v>2454</v>
      </c>
      <c r="F49" s="62">
        <v>98.72</v>
      </c>
      <c r="G49" s="62">
        <v>98.886700000000005</v>
      </c>
      <c r="H49" s="62" t="s">
        <v>2455</v>
      </c>
      <c r="I49" s="62" t="s">
        <v>2578</v>
      </c>
      <c r="J49" s="62" t="s">
        <v>271</v>
      </c>
    </row>
    <row r="50" spans="1:10" ht="15" x14ac:dyDescent="0.25">
      <c r="A50" s="40">
        <v>46</v>
      </c>
      <c r="B50" s="62" t="s">
        <v>2579</v>
      </c>
      <c r="C50" s="62" t="s">
        <v>1398</v>
      </c>
      <c r="D50" s="62" t="s">
        <v>2352</v>
      </c>
      <c r="E50" s="62" t="s">
        <v>2383</v>
      </c>
      <c r="F50" s="62">
        <v>98.864999999999995</v>
      </c>
      <c r="G50" s="62">
        <v>103.9692</v>
      </c>
      <c r="H50" s="62" t="s">
        <v>2384</v>
      </c>
      <c r="I50" s="62" t="s">
        <v>2580</v>
      </c>
      <c r="J50" s="62" t="s">
        <v>271</v>
      </c>
    </row>
    <row r="51" spans="1:10" ht="15" x14ac:dyDescent="0.25">
      <c r="A51" s="40">
        <v>47</v>
      </c>
      <c r="B51" s="62" t="s">
        <v>2581</v>
      </c>
      <c r="C51" s="62" t="s">
        <v>427</v>
      </c>
      <c r="D51" s="62" t="s">
        <v>2352</v>
      </c>
      <c r="E51" s="62" t="s">
        <v>2375</v>
      </c>
      <c r="F51" s="62">
        <v>87.475499999999997</v>
      </c>
      <c r="G51" s="62">
        <v>88.042199999999994</v>
      </c>
      <c r="H51" s="62" t="s">
        <v>2582</v>
      </c>
      <c r="I51" s="62" t="s">
        <v>2583</v>
      </c>
      <c r="J51" s="62" t="s">
        <v>271</v>
      </c>
    </row>
    <row r="52" spans="1:10" ht="15" x14ac:dyDescent="0.25">
      <c r="A52" s="40">
        <v>48</v>
      </c>
      <c r="B52" s="62" t="s">
        <v>2584</v>
      </c>
      <c r="C52" s="62" t="s">
        <v>2044</v>
      </c>
      <c r="D52" s="62" t="s">
        <v>2352</v>
      </c>
      <c r="E52" s="62" t="s">
        <v>2375</v>
      </c>
      <c r="F52" s="62">
        <v>76.25</v>
      </c>
      <c r="G52" s="62">
        <v>76.5167</v>
      </c>
      <c r="H52" s="62" t="s">
        <v>2585</v>
      </c>
      <c r="I52" s="62" t="s">
        <v>2586</v>
      </c>
      <c r="J52" s="62" t="s">
        <v>271</v>
      </c>
    </row>
    <row r="53" spans="1:10" ht="15" x14ac:dyDescent="0.25">
      <c r="A53" s="40">
        <v>49</v>
      </c>
      <c r="B53" s="62" t="s">
        <v>2587</v>
      </c>
      <c r="C53" s="62" t="s">
        <v>2250</v>
      </c>
      <c r="D53" s="62" t="s">
        <v>2352</v>
      </c>
      <c r="E53" s="62" t="s">
        <v>2375</v>
      </c>
      <c r="F53" s="62">
        <v>99.998999999999995</v>
      </c>
      <c r="G53" s="62">
        <v>101.099</v>
      </c>
      <c r="H53" s="62" t="s">
        <v>2425</v>
      </c>
      <c r="I53" s="62" t="s">
        <v>2588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2189</v>
      </c>
      <c r="D54" s="62" t="s">
        <v>2352</v>
      </c>
      <c r="E54" s="62" t="s">
        <v>2375</v>
      </c>
      <c r="F54" s="62">
        <v>95.0929</v>
      </c>
      <c r="G54" s="62">
        <v>95.526200000000003</v>
      </c>
      <c r="H54" s="62" t="s">
        <v>2590</v>
      </c>
      <c r="I54" s="62" t="s">
        <v>2591</v>
      </c>
      <c r="J54" s="62" t="s">
        <v>271</v>
      </c>
    </row>
    <row r="55" spans="1:10" ht="15" x14ac:dyDescent="0.25">
      <c r="A55" s="40">
        <v>51</v>
      </c>
      <c r="B55" s="62" t="s">
        <v>2592</v>
      </c>
      <c r="C55" s="62" t="s">
        <v>2254</v>
      </c>
      <c r="D55" s="62" t="s">
        <v>2352</v>
      </c>
      <c r="E55" s="62" t="s">
        <v>2375</v>
      </c>
      <c r="F55" s="62">
        <v>96.005700000000004</v>
      </c>
      <c r="G55" s="62">
        <v>96.305700000000002</v>
      </c>
      <c r="H55" s="62" t="s">
        <v>2593</v>
      </c>
      <c r="I55" s="62" t="s">
        <v>2594</v>
      </c>
      <c r="J55" s="62" t="s">
        <v>271</v>
      </c>
    </row>
    <row r="56" spans="1:10" ht="15" x14ac:dyDescent="0.25">
      <c r="A56" s="40">
        <v>52</v>
      </c>
      <c r="B56" s="62" t="s">
        <v>2595</v>
      </c>
      <c r="C56" s="62" t="s">
        <v>2436</v>
      </c>
      <c r="D56" s="62" t="s">
        <v>2352</v>
      </c>
      <c r="E56" s="62" t="s">
        <v>2375</v>
      </c>
      <c r="F56" s="62">
        <v>99.998999999999995</v>
      </c>
      <c r="G56" s="62">
        <v>100.274</v>
      </c>
      <c r="H56" s="62" t="s">
        <v>2415</v>
      </c>
      <c r="I56" s="62" t="s">
        <v>2596</v>
      </c>
      <c r="J56" s="62" t="s">
        <v>271</v>
      </c>
    </row>
    <row r="57" spans="1:10" ht="15" x14ac:dyDescent="0.25">
      <c r="A57" s="40">
        <v>53</v>
      </c>
      <c r="B57" s="62" t="s">
        <v>2520</v>
      </c>
      <c r="C57" s="62" t="s">
        <v>114</v>
      </c>
      <c r="D57" s="62" t="s">
        <v>2352</v>
      </c>
      <c r="E57" s="62" t="s">
        <v>2376</v>
      </c>
      <c r="F57" s="62">
        <v>100.2097</v>
      </c>
      <c r="G57" s="62">
        <v>101.1801</v>
      </c>
      <c r="H57" s="62" t="s">
        <v>2597</v>
      </c>
      <c r="I57" s="62" t="s">
        <v>2598</v>
      </c>
      <c r="J57" s="62" t="s">
        <v>271</v>
      </c>
    </row>
    <row r="58" spans="1:10" ht="15" x14ac:dyDescent="0.25">
      <c r="A58" s="40">
        <v>54</v>
      </c>
      <c r="B58" s="62" t="s">
        <v>2521</v>
      </c>
      <c r="C58" s="62" t="s">
        <v>116</v>
      </c>
      <c r="D58" s="62" t="s">
        <v>2352</v>
      </c>
      <c r="E58" s="62" t="s">
        <v>2376</v>
      </c>
      <c r="F58" s="62">
        <v>99.037700000000001</v>
      </c>
      <c r="G58" s="62">
        <v>99.204400000000007</v>
      </c>
      <c r="H58" s="62" t="s">
        <v>2599</v>
      </c>
      <c r="I58" s="62" t="s">
        <v>2600</v>
      </c>
      <c r="J58" s="62" t="s">
        <v>271</v>
      </c>
    </row>
    <row r="59" spans="1:10" ht="15" x14ac:dyDescent="0.25">
      <c r="A59" s="40">
        <v>55</v>
      </c>
      <c r="B59" s="62" t="s">
        <v>2522</v>
      </c>
      <c r="C59" s="62" t="s">
        <v>1411</v>
      </c>
      <c r="D59" s="62" t="s">
        <v>2352</v>
      </c>
      <c r="E59" s="62" t="s">
        <v>2376</v>
      </c>
      <c r="F59" s="62">
        <v>99.528300000000002</v>
      </c>
      <c r="G59" s="62">
        <v>99.8339</v>
      </c>
      <c r="H59" s="62" t="s">
        <v>2601</v>
      </c>
      <c r="I59" s="62" t="s">
        <v>2602</v>
      </c>
      <c r="J59" s="62" t="s">
        <v>271</v>
      </c>
    </row>
    <row r="60" spans="1:10" ht="15" x14ac:dyDescent="0.25">
      <c r="A60" s="40">
        <v>56</v>
      </c>
      <c r="B60" s="62" t="s">
        <v>2523</v>
      </c>
      <c r="C60" s="62" t="s">
        <v>357</v>
      </c>
      <c r="D60" s="62" t="s">
        <v>2352</v>
      </c>
      <c r="E60" s="62" t="s">
        <v>2376</v>
      </c>
      <c r="F60" s="62">
        <v>99.942899999999995</v>
      </c>
      <c r="G60" s="62">
        <v>100.8249</v>
      </c>
      <c r="H60" s="62" t="s">
        <v>2603</v>
      </c>
      <c r="I60" s="62" t="s">
        <v>2604</v>
      </c>
      <c r="J60" s="62" t="s">
        <v>271</v>
      </c>
    </row>
    <row r="61" spans="1:10" ht="15" x14ac:dyDescent="0.25">
      <c r="A61" s="40">
        <v>57</v>
      </c>
      <c r="B61" s="62" t="s">
        <v>2524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97.896500000000003</v>
      </c>
      <c r="H61" s="62" t="s">
        <v>2525</v>
      </c>
      <c r="I61" s="62" t="s">
        <v>2605</v>
      </c>
      <c r="J61" s="62" t="s">
        <v>271</v>
      </c>
    </row>
    <row r="62" spans="1:10" ht="15" x14ac:dyDescent="0.25">
      <c r="A62" s="40">
        <v>58</v>
      </c>
      <c r="B62" s="62" t="s">
        <v>2526</v>
      </c>
      <c r="C62" s="62" t="s">
        <v>390</v>
      </c>
      <c r="D62" s="62" t="s">
        <v>2352</v>
      </c>
      <c r="E62" s="62" t="s">
        <v>2376</v>
      </c>
      <c r="F62" s="62">
        <v>96.349199999999996</v>
      </c>
      <c r="G62" s="62">
        <v>96.7714</v>
      </c>
      <c r="H62" s="62" t="s">
        <v>2606</v>
      </c>
      <c r="I62" s="62" t="s">
        <v>2607</v>
      </c>
      <c r="J62" s="62" t="s">
        <v>271</v>
      </c>
    </row>
    <row r="63" spans="1:10" ht="15" x14ac:dyDescent="0.25">
      <c r="A63" s="40">
        <v>59</v>
      </c>
      <c r="B63" s="62" t="s">
        <v>2527</v>
      </c>
      <c r="C63" s="62" t="s">
        <v>2074</v>
      </c>
      <c r="D63" s="62" t="s">
        <v>2352</v>
      </c>
      <c r="E63" s="62" t="s">
        <v>2376</v>
      </c>
      <c r="F63" s="62">
        <v>99.955500000000001</v>
      </c>
      <c r="G63" s="62">
        <v>100.9472</v>
      </c>
      <c r="H63" s="62" t="s">
        <v>2455</v>
      </c>
      <c r="I63" s="62" t="s">
        <v>2608</v>
      </c>
      <c r="J63" s="62" t="s">
        <v>271</v>
      </c>
    </row>
    <row r="64" spans="1:10" ht="15" x14ac:dyDescent="0.25">
      <c r="A64" s="40">
        <v>60</v>
      </c>
      <c r="B64" s="62" t="s">
        <v>2528</v>
      </c>
      <c r="C64" s="62" t="s">
        <v>2119</v>
      </c>
      <c r="D64" s="62" t="s">
        <v>2352</v>
      </c>
      <c r="E64" s="62" t="s">
        <v>2376</v>
      </c>
      <c r="F64" s="62">
        <v>100.6996</v>
      </c>
      <c r="G64" s="62">
        <v>102.5121</v>
      </c>
      <c r="H64" s="62" t="s">
        <v>2609</v>
      </c>
      <c r="I64" s="62" t="s">
        <v>2610</v>
      </c>
      <c r="J64" s="62" t="s">
        <v>271</v>
      </c>
    </row>
    <row r="65" spans="1:10" ht="15" x14ac:dyDescent="0.25">
      <c r="A65" s="40">
        <v>61</v>
      </c>
      <c r="B65" s="62" t="s">
        <v>2529</v>
      </c>
      <c r="C65" s="62" t="s">
        <v>2121</v>
      </c>
      <c r="D65" s="62" t="s">
        <v>2352</v>
      </c>
      <c r="E65" s="62" t="s">
        <v>2376</v>
      </c>
      <c r="F65" s="62">
        <v>101.88849999999999</v>
      </c>
      <c r="G65" s="62">
        <v>102.4298</v>
      </c>
      <c r="H65" s="62" t="s">
        <v>2611</v>
      </c>
      <c r="I65" s="62" t="s">
        <v>2612</v>
      </c>
      <c r="J65" s="62" t="s">
        <v>271</v>
      </c>
    </row>
    <row r="66" spans="1:10" ht="15" x14ac:dyDescent="0.25">
      <c r="A66" s="40">
        <v>62</v>
      </c>
      <c r="B66" s="62" t="s">
        <v>2530</v>
      </c>
      <c r="C66" s="62" t="s">
        <v>385</v>
      </c>
      <c r="D66" s="62" t="s">
        <v>2352</v>
      </c>
      <c r="E66" s="62" t="s">
        <v>2377</v>
      </c>
      <c r="F66" s="62">
        <v>82.996600000000001</v>
      </c>
      <c r="G66" s="62">
        <v>83.579899999999995</v>
      </c>
      <c r="H66" s="62" t="s">
        <v>2613</v>
      </c>
      <c r="I66" s="62" t="s">
        <v>2614</v>
      </c>
      <c r="J66" s="62" t="s">
        <v>271</v>
      </c>
    </row>
    <row r="67" spans="1:10" ht="15" x14ac:dyDescent="0.25">
      <c r="A67" s="40">
        <v>63</v>
      </c>
      <c r="B67" s="62" t="s">
        <v>2531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77.855900000000005</v>
      </c>
      <c r="H67" s="62" t="s">
        <v>2615</v>
      </c>
      <c r="I67" s="62" t="s">
        <v>2616</v>
      </c>
      <c r="J67" s="62" t="s">
        <v>271</v>
      </c>
    </row>
    <row r="68" spans="1:10" ht="15" x14ac:dyDescent="0.25">
      <c r="A68" s="40">
        <v>64</v>
      </c>
      <c r="B68" s="62" t="s">
        <v>2532</v>
      </c>
      <c r="C68" s="62" t="s">
        <v>2347</v>
      </c>
      <c r="D68" s="62" t="s">
        <v>2352</v>
      </c>
      <c r="E68" s="62" t="s">
        <v>2377</v>
      </c>
      <c r="F68" s="62">
        <v>92.888900000000007</v>
      </c>
      <c r="G68" s="62">
        <v>93.316699999999997</v>
      </c>
      <c r="H68" s="62" t="s">
        <v>2617</v>
      </c>
      <c r="I68" s="62" t="s">
        <v>2618</v>
      </c>
      <c r="J68" s="62" t="s">
        <v>271</v>
      </c>
    </row>
    <row r="69" spans="1:10" ht="15" x14ac:dyDescent="0.25">
      <c r="A69" s="40">
        <v>65</v>
      </c>
      <c r="B69" s="62" t="s">
        <v>2533</v>
      </c>
      <c r="C69" s="62" t="s">
        <v>2277</v>
      </c>
      <c r="D69" s="62" t="s">
        <v>2352</v>
      </c>
      <c r="E69" s="62" t="s">
        <v>2377</v>
      </c>
      <c r="F69" s="62">
        <v>93.559700000000007</v>
      </c>
      <c r="G69" s="62">
        <v>93.734700000000004</v>
      </c>
      <c r="H69" s="62" t="s">
        <v>2619</v>
      </c>
      <c r="I69" s="62" t="s">
        <v>2620</v>
      </c>
      <c r="J69" s="62" t="s">
        <v>271</v>
      </c>
    </row>
    <row r="70" spans="1:10" ht="15" x14ac:dyDescent="0.25">
      <c r="A70" s="40">
        <v>66</v>
      </c>
      <c r="B70" s="62" t="s">
        <v>2534</v>
      </c>
      <c r="C70" s="62" t="s">
        <v>2429</v>
      </c>
      <c r="D70" s="62" t="s">
        <v>2352</v>
      </c>
      <c r="E70" s="62" t="s">
        <v>2377</v>
      </c>
      <c r="F70" s="62">
        <v>99.996200000000002</v>
      </c>
      <c r="G70" s="62">
        <v>101.2795</v>
      </c>
      <c r="H70" s="62" t="s">
        <v>2425</v>
      </c>
      <c r="I70" s="62" t="s">
        <v>2621</v>
      </c>
      <c r="J70" s="62" t="s">
        <v>271</v>
      </c>
    </row>
    <row r="71" spans="1:10" ht="15" x14ac:dyDescent="0.25">
      <c r="A71" s="40">
        <v>67</v>
      </c>
      <c r="B71" s="62" t="s">
        <v>2622</v>
      </c>
      <c r="C71" s="62" t="s">
        <v>2154</v>
      </c>
      <c r="D71" s="62" t="s">
        <v>2352</v>
      </c>
      <c r="E71" s="62" t="s">
        <v>2467</v>
      </c>
      <c r="F71" s="62">
        <v>99.825000000000003</v>
      </c>
      <c r="G71" s="62">
        <v>99.941699999999997</v>
      </c>
      <c r="H71" s="62" t="s">
        <v>2623</v>
      </c>
      <c r="I71" s="62" t="s">
        <v>2624</v>
      </c>
      <c r="J71" s="62" t="s">
        <v>271</v>
      </c>
    </row>
    <row r="72" spans="1:10" ht="15" x14ac:dyDescent="0.25">
      <c r="A72" s="40">
        <v>68</v>
      </c>
      <c r="B72" s="62" t="s">
        <v>2625</v>
      </c>
      <c r="C72" s="62" t="s">
        <v>1445</v>
      </c>
      <c r="D72" s="62" t="s">
        <v>2352</v>
      </c>
      <c r="E72" s="62" t="s">
        <v>2456</v>
      </c>
      <c r="F72" s="62">
        <v>100.1194</v>
      </c>
      <c r="G72" s="62">
        <v>104.70269999999999</v>
      </c>
      <c r="H72" s="62" t="s">
        <v>2457</v>
      </c>
      <c r="I72" s="62" t="s">
        <v>2626</v>
      </c>
      <c r="J72" s="62" t="s">
        <v>271</v>
      </c>
    </row>
    <row r="73" spans="1:10" ht="15" x14ac:dyDescent="0.25">
      <c r="A73" s="40">
        <v>69</v>
      </c>
      <c r="B73" s="62" t="s">
        <v>2627</v>
      </c>
      <c r="C73" s="62" t="s">
        <v>1448</v>
      </c>
      <c r="D73" s="62" t="s">
        <v>2352</v>
      </c>
      <c r="E73" s="62" t="s">
        <v>2456</v>
      </c>
      <c r="F73" s="62">
        <v>99.056700000000006</v>
      </c>
      <c r="G73" s="62">
        <v>101.33450000000001</v>
      </c>
      <c r="H73" s="62" t="s">
        <v>2628</v>
      </c>
      <c r="I73" s="62" t="s">
        <v>2629</v>
      </c>
      <c r="J73" s="62" t="s">
        <v>271</v>
      </c>
    </row>
    <row r="74" spans="1:10" ht="15" x14ac:dyDescent="0.25">
      <c r="A74" s="40">
        <v>70</v>
      </c>
      <c r="B74" s="62" t="s">
        <v>2630</v>
      </c>
      <c r="C74" s="62" t="s">
        <v>2322</v>
      </c>
      <c r="D74" s="62" t="s">
        <v>2352</v>
      </c>
      <c r="E74" s="62" t="s">
        <v>2456</v>
      </c>
      <c r="F74" s="62">
        <v>99.221299999999999</v>
      </c>
      <c r="G74" s="62">
        <v>101.788</v>
      </c>
      <c r="H74" s="62" t="s">
        <v>2457</v>
      </c>
      <c r="I74" s="62" t="s">
        <v>2631</v>
      </c>
      <c r="J74" s="62" t="s">
        <v>271</v>
      </c>
    </row>
    <row r="75" spans="1:10" ht="15" x14ac:dyDescent="0.25">
      <c r="A75" s="40">
        <v>71</v>
      </c>
      <c r="B75" s="62" t="s">
        <v>2632</v>
      </c>
      <c r="C75" s="62" t="s">
        <v>388</v>
      </c>
      <c r="D75" s="62" t="s">
        <v>2373</v>
      </c>
      <c r="E75" s="62" t="s">
        <v>2374</v>
      </c>
      <c r="F75" s="62">
        <v>97.712299999999999</v>
      </c>
      <c r="G75" s="62">
        <v>97.712299999999999</v>
      </c>
      <c r="H75" s="62" t="s">
        <v>2633</v>
      </c>
      <c r="I75" s="62" t="s">
        <v>2634</v>
      </c>
      <c r="J75" s="62" t="s">
        <v>271</v>
      </c>
    </row>
    <row r="76" spans="1:10" ht="15" x14ac:dyDescent="0.25">
      <c r="A76" s="40">
        <v>72</v>
      </c>
      <c r="B76" s="62" t="s">
        <v>2635</v>
      </c>
      <c r="C76" s="62" t="s">
        <v>2032</v>
      </c>
      <c r="D76" s="62" t="s">
        <v>2373</v>
      </c>
      <c r="E76" s="62" t="s">
        <v>2374</v>
      </c>
      <c r="F76" s="62">
        <v>93.380399999999995</v>
      </c>
      <c r="G76" s="62">
        <v>93.380399999999995</v>
      </c>
      <c r="H76" s="62" t="s">
        <v>2636</v>
      </c>
      <c r="I76" s="62" t="s">
        <v>2637</v>
      </c>
      <c r="J76" s="62" t="s">
        <v>271</v>
      </c>
    </row>
    <row r="77" spans="1:10" ht="15" x14ac:dyDescent="0.25">
      <c r="A77" s="40">
        <v>73</v>
      </c>
      <c r="B77" s="62" t="s">
        <v>2638</v>
      </c>
      <c r="C77" s="62" t="s">
        <v>2185</v>
      </c>
      <c r="D77" s="62" t="s">
        <v>2373</v>
      </c>
      <c r="E77" s="62" t="s">
        <v>2374</v>
      </c>
      <c r="F77" s="62">
        <v>89.413700000000006</v>
      </c>
      <c r="G77" s="62">
        <v>89.413700000000006</v>
      </c>
      <c r="H77" s="62" t="s">
        <v>2551</v>
      </c>
      <c r="I77" s="62" t="s">
        <v>2639</v>
      </c>
      <c r="J77" s="62" t="s">
        <v>271</v>
      </c>
    </row>
    <row r="78" spans="1:10" ht="15" x14ac:dyDescent="0.25">
      <c r="A78" s="40">
        <v>74</v>
      </c>
      <c r="B78" s="62" t="s">
        <v>2640</v>
      </c>
      <c r="C78" s="62" t="s">
        <v>4</v>
      </c>
      <c r="D78" s="62" t="s">
        <v>2373</v>
      </c>
      <c r="E78" s="62" t="s">
        <v>2374</v>
      </c>
      <c r="F78" s="62">
        <v>97.928700000000006</v>
      </c>
      <c r="G78" s="62">
        <v>99.055000000000007</v>
      </c>
      <c r="H78" s="62" t="s">
        <v>2641</v>
      </c>
      <c r="I78" s="62" t="s">
        <v>2642</v>
      </c>
      <c r="J78" s="62" t="s">
        <v>271</v>
      </c>
    </row>
    <row r="79" spans="1:10" ht="15" x14ac:dyDescent="0.25">
      <c r="A79" s="40">
        <v>75</v>
      </c>
      <c r="B79" s="62" t="s">
        <v>2643</v>
      </c>
      <c r="C79" s="62" t="s">
        <v>119</v>
      </c>
      <c r="D79" s="62" t="s">
        <v>2373</v>
      </c>
      <c r="E79" s="62" t="s">
        <v>2374</v>
      </c>
      <c r="F79" s="62">
        <v>97.935299999999998</v>
      </c>
      <c r="G79" s="62">
        <v>100.4179</v>
      </c>
      <c r="H79" s="62" t="s">
        <v>2644</v>
      </c>
      <c r="I79" s="62" t="s">
        <v>2645</v>
      </c>
      <c r="J79" s="62" t="s">
        <v>271</v>
      </c>
    </row>
    <row r="80" spans="1:10" ht="15" x14ac:dyDescent="0.25">
      <c r="A80" s="40">
        <v>76</v>
      </c>
      <c r="B80" s="62" t="s">
        <v>2646</v>
      </c>
      <c r="C80" s="62" t="s">
        <v>121</v>
      </c>
      <c r="D80" s="62" t="s">
        <v>2373</v>
      </c>
      <c r="E80" s="62" t="s">
        <v>2374</v>
      </c>
      <c r="F80" s="62">
        <v>97.478099999999998</v>
      </c>
      <c r="G80" s="62">
        <v>103.7717</v>
      </c>
      <c r="H80" s="62" t="s">
        <v>2647</v>
      </c>
      <c r="I80" s="62" t="s">
        <v>2648</v>
      </c>
      <c r="J80" s="62" t="s">
        <v>271</v>
      </c>
    </row>
    <row r="81" spans="1:10" ht="15" x14ac:dyDescent="0.25">
      <c r="A81" s="40">
        <v>77</v>
      </c>
      <c r="B81" s="62" t="s">
        <v>2649</v>
      </c>
      <c r="C81" s="62" t="s">
        <v>2418</v>
      </c>
      <c r="D81" s="62" t="s">
        <v>2373</v>
      </c>
      <c r="E81" s="62" t="s">
        <v>2374</v>
      </c>
      <c r="F81" s="62">
        <v>101.7051</v>
      </c>
      <c r="G81" s="62">
        <v>102.74460000000001</v>
      </c>
      <c r="H81" s="62" t="s">
        <v>2650</v>
      </c>
      <c r="I81" s="62" t="s">
        <v>2651</v>
      </c>
      <c r="J81" s="62" t="s">
        <v>271</v>
      </c>
    </row>
    <row r="82" spans="1:10" ht="15" x14ac:dyDescent="0.25">
      <c r="A82" s="40">
        <v>78</v>
      </c>
      <c r="B82" s="62" t="s">
        <v>2652</v>
      </c>
      <c r="C82" s="62" t="s">
        <v>123</v>
      </c>
      <c r="D82" s="62" t="s">
        <v>2373</v>
      </c>
      <c r="E82" s="62" t="s">
        <v>2374</v>
      </c>
      <c r="F82" s="62">
        <v>94.950199999999995</v>
      </c>
      <c r="G82" s="62">
        <v>95.679400000000001</v>
      </c>
      <c r="H82" s="62" t="s">
        <v>2653</v>
      </c>
      <c r="I82" s="62" t="s">
        <v>2654</v>
      </c>
      <c r="J82" s="62" t="s">
        <v>271</v>
      </c>
    </row>
    <row r="83" spans="1:10" ht="15" x14ac:dyDescent="0.25">
      <c r="A83" s="40">
        <v>79</v>
      </c>
      <c r="B83" s="62" t="s">
        <v>2655</v>
      </c>
      <c r="C83" s="62" t="s">
        <v>125</v>
      </c>
      <c r="D83" s="62" t="s">
        <v>2373</v>
      </c>
      <c r="E83" s="62" t="s">
        <v>2374</v>
      </c>
      <c r="F83" s="62">
        <v>97.686899999999994</v>
      </c>
      <c r="G83" s="62">
        <v>101.99339999999999</v>
      </c>
      <c r="H83" s="62" t="s">
        <v>2647</v>
      </c>
      <c r="I83" s="62" t="s">
        <v>2656</v>
      </c>
      <c r="J83" s="62" t="s">
        <v>271</v>
      </c>
    </row>
    <row r="84" spans="1:10" ht="15" x14ac:dyDescent="0.25">
      <c r="A84" s="40">
        <v>80</v>
      </c>
      <c r="B84" s="62" t="s">
        <v>2657</v>
      </c>
      <c r="C84" s="62" t="s">
        <v>2385</v>
      </c>
      <c r="D84" s="62" t="s">
        <v>2373</v>
      </c>
      <c r="E84" s="62" t="s">
        <v>2374</v>
      </c>
      <c r="F84" s="62">
        <v>100</v>
      </c>
      <c r="G84" s="62">
        <v>101.36920000000001</v>
      </c>
      <c r="H84" s="62" t="s">
        <v>2535</v>
      </c>
      <c r="I84" s="62" t="s">
        <v>2658</v>
      </c>
      <c r="J84" s="62" t="s">
        <v>271</v>
      </c>
    </row>
    <row r="85" spans="1:10" ht="15" x14ac:dyDescent="0.25">
      <c r="A85" s="40">
        <v>81</v>
      </c>
      <c r="B85" s="62" t="s">
        <v>2659</v>
      </c>
      <c r="C85" s="62" t="s">
        <v>127</v>
      </c>
      <c r="D85" s="62" t="s">
        <v>2373</v>
      </c>
      <c r="E85" s="62" t="s">
        <v>2374</v>
      </c>
      <c r="F85" s="62">
        <v>100</v>
      </c>
      <c r="G85" s="62">
        <v>108.05329999999999</v>
      </c>
      <c r="H85" s="62" t="s">
        <v>2458</v>
      </c>
      <c r="I85" s="62" t="s">
        <v>2660</v>
      </c>
      <c r="J85" s="62" t="s">
        <v>271</v>
      </c>
    </row>
    <row r="86" spans="1:10" ht="15" x14ac:dyDescent="0.25">
      <c r="A86" s="40">
        <v>82</v>
      </c>
      <c r="B86" s="62" t="s">
        <v>2661</v>
      </c>
      <c r="C86" s="62" t="s">
        <v>129</v>
      </c>
      <c r="D86" s="62" t="s">
        <v>2373</v>
      </c>
      <c r="E86" s="62" t="s">
        <v>2374</v>
      </c>
      <c r="F86" s="62">
        <v>100</v>
      </c>
      <c r="G86" s="62">
        <v>106.4598</v>
      </c>
      <c r="H86" s="62" t="s">
        <v>2662</v>
      </c>
      <c r="I86" s="62" t="s">
        <v>2663</v>
      </c>
      <c r="J86" s="62" t="s">
        <v>271</v>
      </c>
    </row>
    <row r="87" spans="1:10" ht="15" x14ac:dyDescent="0.25">
      <c r="A87" s="40">
        <v>83</v>
      </c>
      <c r="B87" s="62" t="s">
        <v>2664</v>
      </c>
      <c r="C87" s="62" t="s">
        <v>131</v>
      </c>
      <c r="D87" s="62" t="s">
        <v>2373</v>
      </c>
      <c r="E87" s="62" t="s">
        <v>2374</v>
      </c>
      <c r="F87" s="62">
        <v>100</v>
      </c>
      <c r="G87" s="62">
        <v>104.889</v>
      </c>
      <c r="H87" s="62" t="s">
        <v>2665</v>
      </c>
      <c r="I87" s="62" t="s">
        <v>2666</v>
      </c>
      <c r="J87" s="62" t="s">
        <v>271</v>
      </c>
    </row>
    <row r="88" spans="1:10" ht="15" x14ac:dyDescent="0.25">
      <c r="A88" s="40">
        <v>84</v>
      </c>
      <c r="B88" s="62" t="s">
        <v>2667</v>
      </c>
      <c r="C88" s="62" t="s">
        <v>133</v>
      </c>
      <c r="D88" s="62" t="s">
        <v>2373</v>
      </c>
      <c r="E88" s="62" t="s">
        <v>2374</v>
      </c>
      <c r="F88" s="62">
        <v>100</v>
      </c>
      <c r="G88" s="62">
        <v>108.5458</v>
      </c>
      <c r="H88" s="62" t="s">
        <v>2459</v>
      </c>
      <c r="I88" s="62" t="s">
        <v>2668</v>
      </c>
      <c r="J88" s="62" t="s">
        <v>271</v>
      </c>
    </row>
    <row r="89" spans="1:10" ht="15" x14ac:dyDescent="0.25">
      <c r="A89" s="40">
        <v>85</v>
      </c>
      <c r="B89" s="62" t="s">
        <v>2669</v>
      </c>
      <c r="C89" s="62" t="s">
        <v>135</v>
      </c>
      <c r="D89" s="62" t="s">
        <v>2373</v>
      </c>
      <c r="E89" s="62" t="s">
        <v>2374</v>
      </c>
      <c r="F89" s="62">
        <v>100</v>
      </c>
      <c r="G89" s="62">
        <v>102.2522</v>
      </c>
      <c r="H89" s="62" t="s">
        <v>2670</v>
      </c>
      <c r="I89" s="62" t="s">
        <v>2671</v>
      </c>
      <c r="J89" s="62" t="s">
        <v>271</v>
      </c>
    </row>
    <row r="90" spans="1:10" ht="15" x14ac:dyDescent="0.25">
      <c r="A90" s="40">
        <v>86</v>
      </c>
      <c r="B90" s="62" t="s">
        <v>2672</v>
      </c>
      <c r="C90" s="62" t="s">
        <v>286</v>
      </c>
      <c r="D90" s="62" t="s">
        <v>2373</v>
      </c>
      <c r="E90" s="62" t="s">
        <v>2374</v>
      </c>
      <c r="F90" s="62">
        <v>100</v>
      </c>
      <c r="G90" s="62">
        <v>108.914</v>
      </c>
      <c r="H90" s="62" t="s">
        <v>2673</v>
      </c>
      <c r="I90" s="62" t="s">
        <v>2674</v>
      </c>
      <c r="J90" s="62" t="s">
        <v>271</v>
      </c>
    </row>
    <row r="91" spans="1:10" ht="15" x14ac:dyDescent="0.25">
      <c r="A91" s="40">
        <v>87</v>
      </c>
      <c r="B91" s="62" t="s">
        <v>2675</v>
      </c>
      <c r="C91" s="62" t="s">
        <v>288</v>
      </c>
      <c r="D91" s="62" t="s">
        <v>2373</v>
      </c>
      <c r="E91" s="62" t="s">
        <v>2374</v>
      </c>
      <c r="F91" s="62">
        <v>100</v>
      </c>
      <c r="G91" s="62">
        <v>110.7821</v>
      </c>
      <c r="H91" s="62" t="s">
        <v>2291</v>
      </c>
      <c r="I91" s="62" t="s">
        <v>2676</v>
      </c>
      <c r="J91" s="62" t="s">
        <v>271</v>
      </c>
    </row>
    <row r="92" spans="1:10" ht="15" x14ac:dyDescent="0.25">
      <c r="A92" s="40">
        <v>88</v>
      </c>
      <c r="B92" s="62" t="s">
        <v>2677</v>
      </c>
      <c r="C92" s="62" t="s">
        <v>290</v>
      </c>
      <c r="D92" s="62" t="s">
        <v>2373</v>
      </c>
      <c r="E92" s="62" t="s">
        <v>2374</v>
      </c>
      <c r="F92" s="62">
        <v>100</v>
      </c>
      <c r="G92" s="62">
        <v>104.9158</v>
      </c>
      <c r="H92" s="62" t="s">
        <v>2468</v>
      </c>
      <c r="I92" s="62" t="s">
        <v>2553</v>
      </c>
      <c r="J92" s="62" t="s">
        <v>271</v>
      </c>
    </row>
    <row r="93" spans="1:10" ht="15" x14ac:dyDescent="0.25">
      <c r="A93" s="40">
        <v>89</v>
      </c>
      <c r="B93" s="62" t="s">
        <v>2678</v>
      </c>
      <c r="C93" s="62" t="s">
        <v>292</v>
      </c>
      <c r="D93" s="62" t="s">
        <v>2373</v>
      </c>
      <c r="E93" s="62" t="s">
        <v>2374</v>
      </c>
      <c r="F93" s="62">
        <v>100</v>
      </c>
      <c r="G93" s="62">
        <v>100.03279999999999</v>
      </c>
      <c r="H93" s="62" t="s">
        <v>2440</v>
      </c>
      <c r="I93" s="62" t="s">
        <v>2679</v>
      </c>
      <c r="J93" s="62" t="s">
        <v>271</v>
      </c>
    </row>
    <row r="94" spans="1:10" ht="15" x14ac:dyDescent="0.25">
      <c r="A94" s="40">
        <v>90</v>
      </c>
      <c r="B94" s="62" t="s">
        <v>2680</v>
      </c>
      <c r="C94" s="62" t="s">
        <v>294</v>
      </c>
      <c r="D94" s="62" t="s">
        <v>2373</v>
      </c>
      <c r="E94" s="62" t="s">
        <v>2374</v>
      </c>
      <c r="F94" s="62">
        <v>100</v>
      </c>
      <c r="G94" s="62">
        <v>109.8644</v>
      </c>
      <c r="H94" s="62" t="s">
        <v>2536</v>
      </c>
      <c r="I94" s="62" t="s">
        <v>2681</v>
      </c>
      <c r="J94" s="62" t="s">
        <v>271</v>
      </c>
    </row>
    <row r="95" spans="1:10" ht="15" x14ac:dyDescent="0.25">
      <c r="A95" s="40">
        <v>91</v>
      </c>
      <c r="B95" s="62" t="s">
        <v>2682</v>
      </c>
      <c r="C95" s="62" t="s">
        <v>296</v>
      </c>
      <c r="D95" s="62" t="s">
        <v>2373</v>
      </c>
      <c r="E95" s="62" t="s">
        <v>2374</v>
      </c>
      <c r="F95" s="62">
        <v>100</v>
      </c>
      <c r="G95" s="62">
        <v>108.4537</v>
      </c>
      <c r="H95" s="62" t="s">
        <v>2289</v>
      </c>
      <c r="I95" s="62" t="s">
        <v>2683</v>
      </c>
      <c r="J95" s="62" t="s">
        <v>271</v>
      </c>
    </row>
    <row r="96" spans="1:10" ht="15" x14ac:dyDescent="0.25">
      <c r="A96" s="40">
        <v>92</v>
      </c>
      <c r="B96" s="62" t="s">
        <v>2684</v>
      </c>
      <c r="C96" s="62" t="s">
        <v>298</v>
      </c>
      <c r="D96" s="62" t="s">
        <v>2373</v>
      </c>
      <c r="E96" s="62" t="s">
        <v>2374</v>
      </c>
      <c r="F96" s="62">
        <v>100</v>
      </c>
      <c r="G96" s="62">
        <v>109.8317</v>
      </c>
      <c r="H96" s="62" t="s">
        <v>2536</v>
      </c>
      <c r="I96" s="62" t="s">
        <v>2537</v>
      </c>
      <c r="J96" s="62" t="s">
        <v>271</v>
      </c>
    </row>
    <row r="97" spans="1:10" ht="15" x14ac:dyDescent="0.25">
      <c r="A97" s="40">
        <v>93</v>
      </c>
      <c r="B97" s="62" t="s">
        <v>2685</v>
      </c>
      <c r="C97" s="62" t="s">
        <v>300</v>
      </c>
      <c r="D97" s="62" t="s">
        <v>2373</v>
      </c>
      <c r="E97" s="62" t="s">
        <v>2374</v>
      </c>
      <c r="F97" s="62">
        <v>100</v>
      </c>
      <c r="G97" s="62">
        <v>102.9823</v>
      </c>
      <c r="H97" s="62" t="s">
        <v>2472</v>
      </c>
      <c r="I97" s="62" t="s">
        <v>2686</v>
      </c>
      <c r="J97" s="62" t="s">
        <v>271</v>
      </c>
    </row>
    <row r="98" spans="1:10" ht="15" x14ac:dyDescent="0.25">
      <c r="A98" s="40">
        <v>94</v>
      </c>
      <c r="B98" s="62" t="s">
        <v>2687</v>
      </c>
      <c r="C98" s="62" t="s">
        <v>302</v>
      </c>
      <c r="D98" s="62" t="s">
        <v>2373</v>
      </c>
      <c r="E98" s="62" t="s">
        <v>2374</v>
      </c>
      <c r="F98" s="62">
        <v>100</v>
      </c>
      <c r="G98" s="62">
        <v>106.1091</v>
      </c>
      <c r="H98" s="62" t="s">
        <v>2289</v>
      </c>
      <c r="I98" s="62" t="s">
        <v>2688</v>
      </c>
      <c r="J98" s="62" t="s">
        <v>271</v>
      </c>
    </row>
    <row r="99" spans="1:10" ht="15" x14ac:dyDescent="0.25">
      <c r="A99" s="40">
        <v>95</v>
      </c>
      <c r="B99" s="62" t="s">
        <v>2689</v>
      </c>
      <c r="C99" s="62" t="s">
        <v>304</v>
      </c>
      <c r="D99" s="62" t="s">
        <v>2373</v>
      </c>
      <c r="E99" s="62" t="s">
        <v>2374</v>
      </c>
      <c r="F99" s="62">
        <v>100</v>
      </c>
      <c r="G99" s="62">
        <v>102.9823</v>
      </c>
      <c r="H99" s="62" t="s">
        <v>2472</v>
      </c>
      <c r="I99" s="62" t="s">
        <v>2686</v>
      </c>
      <c r="J99" s="62" t="s">
        <v>271</v>
      </c>
    </row>
    <row r="100" spans="1:10" ht="15" x14ac:dyDescent="0.25">
      <c r="A100" s="40">
        <v>96</v>
      </c>
      <c r="B100" s="62" t="s">
        <v>2690</v>
      </c>
      <c r="C100" s="62" t="s">
        <v>306</v>
      </c>
      <c r="D100" s="62" t="s">
        <v>2373</v>
      </c>
      <c r="E100" s="62" t="s">
        <v>2374</v>
      </c>
      <c r="F100" s="62">
        <v>100</v>
      </c>
      <c r="G100" s="62">
        <v>100.9504</v>
      </c>
      <c r="H100" s="62" t="s">
        <v>2291</v>
      </c>
      <c r="I100" s="62" t="s">
        <v>2691</v>
      </c>
      <c r="J100" s="62" t="s">
        <v>271</v>
      </c>
    </row>
    <row r="101" spans="1:10" ht="15" x14ac:dyDescent="0.25">
      <c r="A101" s="40">
        <v>97</v>
      </c>
      <c r="B101" s="62" t="s">
        <v>2692</v>
      </c>
      <c r="C101" s="62" t="s">
        <v>308</v>
      </c>
      <c r="D101" s="62" t="s">
        <v>2373</v>
      </c>
      <c r="E101" s="62" t="s">
        <v>2374</v>
      </c>
      <c r="F101" s="62">
        <v>100</v>
      </c>
      <c r="G101" s="62">
        <v>103.9327</v>
      </c>
      <c r="H101" s="62" t="s">
        <v>2433</v>
      </c>
      <c r="I101" s="62" t="s">
        <v>2693</v>
      </c>
      <c r="J101" s="62" t="s">
        <v>271</v>
      </c>
    </row>
    <row r="102" spans="1:10" ht="15" x14ac:dyDescent="0.25">
      <c r="A102" s="40">
        <v>98</v>
      </c>
      <c r="B102" s="62" t="s">
        <v>2694</v>
      </c>
      <c r="C102" s="62" t="s">
        <v>310</v>
      </c>
      <c r="D102" s="62" t="s">
        <v>2373</v>
      </c>
      <c r="E102" s="62" t="s">
        <v>2374</v>
      </c>
      <c r="F102" s="62">
        <v>100</v>
      </c>
      <c r="G102" s="62">
        <v>100.9832</v>
      </c>
      <c r="H102" s="62" t="s">
        <v>2292</v>
      </c>
      <c r="I102" s="62" t="s">
        <v>2695</v>
      </c>
      <c r="J102" s="62" t="s">
        <v>271</v>
      </c>
    </row>
    <row r="103" spans="1:10" ht="15" x14ac:dyDescent="0.25">
      <c r="A103" s="40">
        <v>99</v>
      </c>
      <c r="B103" s="62" t="s">
        <v>2696</v>
      </c>
      <c r="C103" s="62" t="s">
        <v>312</v>
      </c>
      <c r="D103" s="62" t="s">
        <v>2373</v>
      </c>
      <c r="E103" s="62" t="s">
        <v>2374</v>
      </c>
      <c r="F103" s="62">
        <v>100</v>
      </c>
      <c r="G103" s="62">
        <v>105.9318</v>
      </c>
      <c r="H103" s="62" t="s">
        <v>2291</v>
      </c>
      <c r="I103" s="62" t="s">
        <v>2697</v>
      </c>
      <c r="J103" s="62" t="s">
        <v>271</v>
      </c>
    </row>
    <row r="104" spans="1:10" ht="15" x14ac:dyDescent="0.25">
      <c r="A104" s="40">
        <v>100</v>
      </c>
      <c r="B104" s="62" t="s">
        <v>2698</v>
      </c>
      <c r="C104" s="62" t="s">
        <v>314</v>
      </c>
      <c r="D104" s="62" t="s">
        <v>2373</v>
      </c>
      <c r="E104" s="62" t="s">
        <v>2374</v>
      </c>
      <c r="F104" s="62">
        <v>100</v>
      </c>
      <c r="G104" s="62">
        <v>101.9991</v>
      </c>
      <c r="H104" s="62" t="s">
        <v>2292</v>
      </c>
      <c r="I104" s="62" t="s">
        <v>2699</v>
      </c>
      <c r="J104" s="62" t="s">
        <v>271</v>
      </c>
    </row>
    <row r="105" spans="1:10" ht="15" x14ac:dyDescent="0.25">
      <c r="A105" s="40">
        <v>101</v>
      </c>
      <c r="B105" s="62" t="s">
        <v>2700</v>
      </c>
      <c r="C105" s="62" t="s">
        <v>316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2291</v>
      </c>
      <c r="I105" s="62" t="s">
        <v>2701</v>
      </c>
      <c r="J105" s="62" t="s">
        <v>271</v>
      </c>
    </row>
    <row r="106" spans="1:10" ht="15" x14ac:dyDescent="0.25">
      <c r="A106" s="40">
        <v>102</v>
      </c>
      <c r="B106" s="62" t="s">
        <v>2702</v>
      </c>
      <c r="C106" s="62" t="s">
        <v>318</v>
      </c>
      <c r="D106" s="62" t="s">
        <v>2373</v>
      </c>
      <c r="E106" s="62" t="s">
        <v>2374</v>
      </c>
      <c r="F106" s="62">
        <v>100</v>
      </c>
      <c r="G106" s="62">
        <v>108.9468</v>
      </c>
      <c r="H106" s="62" t="s">
        <v>2410</v>
      </c>
      <c r="I106" s="62" t="s">
        <v>2703</v>
      </c>
      <c r="J106" s="62" t="s">
        <v>271</v>
      </c>
    </row>
    <row r="107" spans="1:10" ht="15" x14ac:dyDescent="0.25">
      <c r="A107" s="40">
        <v>103</v>
      </c>
      <c r="B107" s="62" t="s">
        <v>2704</v>
      </c>
      <c r="C107" s="62" t="s">
        <v>320</v>
      </c>
      <c r="D107" s="62" t="s">
        <v>2373</v>
      </c>
      <c r="E107" s="62" t="s">
        <v>2374</v>
      </c>
      <c r="F107" s="62">
        <v>100</v>
      </c>
      <c r="G107" s="62">
        <v>106.0301</v>
      </c>
      <c r="H107" s="62" t="s">
        <v>2288</v>
      </c>
      <c r="I107" s="62" t="s">
        <v>2705</v>
      </c>
      <c r="J107" s="62" t="s">
        <v>271</v>
      </c>
    </row>
    <row r="108" spans="1:10" ht="15" x14ac:dyDescent="0.25">
      <c r="A108" s="40">
        <v>104</v>
      </c>
      <c r="B108" s="62" t="s">
        <v>2706</v>
      </c>
      <c r="C108" s="62" t="s">
        <v>322</v>
      </c>
      <c r="D108" s="62" t="s">
        <v>2373</v>
      </c>
      <c r="E108" s="62" t="s">
        <v>2374</v>
      </c>
      <c r="F108" s="62">
        <v>100</v>
      </c>
      <c r="G108" s="62">
        <v>100.0655</v>
      </c>
      <c r="H108" s="62" t="s">
        <v>2440</v>
      </c>
      <c r="I108" s="62" t="s">
        <v>2707</v>
      </c>
      <c r="J108" s="62" t="s">
        <v>271</v>
      </c>
    </row>
    <row r="109" spans="1:10" ht="15" x14ac:dyDescent="0.25">
      <c r="A109" s="40">
        <v>105</v>
      </c>
      <c r="B109" s="62" t="s">
        <v>2708</v>
      </c>
      <c r="C109" s="62" t="s">
        <v>324</v>
      </c>
      <c r="D109" s="62" t="s">
        <v>2373</v>
      </c>
      <c r="E109" s="62" t="s">
        <v>2374</v>
      </c>
      <c r="F109" s="62">
        <v>100</v>
      </c>
      <c r="G109" s="62">
        <v>102.91670000000001</v>
      </c>
      <c r="H109" s="62" t="s">
        <v>2294</v>
      </c>
      <c r="I109" s="62" t="s">
        <v>2709</v>
      </c>
      <c r="J109" s="62" t="s">
        <v>271</v>
      </c>
    </row>
    <row r="110" spans="1:10" ht="15" x14ac:dyDescent="0.25">
      <c r="A110" s="40">
        <v>106</v>
      </c>
      <c r="B110" s="62" t="s">
        <v>2710</v>
      </c>
      <c r="C110" s="62" t="s">
        <v>326</v>
      </c>
      <c r="D110" s="62" t="s">
        <v>2373</v>
      </c>
      <c r="E110" s="62" t="s">
        <v>2374</v>
      </c>
      <c r="F110" s="62">
        <v>100</v>
      </c>
      <c r="G110" s="62">
        <v>100.0655</v>
      </c>
      <c r="H110" s="62" t="s">
        <v>2440</v>
      </c>
      <c r="I110" s="62" t="s">
        <v>2711</v>
      </c>
      <c r="J110" s="62" t="s">
        <v>271</v>
      </c>
    </row>
    <row r="111" spans="1:10" ht="15" x14ac:dyDescent="0.25">
      <c r="A111" s="40">
        <v>107</v>
      </c>
      <c r="B111" s="62" t="s">
        <v>2712</v>
      </c>
      <c r="C111" s="62" t="s">
        <v>328</v>
      </c>
      <c r="D111" s="62" t="s">
        <v>2373</v>
      </c>
      <c r="E111" s="62" t="s">
        <v>2374</v>
      </c>
      <c r="F111" s="62">
        <v>100</v>
      </c>
      <c r="G111" s="62">
        <v>107.8326</v>
      </c>
      <c r="H111" s="62" t="s">
        <v>2291</v>
      </c>
      <c r="I111" s="62" t="s">
        <v>2713</v>
      </c>
      <c r="J111" s="62" t="s">
        <v>271</v>
      </c>
    </row>
    <row r="112" spans="1:10" ht="15" x14ac:dyDescent="0.25">
      <c r="A112" s="40">
        <v>108</v>
      </c>
      <c r="B112" s="62" t="s">
        <v>2714</v>
      </c>
      <c r="C112" s="62" t="s">
        <v>330</v>
      </c>
      <c r="D112" s="62" t="s">
        <v>2373</v>
      </c>
      <c r="E112" s="62" t="s">
        <v>2374</v>
      </c>
      <c r="F112" s="62">
        <v>100</v>
      </c>
      <c r="G112" s="62">
        <v>101.9663</v>
      </c>
      <c r="H112" s="62" t="s">
        <v>2292</v>
      </c>
      <c r="I112" s="62" t="s">
        <v>2538</v>
      </c>
      <c r="J112" s="62" t="s">
        <v>271</v>
      </c>
    </row>
    <row r="113" spans="1:10" ht="15" x14ac:dyDescent="0.25">
      <c r="A113" s="40">
        <v>109</v>
      </c>
      <c r="B113" s="62" t="s">
        <v>2715</v>
      </c>
      <c r="C113" s="62" t="s">
        <v>332</v>
      </c>
      <c r="D113" s="62" t="s">
        <v>2373</v>
      </c>
      <c r="E113" s="62" t="s">
        <v>2374</v>
      </c>
      <c r="F113" s="62">
        <v>100</v>
      </c>
      <c r="G113" s="62">
        <v>106.9149</v>
      </c>
      <c r="H113" s="62" t="s">
        <v>2290</v>
      </c>
      <c r="I113" s="62" t="s">
        <v>2716</v>
      </c>
      <c r="J113" s="62" t="s">
        <v>271</v>
      </c>
    </row>
    <row r="114" spans="1:10" ht="15" x14ac:dyDescent="0.25">
      <c r="A114" s="40">
        <v>110</v>
      </c>
      <c r="B114" s="62" t="s">
        <v>2717</v>
      </c>
      <c r="C114" s="62" t="s">
        <v>334</v>
      </c>
      <c r="D114" s="62" t="s">
        <v>2373</v>
      </c>
      <c r="E114" s="62" t="s">
        <v>2374</v>
      </c>
      <c r="F114" s="62">
        <v>100</v>
      </c>
      <c r="G114" s="62">
        <v>110.81480000000001</v>
      </c>
      <c r="H114" s="62" t="s">
        <v>2293</v>
      </c>
      <c r="I114" s="62" t="s">
        <v>2718</v>
      </c>
      <c r="J114" s="62" t="s">
        <v>271</v>
      </c>
    </row>
    <row r="115" spans="1:10" ht="15" x14ac:dyDescent="0.25">
      <c r="A115" s="40">
        <v>111</v>
      </c>
      <c r="B115" s="62" t="s">
        <v>2719</v>
      </c>
      <c r="C115" s="62" t="s">
        <v>336</v>
      </c>
      <c r="D115" s="62" t="s">
        <v>2373</v>
      </c>
      <c r="E115" s="62" t="s">
        <v>2374</v>
      </c>
      <c r="F115" s="62">
        <v>100</v>
      </c>
      <c r="G115" s="62">
        <v>110.88039999999999</v>
      </c>
      <c r="H115" s="62" t="s">
        <v>2409</v>
      </c>
      <c r="I115" s="62" t="s">
        <v>2720</v>
      </c>
      <c r="J115" s="62" t="s">
        <v>271</v>
      </c>
    </row>
    <row r="116" spans="1:10" ht="15" x14ac:dyDescent="0.25">
      <c r="A116" s="40">
        <v>112</v>
      </c>
      <c r="B116" s="62" t="s">
        <v>2721</v>
      </c>
      <c r="C116" s="62" t="s">
        <v>338</v>
      </c>
      <c r="D116" s="62" t="s">
        <v>2373</v>
      </c>
      <c r="E116" s="62" t="s">
        <v>2374</v>
      </c>
      <c r="F116" s="62">
        <v>100</v>
      </c>
      <c r="G116" s="62">
        <v>107.8653</v>
      </c>
      <c r="H116" s="62" t="s">
        <v>2294</v>
      </c>
      <c r="I116" s="62" t="s">
        <v>2722</v>
      </c>
      <c r="J116" s="62" t="s">
        <v>271</v>
      </c>
    </row>
    <row r="117" spans="1:10" ht="15" x14ac:dyDescent="0.25">
      <c r="A117" s="40">
        <v>113</v>
      </c>
      <c r="B117" s="62" t="s">
        <v>2723</v>
      </c>
      <c r="C117" s="62" t="s">
        <v>137</v>
      </c>
      <c r="D117" s="62" t="s">
        <v>2373</v>
      </c>
      <c r="E117" s="62" t="s">
        <v>2374</v>
      </c>
      <c r="F117" s="62">
        <v>90.250900000000001</v>
      </c>
      <c r="G117" s="62">
        <v>93.139799999999994</v>
      </c>
      <c r="H117" s="62" t="s">
        <v>2470</v>
      </c>
      <c r="I117" s="62" t="s">
        <v>2724</v>
      </c>
      <c r="J117" s="62" t="s">
        <v>271</v>
      </c>
    </row>
    <row r="118" spans="1:10" ht="15" x14ac:dyDescent="0.25">
      <c r="A118" s="40">
        <v>114</v>
      </c>
      <c r="B118" s="62" t="s">
        <v>2725</v>
      </c>
      <c r="C118" s="62" t="s">
        <v>139</v>
      </c>
      <c r="D118" s="62" t="s">
        <v>2373</v>
      </c>
      <c r="E118" s="62" t="s">
        <v>2374</v>
      </c>
      <c r="F118" s="62">
        <v>95.247399999999999</v>
      </c>
      <c r="G118" s="62">
        <v>102.7274</v>
      </c>
      <c r="H118" s="62" t="s">
        <v>2543</v>
      </c>
      <c r="I118" s="62" t="s">
        <v>2726</v>
      </c>
      <c r="J118" s="62" t="s">
        <v>271</v>
      </c>
    </row>
    <row r="119" spans="1:10" ht="15" x14ac:dyDescent="0.25">
      <c r="A119" s="40">
        <v>115</v>
      </c>
      <c r="B119" s="62" t="s">
        <v>2727</v>
      </c>
      <c r="C119" s="62" t="s">
        <v>141</v>
      </c>
      <c r="D119" s="62" t="s">
        <v>2373</v>
      </c>
      <c r="E119" s="62" t="s">
        <v>2374</v>
      </c>
      <c r="F119" s="62">
        <v>84.893699999999995</v>
      </c>
      <c r="G119" s="62">
        <v>90.626999999999995</v>
      </c>
      <c r="H119" s="62" t="s">
        <v>2474</v>
      </c>
      <c r="I119" s="62" t="s">
        <v>2728</v>
      </c>
      <c r="J119" s="62" t="s">
        <v>271</v>
      </c>
    </row>
    <row r="120" spans="1:10" ht="15" x14ac:dyDescent="0.25">
      <c r="A120" s="40">
        <v>116</v>
      </c>
      <c r="B120" s="62" t="s">
        <v>2729</v>
      </c>
      <c r="C120" s="62" t="s">
        <v>6</v>
      </c>
      <c r="D120" s="62" t="s">
        <v>2373</v>
      </c>
      <c r="E120" s="62" t="s">
        <v>2374</v>
      </c>
      <c r="F120" s="62">
        <v>86.315899999999999</v>
      </c>
      <c r="G120" s="62">
        <v>90.273700000000005</v>
      </c>
      <c r="H120" s="62" t="s">
        <v>2730</v>
      </c>
      <c r="I120" s="62" t="s">
        <v>2731</v>
      </c>
      <c r="J120" s="62" t="s">
        <v>271</v>
      </c>
    </row>
    <row r="121" spans="1:10" ht="15" x14ac:dyDescent="0.25">
      <c r="A121" s="40">
        <v>117</v>
      </c>
      <c r="B121" s="62" t="s">
        <v>2732</v>
      </c>
      <c r="C121" s="62" t="s">
        <v>144</v>
      </c>
      <c r="D121" s="62" t="s">
        <v>2373</v>
      </c>
      <c r="E121" s="62" t="s">
        <v>2374</v>
      </c>
      <c r="F121" s="62">
        <v>83.0321</v>
      </c>
      <c r="G121" s="62">
        <v>89.2654</v>
      </c>
      <c r="H121" s="62" t="s">
        <v>2478</v>
      </c>
      <c r="I121" s="62" t="s">
        <v>2733</v>
      </c>
      <c r="J121" s="62" t="s">
        <v>271</v>
      </c>
    </row>
    <row r="122" spans="1:10" ht="15" x14ac:dyDescent="0.25">
      <c r="A122" s="40">
        <v>118</v>
      </c>
      <c r="B122" s="62" t="s">
        <v>2734</v>
      </c>
      <c r="C122" s="62" t="s">
        <v>2066</v>
      </c>
      <c r="D122" s="62" t="s">
        <v>2373</v>
      </c>
      <c r="E122" s="62" t="s">
        <v>2374</v>
      </c>
      <c r="F122" s="62">
        <v>91.197500000000005</v>
      </c>
      <c r="G122" s="62">
        <v>98.2136</v>
      </c>
      <c r="H122" s="62" t="s">
        <v>2541</v>
      </c>
      <c r="I122" s="62" t="s">
        <v>2735</v>
      </c>
      <c r="J122" s="62" t="s">
        <v>271</v>
      </c>
    </row>
    <row r="123" spans="1:10" ht="15" x14ac:dyDescent="0.25">
      <c r="A123" s="40">
        <v>119</v>
      </c>
      <c r="B123" s="62" t="s">
        <v>2736</v>
      </c>
      <c r="C123" s="62" t="s">
        <v>146</v>
      </c>
      <c r="D123" s="62" t="s">
        <v>2373</v>
      </c>
      <c r="E123" s="62" t="s">
        <v>2374</v>
      </c>
      <c r="F123" s="62">
        <v>84.563900000000004</v>
      </c>
      <c r="G123" s="62">
        <v>93.347099999999998</v>
      </c>
      <c r="H123" s="62" t="s">
        <v>2542</v>
      </c>
      <c r="I123" s="62" t="s">
        <v>2737</v>
      </c>
      <c r="J123" s="62" t="s">
        <v>271</v>
      </c>
    </row>
    <row r="124" spans="1:10" ht="15" x14ac:dyDescent="0.25">
      <c r="A124" s="40">
        <v>120</v>
      </c>
      <c r="B124" s="62" t="s">
        <v>2738</v>
      </c>
      <c r="C124" s="62" t="s">
        <v>8</v>
      </c>
      <c r="D124" s="62" t="s">
        <v>2373</v>
      </c>
      <c r="E124" s="62" t="s">
        <v>2374</v>
      </c>
      <c r="F124" s="62">
        <v>82.436000000000007</v>
      </c>
      <c r="G124" s="62">
        <v>83.344499999999996</v>
      </c>
      <c r="H124" s="62" t="s">
        <v>2480</v>
      </c>
      <c r="I124" s="62" t="s">
        <v>2739</v>
      </c>
      <c r="J124" s="62" t="s">
        <v>271</v>
      </c>
    </row>
    <row r="125" spans="1:10" ht="15" x14ac:dyDescent="0.25">
      <c r="A125" s="40">
        <v>121</v>
      </c>
      <c r="B125" s="62" t="s">
        <v>2740</v>
      </c>
      <c r="C125" s="62" t="s">
        <v>149</v>
      </c>
      <c r="D125" s="62" t="s">
        <v>2373</v>
      </c>
      <c r="E125" s="62" t="s">
        <v>2374</v>
      </c>
      <c r="F125" s="62">
        <v>82.071799999999996</v>
      </c>
      <c r="G125" s="62">
        <v>88.335700000000003</v>
      </c>
      <c r="H125" s="62" t="s">
        <v>2473</v>
      </c>
      <c r="I125" s="62" t="s">
        <v>2741</v>
      </c>
      <c r="J125" s="62" t="s">
        <v>271</v>
      </c>
    </row>
    <row r="126" spans="1:10" ht="15" x14ac:dyDescent="0.25">
      <c r="A126" s="40">
        <v>122</v>
      </c>
      <c r="B126" s="62" t="s">
        <v>2742</v>
      </c>
      <c r="C126" s="62" t="s">
        <v>151</v>
      </c>
      <c r="D126" s="62" t="s">
        <v>2373</v>
      </c>
      <c r="E126" s="62" t="s">
        <v>2374</v>
      </c>
      <c r="F126" s="62">
        <v>89.691199999999995</v>
      </c>
      <c r="G126" s="62">
        <v>93.8523</v>
      </c>
      <c r="H126" s="62" t="s">
        <v>2476</v>
      </c>
      <c r="I126" s="62" t="s">
        <v>2743</v>
      </c>
      <c r="J126" s="62" t="s">
        <v>271</v>
      </c>
    </row>
    <row r="127" spans="1:10" ht="15" x14ac:dyDescent="0.25">
      <c r="A127" s="40">
        <v>123</v>
      </c>
      <c r="B127" s="62" t="s">
        <v>2744</v>
      </c>
      <c r="C127" s="62" t="s">
        <v>2243</v>
      </c>
      <c r="D127" s="62" t="s">
        <v>2373</v>
      </c>
      <c r="E127" s="62" t="s">
        <v>2374</v>
      </c>
      <c r="F127" s="62">
        <v>89.954999999999998</v>
      </c>
      <c r="G127" s="62">
        <v>93.326700000000002</v>
      </c>
      <c r="H127" s="62" t="s">
        <v>2479</v>
      </c>
      <c r="I127" s="62" t="s">
        <v>2745</v>
      </c>
      <c r="J127" s="62" t="s">
        <v>271</v>
      </c>
    </row>
    <row r="128" spans="1:10" ht="15" x14ac:dyDescent="0.25">
      <c r="A128" s="40">
        <v>124</v>
      </c>
      <c r="B128" s="62" t="s">
        <v>2746</v>
      </c>
      <c r="C128" s="62" t="s">
        <v>153</v>
      </c>
      <c r="D128" s="62" t="s">
        <v>2373</v>
      </c>
      <c r="E128" s="62" t="s">
        <v>2374</v>
      </c>
      <c r="F128" s="62">
        <v>94.028499999999994</v>
      </c>
      <c r="G128" s="62">
        <v>95.444100000000006</v>
      </c>
      <c r="H128" s="62" t="s">
        <v>2747</v>
      </c>
      <c r="I128" s="62" t="s">
        <v>2748</v>
      </c>
      <c r="J128" s="62" t="s">
        <v>271</v>
      </c>
    </row>
    <row r="129" spans="1:10" ht="15" x14ac:dyDescent="0.25">
      <c r="A129" s="40">
        <v>125</v>
      </c>
      <c r="B129" s="62" t="s">
        <v>2749</v>
      </c>
      <c r="C129" s="62" t="s">
        <v>7</v>
      </c>
      <c r="D129" s="62" t="s">
        <v>2373</v>
      </c>
      <c r="E129" s="62" t="s">
        <v>2374</v>
      </c>
      <c r="F129" s="62">
        <v>84.406199999999998</v>
      </c>
      <c r="G129" s="62">
        <v>88.959000000000003</v>
      </c>
      <c r="H129" s="62" t="s">
        <v>2750</v>
      </c>
      <c r="I129" s="62" t="s">
        <v>2751</v>
      </c>
      <c r="J129" s="62" t="s">
        <v>271</v>
      </c>
    </row>
    <row r="130" spans="1:10" ht="15" x14ac:dyDescent="0.25">
      <c r="A130" s="40">
        <v>126</v>
      </c>
      <c r="B130" s="62" t="s">
        <v>2752</v>
      </c>
      <c r="C130" s="62" t="s">
        <v>156</v>
      </c>
      <c r="D130" s="62" t="s">
        <v>2373</v>
      </c>
      <c r="E130" s="62" t="s">
        <v>2374</v>
      </c>
      <c r="F130" s="62">
        <v>88.839699999999993</v>
      </c>
      <c r="G130" s="62">
        <v>92.7286</v>
      </c>
      <c r="H130" s="62" t="s">
        <v>2481</v>
      </c>
      <c r="I130" s="62" t="s">
        <v>2753</v>
      </c>
      <c r="J130" s="62" t="s">
        <v>271</v>
      </c>
    </row>
    <row r="131" spans="1:10" ht="15" x14ac:dyDescent="0.25">
      <c r="A131" s="40">
        <v>127</v>
      </c>
      <c r="B131" s="62" t="s">
        <v>2754</v>
      </c>
      <c r="C131" s="62" t="s">
        <v>2068</v>
      </c>
      <c r="D131" s="62" t="s">
        <v>2373</v>
      </c>
      <c r="E131" s="62" t="s">
        <v>2374</v>
      </c>
      <c r="F131" s="62">
        <v>89.749799999999993</v>
      </c>
      <c r="G131" s="62">
        <v>96.7179</v>
      </c>
      <c r="H131" s="62" t="s">
        <v>2544</v>
      </c>
      <c r="I131" s="62" t="s">
        <v>2755</v>
      </c>
      <c r="J131" s="62" t="s">
        <v>271</v>
      </c>
    </row>
    <row r="132" spans="1:10" ht="15" x14ac:dyDescent="0.25">
      <c r="A132" s="40">
        <v>128</v>
      </c>
      <c r="B132" s="62" t="s">
        <v>2756</v>
      </c>
      <c r="C132" s="62" t="s">
        <v>158</v>
      </c>
      <c r="D132" s="62" t="s">
        <v>2373</v>
      </c>
      <c r="E132" s="62" t="s">
        <v>2374</v>
      </c>
      <c r="F132" s="62">
        <v>89.490899999999996</v>
      </c>
      <c r="G132" s="62">
        <v>93.815899999999999</v>
      </c>
      <c r="H132" s="62" t="s">
        <v>2470</v>
      </c>
      <c r="I132" s="62" t="s">
        <v>2757</v>
      </c>
      <c r="J132" s="62" t="s">
        <v>271</v>
      </c>
    </row>
    <row r="133" spans="1:10" ht="15" x14ac:dyDescent="0.25">
      <c r="A133" s="40">
        <v>129</v>
      </c>
      <c r="B133" s="62" t="s">
        <v>2758</v>
      </c>
      <c r="C133" s="62" t="s">
        <v>160</v>
      </c>
      <c r="D133" s="62" t="s">
        <v>2373</v>
      </c>
      <c r="E133" s="62" t="s">
        <v>2374</v>
      </c>
      <c r="F133" s="62">
        <v>87.664299999999997</v>
      </c>
      <c r="G133" s="62">
        <v>89.064300000000003</v>
      </c>
      <c r="H133" s="62" t="s">
        <v>2539</v>
      </c>
      <c r="I133" s="62" t="s">
        <v>2759</v>
      </c>
      <c r="J133" s="62" t="s">
        <v>271</v>
      </c>
    </row>
    <row r="134" spans="1:10" ht="15" x14ac:dyDescent="0.25">
      <c r="A134" s="40">
        <v>130</v>
      </c>
      <c r="B134" s="62" t="s">
        <v>2760</v>
      </c>
      <c r="C134" s="62" t="s">
        <v>9</v>
      </c>
      <c r="D134" s="62" t="s">
        <v>2373</v>
      </c>
      <c r="E134" s="62" t="s">
        <v>2374</v>
      </c>
      <c r="F134" s="62">
        <v>77.218999999999994</v>
      </c>
      <c r="G134" s="62">
        <v>81.853999999999999</v>
      </c>
      <c r="H134" s="62" t="s">
        <v>2475</v>
      </c>
      <c r="I134" s="62" t="s">
        <v>2761</v>
      </c>
      <c r="J134" s="62" t="s">
        <v>271</v>
      </c>
    </row>
    <row r="135" spans="1:10" ht="15" x14ac:dyDescent="0.25">
      <c r="A135" s="40">
        <v>131</v>
      </c>
      <c r="B135" s="62" t="s">
        <v>2762</v>
      </c>
      <c r="C135" s="62" t="s">
        <v>2041</v>
      </c>
      <c r="D135" s="62" t="s">
        <v>2373</v>
      </c>
      <c r="E135" s="62" t="s">
        <v>2374</v>
      </c>
      <c r="F135" s="62">
        <v>86.9893</v>
      </c>
      <c r="G135" s="62">
        <v>94.611500000000007</v>
      </c>
      <c r="H135" s="62" t="s">
        <v>2544</v>
      </c>
      <c r="I135" s="62" t="s">
        <v>2763</v>
      </c>
      <c r="J135" s="62" t="s">
        <v>271</v>
      </c>
    </row>
    <row r="136" spans="1:10" ht="15" x14ac:dyDescent="0.25">
      <c r="A136" s="40">
        <v>132</v>
      </c>
      <c r="B136" s="62" t="s">
        <v>2764</v>
      </c>
      <c r="C136" s="62" t="s">
        <v>11</v>
      </c>
      <c r="D136" s="62" t="s">
        <v>2373</v>
      </c>
      <c r="E136" s="62" t="s">
        <v>2374</v>
      </c>
      <c r="F136" s="62">
        <v>75.783000000000001</v>
      </c>
      <c r="G136" s="62">
        <v>76.759200000000007</v>
      </c>
      <c r="H136" s="62" t="s">
        <v>2545</v>
      </c>
      <c r="I136" s="62" t="s">
        <v>2765</v>
      </c>
      <c r="J136" s="62" t="s">
        <v>271</v>
      </c>
    </row>
    <row r="137" spans="1:10" ht="15" x14ac:dyDescent="0.25">
      <c r="A137" s="40">
        <v>133</v>
      </c>
      <c r="B137" s="62" t="s">
        <v>2766</v>
      </c>
      <c r="C137" s="62" t="s">
        <v>164</v>
      </c>
      <c r="D137" s="62" t="s">
        <v>2373</v>
      </c>
      <c r="E137" s="62" t="s">
        <v>2374</v>
      </c>
      <c r="F137" s="62">
        <v>74.190200000000004</v>
      </c>
      <c r="G137" s="62">
        <v>74.368399999999994</v>
      </c>
      <c r="H137" s="62" t="s">
        <v>2483</v>
      </c>
      <c r="I137" s="62" t="s">
        <v>2767</v>
      </c>
      <c r="J137" s="62" t="s">
        <v>271</v>
      </c>
    </row>
    <row r="138" spans="1:10" ht="15" x14ac:dyDescent="0.25">
      <c r="A138" s="40">
        <v>134</v>
      </c>
      <c r="B138" s="62" t="s">
        <v>2768</v>
      </c>
      <c r="C138" s="62" t="s">
        <v>166</v>
      </c>
      <c r="D138" s="62" t="s">
        <v>2373</v>
      </c>
      <c r="E138" s="62" t="s">
        <v>2374</v>
      </c>
      <c r="F138" s="62">
        <v>85.645200000000003</v>
      </c>
      <c r="G138" s="62">
        <v>87.076999999999998</v>
      </c>
      <c r="H138" s="62" t="s">
        <v>2471</v>
      </c>
      <c r="I138" s="62" t="s">
        <v>2594</v>
      </c>
      <c r="J138" s="62" t="s">
        <v>271</v>
      </c>
    </row>
    <row r="139" spans="1:10" ht="15" x14ac:dyDescent="0.25">
      <c r="A139" s="40">
        <v>135</v>
      </c>
      <c r="B139" s="62" t="s">
        <v>2769</v>
      </c>
      <c r="C139" s="62" t="s">
        <v>168</v>
      </c>
      <c r="D139" s="62" t="s">
        <v>2373</v>
      </c>
      <c r="E139" s="62" t="s">
        <v>2374</v>
      </c>
      <c r="F139" s="62">
        <v>70.458500000000001</v>
      </c>
      <c r="G139" s="62">
        <v>73.013900000000007</v>
      </c>
      <c r="H139" s="62" t="s">
        <v>2477</v>
      </c>
      <c r="I139" s="62" t="s">
        <v>2770</v>
      </c>
      <c r="J139" s="62" t="s">
        <v>271</v>
      </c>
    </row>
    <row r="140" spans="1:10" ht="15" x14ac:dyDescent="0.25">
      <c r="A140" s="40">
        <v>136</v>
      </c>
      <c r="B140" s="62" t="s">
        <v>2771</v>
      </c>
      <c r="C140" s="62" t="s">
        <v>170</v>
      </c>
      <c r="D140" s="62" t="s">
        <v>2373</v>
      </c>
      <c r="E140" s="62" t="s">
        <v>2374</v>
      </c>
      <c r="F140" s="62">
        <v>70.781000000000006</v>
      </c>
      <c r="G140" s="62">
        <v>76.178299999999993</v>
      </c>
      <c r="H140" s="62" t="s">
        <v>2544</v>
      </c>
      <c r="I140" s="62" t="s">
        <v>2772</v>
      </c>
      <c r="J140" s="62" t="s">
        <v>271</v>
      </c>
    </row>
    <row r="141" spans="1:10" ht="15" x14ac:dyDescent="0.25">
      <c r="A141" s="40">
        <v>137</v>
      </c>
      <c r="B141" s="62" t="s">
        <v>2773</v>
      </c>
      <c r="C141" s="62" t="s">
        <v>2215</v>
      </c>
      <c r="D141" s="62" t="s">
        <v>2373</v>
      </c>
      <c r="E141" s="62" t="s">
        <v>2374</v>
      </c>
      <c r="F141" s="62">
        <v>86.324399999999997</v>
      </c>
      <c r="G141" s="62">
        <v>90.123599999999996</v>
      </c>
      <c r="H141" s="62" t="s">
        <v>2439</v>
      </c>
      <c r="I141" s="62" t="s">
        <v>2774</v>
      </c>
      <c r="J141" s="62" t="s">
        <v>271</v>
      </c>
    </row>
    <row r="142" spans="1:10" ht="15" x14ac:dyDescent="0.25">
      <c r="A142" s="40">
        <v>138</v>
      </c>
      <c r="B142" s="62" t="s">
        <v>2775</v>
      </c>
      <c r="C142" s="62" t="s">
        <v>172</v>
      </c>
      <c r="D142" s="62" t="s">
        <v>2373</v>
      </c>
      <c r="E142" s="62" t="s">
        <v>2374</v>
      </c>
      <c r="F142" s="62">
        <v>98.988200000000006</v>
      </c>
      <c r="G142" s="62">
        <v>103.65179999999999</v>
      </c>
      <c r="H142" s="62" t="s">
        <v>2776</v>
      </c>
      <c r="I142" s="62" t="s">
        <v>2777</v>
      </c>
      <c r="J142" s="62" t="s">
        <v>271</v>
      </c>
    </row>
    <row r="143" spans="1:10" ht="15" x14ac:dyDescent="0.25">
      <c r="A143" s="40">
        <v>139</v>
      </c>
      <c r="B143" s="62" t="s">
        <v>2778</v>
      </c>
      <c r="C143" s="62" t="s">
        <v>174</v>
      </c>
      <c r="D143" s="62" t="s">
        <v>2373</v>
      </c>
      <c r="E143" s="62" t="s">
        <v>2374</v>
      </c>
      <c r="F143" s="62">
        <v>97.6708</v>
      </c>
      <c r="G143" s="62">
        <v>101.6014</v>
      </c>
      <c r="H143" s="62" t="s">
        <v>2779</v>
      </c>
      <c r="I143" s="62" t="s">
        <v>2780</v>
      </c>
      <c r="J143" s="62" t="s">
        <v>271</v>
      </c>
    </row>
    <row r="144" spans="1:10" ht="15" x14ac:dyDescent="0.25">
      <c r="A144" s="40">
        <v>140</v>
      </c>
      <c r="B144" s="62" t="s">
        <v>2781</v>
      </c>
      <c r="C144" s="62" t="s">
        <v>10</v>
      </c>
      <c r="D144" s="62" t="s">
        <v>2373</v>
      </c>
      <c r="E144" s="62" t="s">
        <v>2374</v>
      </c>
      <c r="F144" s="62">
        <v>67.825699999999998</v>
      </c>
      <c r="G144" s="62">
        <v>70.947500000000005</v>
      </c>
      <c r="H144" s="62" t="s">
        <v>2545</v>
      </c>
      <c r="I144" s="62" t="s">
        <v>2782</v>
      </c>
      <c r="J144" s="62" t="s">
        <v>271</v>
      </c>
    </row>
    <row r="145" spans="1:10" ht="15" x14ac:dyDescent="0.25">
      <c r="A145" s="40">
        <v>141</v>
      </c>
      <c r="B145" s="62" t="s">
        <v>2783</v>
      </c>
      <c r="C145" s="62" t="s">
        <v>177</v>
      </c>
      <c r="D145" s="62" t="s">
        <v>2373</v>
      </c>
      <c r="E145" s="62" t="s">
        <v>2374</v>
      </c>
      <c r="F145" s="62">
        <v>69.908900000000003</v>
      </c>
      <c r="G145" s="62">
        <v>74.720699999999994</v>
      </c>
      <c r="H145" s="62" t="s">
        <v>2547</v>
      </c>
      <c r="I145" s="62" t="s">
        <v>2784</v>
      </c>
      <c r="J145" s="62" t="s">
        <v>271</v>
      </c>
    </row>
    <row r="146" spans="1:10" ht="15" x14ac:dyDescent="0.25">
      <c r="A146" s="40">
        <v>142</v>
      </c>
      <c r="B146" s="62" t="s">
        <v>2785</v>
      </c>
      <c r="C146" s="62" t="s">
        <v>179</v>
      </c>
      <c r="D146" s="62" t="s">
        <v>2373</v>
      </c>
      <c r="E146" s="62" t="s">
        <v>2374</v>
      </c>
      <c r="F146" s="62">
        <v>97.555099999999996</v>
      </c>
      <c r="G146" s="62">
        <v>101.8329</v>
      </c>
      <c r="H146" s="62" t="s">
        <v>2779</v>
      </c>
      <c r="I146" s="62" t="s">
        <v>2786</v>
      </c>
      <c r="J146" s="62" t="s">
        <v>271</v>
      </c>
    </row>
    <row r="147" spans="1:10" ht="15" x14ac:dyDescent="0.25">
      <c r="A147" s="40">
        <v>143</v>
      </c>
      <c r="B147" s="62" t="s">
        <v>2787</v>
      </c>
      <c r="C147" s="62" t="s">
        <v>181</v>
      </c>
      <c r="D147" s="62" t="s">
        <v>2373</v>
      </c>
      <c r="E147" s="62" t="s">
        <v>2374</v>
      </c>
      <c r="F147" s="62">
        <v>90.254599999999996</v>
      </c>
      <c r="G147" s="62">
        <v>90.422700000000006</v>
      </c>
      <c r="H147" s="62" t="s">
        <v>2540</v>
      </c>
      <c r="I147" s="62" t="s">
        <v>2788</v>
      </c>
      <c r="J147" s="62" t="s">
        <v>271</v>
      </c>
    </row>
    <row r="148" spans="1:10" ht="15" x14ac:dyDescent="0.25">
      <c r="A148" s="40">
        <v>144</v>
      </c>
      <c r="B148" s="62" t="s">
        <v>2789</v>
      </c>
      <c r="C148" s="62" t="s">
        <v>183</v>
      </c>
      <c r="D148" s="62" t="s">
        <v>2373</v>
      </c>
      <c r="E148" s="62" t="s">
        <v>2374</v>
      </c>
      <c r="F148" s="62">
        <v>87.191000000000003</v>
      </c>
      <c r="G148" s="62">
        <v>91.024299999999997</v>
      </c>
      <c r="H148" s="62" t="s">
        <v>2548</v>
      </c>
      <c r="I148" s="62" t="s">
        <v>2790</v>
      </c>
      <c r="J148" s="62" t="s">
        <v>271</v>
      </c>
    </row>
    <row r="149" spans="1:10" ht="15" x14ac:dyDescent="0.25">
      <c r="A149" s="40">
        <v>145</v>
      </c>
      <c r="B149" s="62" t="s">
        <v>2791</v>
      </c>
      <c r="C149" s="62" t="s">
        <v>5</v>
      </c>
      <c r="D149" s="62" t="s">
        <v>2373</v>
      </c>
      <c r="E149" s="62" t="s">
        <v>2374</v>
      </c>
      <c r="F149" s="62">
        <v>84.701999999999998</v>
      </c>
      <c r="G149" s="62">
        <v>87.02</v>
      </c>
      <c r="H149" s="62" t="s">
        <v>2470</v>
      </c>
      <c r="I149" s="62" t="s">
        <v>2792</v>
      </c>
      <c r="J149" s="62" t="s">
        <v>271</v>
      </c>
    </row>
    <row r="150" spans="1:10" ht="15" x14ac:dyDescent="0.25">
      <c r="A150" s="40">
        <v>146</v>
      </c>
      <c r="B150" s="62" t="s">
        <v>2793</v>
      </c>
      <c r="C150" s="62" t="s">
        <v>186</v>
      </c>
      <c r="D150" s="62" t="s">
        <v>2373</v>
      </c>
      <c r="E150" s="62" t="s">
        <v>2374</v>
      </c>
      <c r="F150" s="62">
        <v>80.891099999999994</v>
      </c>
      <c r="G150" s="62">
        <v>86.091399999999993</v>
      </c>
      <c r="H150" s="62" t="s">
        <v>2539</v>
      </c>
      <c r="I150" s="62" t="s">
        <v>2794</v>
      </c>
      <c r="J150" s="62" t="s">
        <v>271</v>
      </c>
    </row>
    <row r="151" spans="1:10" ht="15" x14ac:dyDescent="0.25">
      <c r="A151" s="40">
        <v>147</v>
      </c>
      <c r="B151" s="62" t="s">
        <v>2795</v>
      </c>
      <c r="C151" s="62" t="s">
        <v>188</v>
      </c>
      <c r="D151" s="62" t="s">
        <v>2373</v>
      </c>
      <c r="E151" s="62" t="s">
        <v>2374</v>
      </c>
      <c r="F151" s="62">
        <v>81.805899999999994</v>
      </c>
      <c r="G151" s="62">
        <v>87.312799999999996</v>
      </c>
      <c r="H151" s="62" t="s">
        <v>2796</v>
      </c>
      <c r="I151" s="62" t="s">
        <v>2797</v>
      </c>
      <c r="J151" s="62" t="s">
        <v>271</v>
      </c>
    </row>
    <row r="152" spans="1:10" ht="15" x14ac:dyDescent="0.25">
      <c r="A152" s="40">
        <v>148</v>
      </c>
      <c r="B152" s="62" t="s">
        <v>2798</v>
      </c>
      <c r="C152" s="62" t="s">
        <v>190</v>
      </c>
      <c r="D152" s="62" t="s">
        <v>2373</v>
      </c>
      <c r="E152" s="62" t="s">
        <v>2374</v>
      </c>
      <c r="F152" s="62">
        <v>76.473200000000006</v>
      </c>
      <c r="G152" s="62">
        <v>81.667599999999993</v>
      </c>
      <c r="H152" s="62" t="s">
        <v>2799</v>
      </c>
      <c r="I152" s="62" t="s">
        <v>2800</v>
      </c>
      <c r="J152" s="62" t="s">
        <v>271</v>
      </c>
    </row>
    <row r="153" spans="1:10" ht="15" x14ac:dyDescent="0.25">
      <c r="A153" s="40">
        <v>149</v>
      </c>
      <c r="B153" s="62" t="s">
        <v>2801</v>
      </c>
      <c r="C153" s="62" t="s">
        <v>192</v>
      </c>
      <c r="D153" s="62" t="s">
        <v>2373</v>
      </c>
      <c r="E153" s="62" t="s">
        <v>2374</v>
      </c>
      <c r="F153" s="62">
        <v>74.537999999999997</v>
      </c>
      <c r="G153" s="62">
        <v>74.879300000000001</v>
      </c>
      <c r="H153" s="62" t="s">
        <v>2458</v>
      </c>
      <c r="I153" s="62" t="s">
        <v>2802</v>
      </c>
      <c r="J153" s="62" t="s">
        <v>271</v>
      </c>
    </row>
    <row r="154" spans="1:10" ht="15" x14ac:dyDescent="0.25">
      <c r="A154" s="40">
        <v>150</v>
      </c>
      <c r="B154" s="62" t="s">
        <v>2803</v>
      </c>
      <c r="C154" s="62" t="s">
        <v>194</v>
      </c>
      <c r="D154" s="62" t="s">
        <v>2373</v>
      </c>
      <c r="E154" s="62" t="s">
        <v>2374</v>
      </c>
      <c r="F154" s="62">
        <v>72.376900000000006</v>
      </c>
      <c r="G154" s="62">
        <v>76.750200000000007</v>
      </c>
      <c r="H154" s="62" t="s">
        <v>2549</v>
      </c>
      <c r="I154" s="62" t="s">
        <v>2741</v>
      </c>
      <c r="J154" s="62" t="s">
        <v>271</v>
      </c>
    </row>
    <row r="155" spans="1:10" ht="15" x14ac:dyDescent="0.25">
      <c r="A155" s="40">
        <v>151</v>
      </c>
      <c r="B155" s="62" t="s">
        <v>2804</v>
      </c>
      <c r="C155" s="62" t="s">
        <v>196</v>
      </c>
      <c r="D155" s="62" t="s">
        <v>2373</v>
      </c>
      <c r="E155" s="62" t="s">
        <v>2374</v>
      </c>
      <c r="F155" s="62">
        <v>66.320499999999996</v>
      </c>
      <c r="G155" s="62">
        <v>69.808599999999998</v>
      </c>
      <c r="H155" s="62" t="s">
        <v>2483</v>
      </c>
      <c r="I155" s="62" t="s">
        <v>2805</v>
      </c>
      <c r="J155" s="62" t="s">
        <v>271</v>
      </c>
    </row>
    <row r="156" spans="1:10" ht="15" x14ac:dyDescent="0.25">
      <c r="A156" s="40">
        <v>152</v>
      </c>
      <c r="B156" s="62" t="s">
        <v>2806</v>
      </c>
      <c r="C156" s="62" t="s">
        <v>198</v>
      </c>
      <c r="D156" s="62" t="s">
        <v>2373</v>
      </c>
      <c r="E156" s="62" t="s">
        <v>2374</v>
      </c>
      <c r="F156" s="62">
        <v>65.400300000000001</v>
      </c>
      <c r="G156" s="62">
        <v>68.3613</v>
      </c>
      <c r="H156" s="62" t="s">
        <v>2544</v>
      </c>
      <c r="I156" s="62" t="s">
        <v>2807</v>
      </c>
      <c r="J156" s="62" t="s">
        <v>271</v>
      </c>
    </row>
    <row r="157" spans="1:10" ht="15" x14ac:dyDescent="0.25">
      <c r="A157" s="40">
        <v>153</v>
      </c>
      <c r="B157" s="62" t="s">
        <v>2808</v>
      </c>
      <c r="C157" s="62" t="s">
        <v>200</v>
      </c>
      <c r="D157" s="62" t="s">
        <v>2373</v>
      </c>
      <c r="E157" s="62" t="s">
        <v>2374</v>
      </c>
      <c r="F157" s="62">
        <v>70.938000000000002</v>
      </c>
      <c r="G157" s="62">
        <v>71.0578</v>
      </c>
      <c r="H157" s="62" t="s">
        <v>2809</v>
      </c>
      <c r="I157" s="62" t="s">
        <v>2810</v>
      </c>
      <c r="J157" s="62" t="s">
        <v>271</v>
      </c>
    </row>
    <row r="158" spans="1:10" ht="15" x14ac:dyDescent="0.25">
      <c r="A158" s="40">
        <v>154</v>
      </c>
      <c r="B158" s="62" t="s">
        <v>2811</v>
      </c>
      <c r="C158" s="62" t="s">
        <v>202</v>
      </c>
      <c r="D158" s="62" t="s">
        <v>2373</v>
      </c>
      <c r="E158" s="62" t="s">
        <v>2374</v>
      </c>
      <c r="F158" s="62">
        <v>71.660300000000007</v>
      </c>
      <c r="G158" s="62">
        <v>78.136799999999994</v>
      </c>
      <c r="H158" s="62" t="s">
        <v>2809</v>
      </c>
      <c r="I158" s="62" t="s">
        <v>2812</v>
      </c>
      <c r="J158" s="62" t="s">
        <v>271</v>
      </c>
    </row>
    <row r="159" spans="1:10" ht="15" x14ac:dyDescent="0.25">
      <c r="A159" s="40">
        <v>155</v>
      </c>
      <c r="B159" s="62" t="s">
        <v>2813</v>
      </c>
      <c r="C159" s="62" t="s">
        <v>204</v>
      </c>
      <c r="D159" s="62" t="s">
        <v>2373</v>
      </c>
      <c r="E159" s="62" t="s">
        <v>2374</v>
      </c>
      <c r="F159" s="62">
        <v>79.908000000000001</v>
      </c>
      <c r="G159" s="62">
        <v>84.471900000000005</v>
      </c>
      <c r="H159" s="62" t="s">
        <v>2814</v>
      </c>
      <c r="I159" s="62" t="s">
        <v>2815</v>
      </c>
      <c r="J159" s="62" t="s">
        <v>271</v>
      </c>
    </row>
    <row r="160" spans="1:10" ht="15" x14ac:dyDescent="0.25">
      <c r="A160" s="40">
        <v>156</v>
      </c>
      <c r="B160" s="62" t="s">
        <v>2816</v>
      </c>
      <c r="C160" s="62" t="s">
        <v>206</v>
      </c>
      <c r="D160" s="62" t="s">
        <v>2373</v>
      </c>
      <c r="E160" s="62" t="s">
        <v>2374</v>
      </c>
      <c r="F160" s="62">
        <v>75.626599999999996</v>
      </c>
      <c r="G160" s="62">
        <v>77.445999999999998</v>
      </c>
      <c r="H160" s="62" t="s">
        <v>2730</v>
      </c>
      <c r="I160" s="62" t="s">
        <v>2817</v>
      </c>
      <c r="J160" s="62" t="s">
        <v>271</v>
      </c>
    </row>
    <row r="161" spans="1:10" ht="15" x14ac:dyDescent="0.25">
      <c r="A161" s="40">
        <v>157</v>
      </c>
      <c r="B161" s="62" t="s">
        <v>2818</v>
      </c>
      <c r="C161" s="62" t="s">
        <v>208</v>
      </c>
      <c r="D161" s="62" t="s">
        <v>2373</v>
      </c>
      <c r="E161" s="62" t="s">
        <v>2374</v>
      </c>
      <c r="F161" s="62">
        <v>73.877799999999993</v>
      </c>
      <c r="G161" s="62">
        <v>79.057000000000002</v>
      </c>
      <c r="H161" s="62" t="s">
        <v>2819</v>
      </c>
      <c r="I161" s="62" t="s">
        <v>2820</v>
      </c>
      <c r="J161" s="62" t="s">
        <v>271</v>
      </c>
    </row>
    <row r="162" spans="1:10" ht="15" x14ac:dyDescent="0.25">
      <c r="A162" s="40">
        <v>158</v>
      </c>
      <c r="B162" s="62" t="s">
        <v>2821</v>
      </c>
      <c r="C162" s="62" t="s">
        <v>210</v>
      </c>
      <c r="D162" s="62" t="s">
        <v>2373</v>
      </c>
      <c r="E162" s="62" t="s">
        <v>2374</v>
      </c>
      <c r="F162" s="62">
        <v>59.820099999999996</v>
      </c>
      <c r="G162" s="62">
        <v>60.5032</v>
      </c>
      <c r="H162" s="62" t="s">
        <v>2546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2823</v>
      </c>
      <c r="C163" s="62" t="s">
        <v>212</v>
      </c>
      <c r="D163" s="62" t="s">
        <v>2373</v>
      </c>
      <c r="E163" s="62" t="s">
        <v>2374</v>
      </c>
      <c r="F163" s="62">
        <v>60.038800000000002</v>
      </c>
      <c r="G163" s="62">
        <v>64.823800000000006</v>
      </c>
      <c r="H163" s="62" t="s">
        <v>2439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2825</v>
      </c>
      <c r="C164" s="62" t="s">
        <v>214</v>
      </c>
      <c r="D164" s="62" t="s">
        <v>2373</v>
      </c>
      <c r="E164" s="62" t="s">
        <v>2374</v>
      </c>
      <c r="F164" s="62">
        <v>56.571800000000003</v>
      </c>
      <c r="G164" s="62">
        <v>58.481499999999997</v>
      </c>
      <c r="H164" s="62" t="s">
        <v>2482</v>
      </c>
      <c r="I164" s="62" t="s">
        <v>2826</v>
      </c>
      <c r="J164" s="62" t="s">
        <v>271</v>
      </c>
    </row>
    <row r="165" spans="1:10" ht="17.25" customHeight="1" x14ac:dyDescent="0.25">
      <c r="A165" s="15">
        <v>161</v>
      </c>
      <c r="B165" s="62" t="s">
        <v>2827</v>
      </c>
      <c r="C165" s="62" t="s">
        <v>12</v>
      </c>
      <c r="D165" s="62" t="s">
        <v>2373</v>
      </c>
      <c r="E165" s="62" t="s">
        <v>2374</v>
      </c>
      <c r="F165" s="62">
        <v>61.530700000000003</v>
      </c>
      <c r="G165" s="62">
        <v>63.929299999999998</v>
      </c>
      <c r="H165" s="62" t="s">
        <v>2828</v>
      </c>
      <c r="I165" s="62" t="s">
        <v>2829</v>
      </c>
      <c r="J165" s="62" t="s">
        <v>271</v>
      </c>
    </row>
    <row r="166" spans="1:10" ht="17.25" customHeight="1" x14ac:dyDescent="0.25">
      <c r="A166" s="15">
        <v>162</v>
      </c>
      <c r="B166" s="62" t="s">
        <v>2830</v>
      </c>
      <c r="C166" s="62" t="s">
        <v>13</v>
      </c>
      <c r="D166" s="62" t="s">
        <v>2373</v>
      </c>
      <c r="E166" s="62" t="s">
        <v>2374</v>
      </c>
      <c r="F166" s="62">
        <v>60.118899999999996</v>
      </c>
      <c r="G166" s="62">
        <v>64.826400000000007</v>
      </c>
      <c r="H166" s="62" t="s">
        <v>2547</v>
      </c>
      <c r="I166" s="62" t="s">
        <v>2831</v>
      </c>
      <c r="J166" s="62" t="s">
        <v>271</v>
      </c>
    </row>
    <row r="167" spans="1:10" ht="17.25" customHeight="1" x14ac:dyDescent="0.25">
      <c r="A167" s="15">
        <v>163</v>
      </c>
      <c r="B167" s="62" t="s">
        <v>2832</v>
      </c>
      <c r="C167" s="62" t="s">
        <v>218</v>
      </c>
      <c r="D167" s="62" t="s">
        <v>2373</v>
      </c>
      <c r="E167" s="62" t="s">
        <v>2374</v>
      </c>
      <c r="F167" s="62">
        <v>53.9724</v>
      </c>
      <c r="G167" s="62">
        <v>59.436599999999999</v>
      </c>
      <c r="H167" s="62" t="s">
        <v>2551</v>
      </c>
      <c r="I167" s="62" t="s">
        <v>2833</v>
      </c>
      <c r="J167" s="62" t="s">
        <v>271</v>
      </c>
    </row>
    <row r="168" spans="1:10" ht="17.25" customHeight="1" x14ac:dyDescent="0.25">
      <c r="A168" s="15">
        <v>164</v>
      </c>
      <c r="B168" s="62" t="s">
        <v>2834</v>
      </c>
      <c r="C168" s="62" t="s">
        <v>220</v>
      </c>
      <c r="D168" s="62" t="s">
        <v>2373</v>
      </c>
      <c r="E168" s="62" t="s">
        <v>2374</v>
      </c>
      <c r="F168" s="62">
        <v>55.855499999999999</v>
      </c>
      <c r="G168" s="62">
        <v>56.644100000000002</v>
      </c>
      <c r="H168" s="62" t="s">
        <v>2550</v>
      </c>
      <c r="I168" s="62" t="s">
        <v>2835</v>
      </c>
      <c r="J168" s="62" t="s">
        <v>271</v>
      </c>
    </row>
    <row r="169" spans="1:10" ht="17.25" customHeight="1" x14ac:dyDescent="0.25">
      <c r="A169" s="15">
        <v>165</v>
      </c>
      <c r="B169" s="62" t="s">
        <v>2836</v>
      </c>
      <c r="C169" s="62" t="s">
        <v>222</v>
      </c>
      <c r="D169" s="62" t="s">
        <v>2373</v>
      </c>
      <c r="E169" s="62" t="s">
        <v>2374</v>
      </c>
      <c r="F169" s="62">
        <v>55.316299999999998</v>
      </c>
      <c r="G169" s="62">
        <v>59.571100000000001</v>
      </c>
      <c r="H169" s="62" t="s">
        <v>2551</v>
      </c>
      <c r="I169" s="62" t="s">
        <v>2837</v>
      </c>
      <c r="J169" s="62" t="s">
        <v>271</v>
      </c>
    </row>
    <row r="170" spans="1:10" ht="17.25" customHeight="1" x14ac:dyDescent="0.25">
      <c r="A170" s="15">
        <v>166</v>
      </c>
      <c r="B170" s="62" t="s">
        <v>2838</v>
      </c>
      <c r="C170" s="62" t="s">
        <v>224</v>
      </c>
      <c r="D170" s="62" t="s">
        <v>2373</v>
      </c>
      <c r="E170" s="62" t="s">
        <v>2374</v>
      </c>
      <c r="F170" s="62">
        <v>54.3735</v>
      </c>
      <c r="G170" s="62">
        <v>62.3748</v>
      </c>
      <c r="H170" s="62" t="s">
        <v>2552</v>
      </c>
      <c r="I170" s="62" t="s">
        <v>2839</v>
      </c>
      <c r="J170" s="62" t="s">
        <v>271</v>
      </c>
    </row>
    <row r="171" spans="1:10" ht="17.25" customHeight="1" x14ac:dyDescent="0.25">
      <c r="A171" s="15">
        <v>167</v>
      </c>
      <c r="B171" s="62" t="s">
        <v>2840</v>
      </c>
      <c r="C171" s="62" t="s">
        <v>2101</v>
      </c>
      <c r="D171" s="62" t="s">
        <v>2373</v>
      </c>
      <c r="E171" s="62" t="s">
        <v>2374</v>
      </c>
      <c r="F171" s="62">
        <v>100</v>
      </c>
      <c r="G171" s="62">
        <v>105.9136</v>
      </c>
      <c r="H171" s="62" t="s">
        <v>2339</v>
      </c>
      <c r="I171" s="62" t="s">
        <v>2841</v>
      </c>
      <c r="J171" s="62" t="s">
        <v>271</v>
      </c>
    </row>
    <row r="172" spans="1:10" ht="17.25" customHeight="1" x14ac:dyDescent="0.25">
      <c r="A172" s="15">
        <v>168</v>
      </c>
      <c r="B172" s="62" t="s">
        <v>2842</v>
      </c>
      <c r="C172" s="62" t="s">
        <v>229</v>
      </c>
      <c r="D172" s="62" t="s">
        <v>2352</v>
      </c>
      <c r="E172" s="62" t="s">
        <v>2414</v>
      </c>
      <c r="F172" s="62">
        <v>100.1585</v>
      </c>
      <c r="G172" s="62">
        <v>107.25020000000001</v>
      </c>
      <c r="H172" s="62" t="s">
        <v>2469</v>
      </c>
      <c r="I172" s="62" t="s">
        <v>2843</v>
      </c>
      <c r="J172" s="62" t="s">
        <v>271</v>
      </c>
    </row>
    <row r="173" spans="1:10" ht="17.25" customHeight="1" x14ac:dyDescent="0.25">
      <c r="A173" s="15">
        <v>169</v>
      </c>
      <c r="B173" s="62" t="s">
        <v>2844</v>
      </c>
      <c r="C173" s="62" t="s">
        <v>2156</v>
      </c>
      <c r="D173" s="62" t="s">
        <v>2352</v>
      </c>
      <c r="E173" s="62" t="s">
        <v>2414</v>
      </c>
      <c r="F173" s="62">
        <v>99.963099999999997</v>
      </c>
      <c r="G173" s="62">
        <v>102.9575</v>
      </c>
      <c r="H173" s="62" t="s">
        <v>2415</v>
      </c>
      <c r="I173" s="62" t="s">
        <v>2845</v>
      </c>
      <c r="J173" s="62" t="s">
        <v>271</v>
      </c>
    </row>
    <row r="174" spans="1:10" ht="17.25" customHeight="1" x14ac:dyDescent="0.25">
      <c r="A174" s="15">
        <v>170</v>
      </c>
      <c r="B174" s="62" t="s">
        <v>2846</v>
      </c>
      <c r="C174" s="62" t="s">
        <v>2441</v>
      </c>
      <c r="D174" s="62" t="s">
        <v>2373</v>
      </c>
      <c r="E174" s="62" t="s">
        <v>2378</v>
      </c>
      <c r="F174" s="62">
        <v>99.229100000000003</v>
      </c>
      <c r="G174" s="62">
        <v>99.229100000000003</v>
      </c>
      <c r="H174" s="62" t="s">
        <v>2847</v>
      </c>
      <c r="I174" s="62" t="s">
        <v>2848</v>
      </c>
      <c r="J174" s="62" t="s">
        <v>271</v>
      </c>
    </row>
    <row r="175" spans="1:10" ht="17.25" customHeight="1" x14ac:dyDescent="0.25">
      <c r="A175" s="15">
        <v>171</v>
      </c>
      <c r="B175" s="62" t="s">
        <v>2849</v>
      </c>
      <c r="C175" s="62" t="s">
        <v>1589</v>
      </c>
      <c r="D175" s="62" t="s">
        <v>2352</v>
      </c>
      <c r="E175" s="62" t="s">
        <v>2379</v>
      </c>
      <c r="F175" s="63">
        <v>3417.422</v>
      </c>
      <c r="G175" s="63">
        <v>3417.422</v>
      </c>
      <c r="H175" s="62" t="s">
        <v>343</v>
      </c>
      <c r="I175" s="62" t="s">
        <v>2850</v>
      </c>
      <c r="J175" s="62" t="s">
        <v>2392</v>
      </c>
    </row>
    <row r="176" spans="1:10" ht="17.25" customHeight="1" x14ac:dyDescent="0.25">
      <c r="A176" s="15">
        <v>172</v>
      </c>
      <c r="B176" s="62" t="s">
        <v>2851</v>
      </c>
      <c r="C176" s="62" t="s">
        <v>431</v>
      </c>
      <c r="D176" s="62" t="s">
        <v>2352</v>
      </c>
      <c r="E176" s="62" t="s">
        <v>2380</v>
      </c>
      <c r="F176" s="62">
        <v>97.193299999999994</v>
      </c>
      <c r="G176" s="62">
        <v>97.865499999999997</v>
      </c>
      <c r="H176" s="62" t="s">
        <v>2852</v>
      </c>
      <c r="I176" s="62" t="s">
        <v>2853</v>
      </c>
      <c r="J176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88AC76E-88C2-45A5-B28A-D242FA897BA2}"/>
    <hyperlink ref="E5" r:id="rId2" display="https://kase.kz/ru/listing/issuers/AIRA" xr:uid="{4B157D74-A2B9-4DAA-B7AC-964CC0F4A504}"/>
    <hyperlink ref="B6" r:id="rId3" display="https://kase.kz/ru/investors/depts/AIRAd" xr:uid="{099D1A50-1ACA-4EDD-8A04-B2DE8D47FA71}"/>
    <hyperlink ref="E6" r:id="rId4" display="https://kase.kz/ru/listing/issuers/AIRA" xr:uid="{CF882698-B7E4-472E-AC34-C3D8876D6AC1}"/>
    <hyperlink ref="B7" r:id="rId5" display="https://kase.kz/ru/investors/shares/AKZM" xr:uid="{457621B3-A8B7-46CE-9963-D875AE1A4BFD}"/>
    <hyperlink ref="E7" r:id="rId6" display="https://kase.kz/ru/listing/issuers/AKZM" xr:uid="{88323E3D-9854-406F-BB47-505A669F0DEC}"/>
    <hyperlink ref="B8" r:id="rId7" display="https://kase.kz/ru/investors/bonds/ALMSb1" xr:uid="{EE10044E-3647-4299-B2C3-2F8A4FDED006}"/>
    <hyperlink ref="E8" r:id="rId8" display="https://kase.kz/ru/listing/issuers/ALMS" xr:uid="{E6810A48-5AC0-4056-A149-F89A966B7D62}"/>
    <hyperlink ref="B9" r:id="rId9" display="https://kase.kz/ru/investors/shares/ASBN" xr:uid="{6AF29D75-5D03-47B7-B29E-40135FEB28F4}"/>
    <hyperlink ref="E9" r:id="rId10" display="https://kase.kz/ru/listing/issuers/ASBN" xr:uid="{BE8ED242-9438-4BCC-9A5A-79B644CFE043}"/>
    <hyperlink ref="B10" r:id="rId11" display="https://kase.kz/ru/investors/bonds/ASKQb1" xr:uid="{AEAAB12B-0491-4856-BE4A-B74C0343E0FA}"/>
    <hyperlink ref="E10" r:id="rId12" display="https://kase.kz/ru/listing/issuers/ASKQ" xr:uid="{38EF9638-272D-485B-9EDA-F55B181D303B}"/>
    <hyperlink ref="B11" r:id="rId13" display="https://kase.kz/ru/investors/mifs/BCCIbe" xr:uid="{D66E9A38-801E-46DB-B111-7F22980B3A77}"/>
    <hyperlink ref="E11" r:id="rId14" display="https://kase.kz/ru/listing/issuers/BCCI" xr:uid="{D4BC6D86-60E2-44C8-BA4C-F9C92026757D}"/>
    <hyperlink ref="B12" r:id="rId15" display="https://kase.kz/ru/investors/mifs/BCCIrb" xr:uid="{2818B8D9-6143-4FBE-B737-7BD0A88D37F2}"/>
    <hyperlink ref="E12" r:id="rId16" display="https://kase.kz/ru/listing/issuers/BCCI" xr:uid="{088BCC06-3E2F-4F88-B8E7-1D2FAAAF6336}"/>
    <hyperlink ref="B13" r:id="rId17" display="https://kase.kz/ru/investors/bonds/BIGDb5" xr:uid="{870FCF84-2728-4086-B9C7-A3AF9F3C2DC7}"/>
    <hyperlink ref="E13" r:id="rId18" display="https://kase.kz/ru/listing/issuers/BIGD" xr:uid="{CECF84C2-BEE5-4982-8C6C-A94D92AA68BA}"/>
    <hyperlink ref="B14" r:id="rId19" display="https://kase.kz/ru/investors/bonds/BRKZe18" xr:uid="{DFAEB7E5-FCB9-45B1-9152-E04FCC09C723}"/>
    <hyperlink ref="E14" r:id="rId20" display="https://kase.kz/ru/listing/issuers/BRKZ" xr:uid="{B2178F42-0989-43FE-8405-34746A3D219D}"/>
    <hyperlink ref="B15" r:id="rId21" display="https://kase.kz/ru/investors/bonds/BRKZe4" xr:uid="{12957F3B-B714-4BF7-B859-501C43803E2D}"/>
    <hyperlink ref="E15" r:id="rId22" display="https://kase.kz/ru/listing/issuers/BRKZ" xr:uid="{F0D591A0-783C-4BD3-AD48-D032DE2C1B41}"/>
    <hyperlink ref="B16" r:id="rId23" display="https://kase.kz/ru/investors/bonds/BTRKe1" xr:uid="{1976402F-EC98-449F-9FD0-2F2E01F7D936}"/>
    <hyperlink ref="E16" r:id="rId24" display="https://kase.kz/ru/listing/issuers/BTRK" xr:uid="{C96423C3-74F4-459F-ADBF-A1D71A61EC0D}"/>
    <hyperlink ref="B17" r:id="rId25" display="https://kase.kz/ru/investors/shares/CCBN" xr:uid="{A632BD75-1636-4379-A2F0-30DBC7430441}"/>
    <hyperlink ref="E17" r:id="rId26" display="https://kase.kz/ru/listing/issuers/CCBN" xr:uid="{E1CE33F9-5526-4BA7-8012-78D12989CE87}"/>
    <hyperlink ref="B18" r:id="rId27" display="https://kase.kz/ru/investors/shares/CCBNp" xr:uid="{2535A358-5B5B-42DE-AEB0-DEA500583106}"/>
    <hyperlink ref="E18" r:id="rId28" display="https://kase.kz/ru/listing/issuers/CCBN" xr:uid="{6DAD8C87-731D-428A-B429-576F90785921}"/>
    <hyperlink ref="B19" r:id="rId29" display="https://kase.kz/ru/investors/mifs/CSECfe" xr:uid="{4CA545D0-E5A5-4F6E-AF68-0AC5BD527240}"/>
    <hyperlink ref="E19" r:id="rId30" display="https://kase.kz/ru/listing/issuers/CSEC" xr:uid="{9271E772-49AF-46A1-BBA6-7F51AD233CDF}"/>
    <hyperlink ref="B20" r:id="rId31" display="https://kase.kz/ru/investors/mifs/CSECtf" xr:uid="{3FC0CD37-1A00-4A9D-AB75-B35C56DD8C19}"/>
    <hyperlink ref="E20" r:id="rId32" display="https://kase.kz/ru/listing/issuers/CSEC" xr:uid="{33EAF72F-3334-4D22-B6B2-1E64C4805371}"/>
    <hyperlink ref="B21" r:id="rId33" display="https://kase.kz/ru/investors/bonds/EABRb40" xr:uid="{E76D6653-0408-4973-BB4D-493637621AE9}"/>
    <hyperlink ref="E21" r:id="rId34" display="https://kase.kz/ru/listing/issuers/EABR" xr:uid="{1F2AE293-9D2C-4066-8328-98EAAAF5F900}"/>
    <hyperlink ref="B22" r:id="rId35" display="https://kase.kz/ru/investors/bonds/EABRb42" xr:uid="{B6299D44-3A25-49A2-9964-7B324C272E13}"/>
    <hyperlink ref="E22" r:id="rId36" display="https://kase.kz/ru/listing/issuers/EABR" xr:uid="{B5A6D6CE-00B6-4058-9AE6-0CFA5818908C}"/>
    <hyperlink ref="B23" r:id="rId37" display="https://kase.kz/ru/investors/bonds/EABRb53" xr:uid="{6B96B174-F824-456D-A88A-D4FA37471B3E}"/>
    <hyperlink ref="E23" r:id="rId38" display="https://kase.kz/ru/listing/issuers/EABR" xr:uid="{9A1A5682-D955-48DB-90FD-8453805842C5}"/>
    <hyperlink ref="B24" r:id="rId39" display="https://kase.kz/ru/investors/mifs/FFIN_or" xr:uid="{169F8697-E8DA-42C3-8377-38405B9DD7BC}"/>
    <hyperlink ref="E24" r:id="rId40" display="https://kase.kz/ru/listing/issuers/FFIN" xr:uid="{72F2B2A3-EA44-45BF-97F8-4F18EBA2879E}"/>
    <hyperlink ref="B25" r:id="rId41" display="https://kase.kz/ru/investors/mifs/FFINgw" xr:uid="{A1C21033-8D3A-4CCA-914F-53DCC715E9E2}"/>
    <hyperlink ref="E25" r:id="rId42" display="https://kase.kz/ru/listing/issuers/FFIN" xr:uid="{890A9C82-3523-459F-8152-4A12ADACD041}"/>
    <hyperlink ref="B26" r:id="rId43" display="https://kase.kz/ru/investors/mifs/FHJIag" xr:uid="{D74D7ECA-625F-45DB-9E64-7016AB66B635}"/>
    <hyperlink ref="E26" r:id="rId44" display="https://kase.kz/ru/listing/issuers/FHJI" xr:uid="{A4EABD95-8D74-48A2-9610-EB56BEA20291}"/>
    <hyperlink ref="B27" r:id="rId45" display="https://kase.kz/ru/investors/mifs/FHJIpc" xr:uid="{5DFF7C77-54E8-40E7-A66A-24FE14F095C3}"/>
    <hyperlink ref="E27" r:id="rId46" display="https://kase.kz/ru/listing/issuers/FHJI" xr:uid="{BC9FF25A-5396-45B4-A0A3-7FE3CA7537DC}"/>
    <hyperlink ref="B28" r:id="rId47" display="https://kase.kz/ru/investors/bonds/HCBNb13" xr:uid="{DF983E62-11C6-4557-BABF-2535F87E842B}"/>
    <hyperlink ref="E28" r:id="rId48" display="https://kase.kz/ru/listing/issuers/HCBN" xr:uid="{E3E64776-913A-4F77-84EE-757E73B8DE32}"/>
    <hyperlink ref="B29" r:id="rId49" display="https://kase.kz/ru/investors/mifs/HFINhl" xr:uid="{901A15B4-820C-4ABA-946B-1256191570E6}"/>
    <hyperlink ref="E29" r:id="rId50" display="https://kase.kz/ru/listing/issuers/HFIN" xr:uid="{CCB6A7DE-6CF0-4527-A090-3D7CB1622AF8}"/>
    <hyperlink ref="B30" r:id="rId51" display="https://kase.kz/ru/investors/mifs/HFINhp" xr:uid="{4126FB6C-4B8D-45A6-981A-6F6BAE3F38B8}"/>
    <hyperlink ref="E30" r:id="rId52" display="https://kase.kz/ru/listing/issuers/HFIN" xr:uid="{326A5E35-D304-4625-8C14-97B3431914F5}"/>
    <hyperlink ref="B31" r:id="rId53" display="https://kase.kz/ru/investors/mifs/HFINhs" xr:uid="{EE4C4B65-813D-4E5F-A288-B9218AF3C0F9}"/>
    <hyperlink ref="E31" r:id="rId54" display="https://kase.kz/ru/listing/issuers/HFIN" xr:uid="{1A077838-ADD3-4972-9C9D-1152AAA830F5}"/>
    <hyperlink ref="B32" r:id="rId55" display="https://kase.kz/ru/investors/mifs/HFINhv" xr:uid="{4B50B64B-87E9-47A1-BD63-80C94082F510}"/>
    <hyperlink ref="E32" r:id="rId56" display="https://kase.kz/ru/listing/issuers/HFIN" xr:uid="{AF10541F-E148-41D3-808A-4F24C6835639}"/>
    <hyperlink ref="B33" r:id="rId57" display="https://kase.kz/ru/investors/shares/HSBK" xr:uid="{91039D52-85D3-46BB-ADCE-68C24408106E}"/>
    <hyperlink ref="E33" r:id="rId58" display="https://kase.kz/ru/listing/issuers/HSBK" xr:uid="{D0BC9887-7A34-464F-B602-CCB7081A1582}"/>
    <hyperlink ref="B34" r:id="rId59" display="https://kase.kz/ru/investors/depts/HSBKd" xr:uid="{3E8598CC-BBB2-4B76-9700-FA4CDFEBBD14}"/>
    <hyperlink ref="E34" r:id="rId60" display="https://kase.kz/ru/listing/issuers/HSBK" xr:uid="{6909F12F-93BD-46FB-9B36-B38C0D1F6D17}"/>
    <hyperlink ref="B35" r:id="rId61" display="https://kase.kz/ru/investors/shares/IFDR" xr:uid="{B831D9A6-DBBF-412A-89F4-75F0FF8D0AAD}"/>
    <hyperlink ref="E35" r:id="rId62" display="https://kase.kz/ru/listing/issuers/TCIB" xr:uid="{5F021EF1-F2F4-46CC-BBB8-38632389C5B2}"/>
    <hyperlink ref="B36" r:id="rId63" display="https://kase.kz/ru/investors/shares/KCEL" xr:uid="{59ABCE75-A455-43DD-A3BA-1A1CE1FBDF3F}"/>
    <hyperlink ref="E36" r:id="rId64" display="https://kase.kz/ru/listing/issuers/KCEL" xr:uid="{CA2CC3A2-F5FC-4F3B-B090-CAA6CCD8FBA1}"/>
    <hyperlink ref="B37" r:id="rId65" display="https://kase.kz/ru/investors/shares/KEGC" xr:uid="{BC80947D-07E6-4E5F-B7C0-4D3BD95628C2}"/>
    <hyperlink ref="E37" r:id="rId66" display="https://kase.kz/ru/listing/issuers/KEGC" xr:uid="{8F97F287-A651-4C92-88C1-73CA0861AE47}"/>
    <hyperlink ref="B38" r:id="rId67" display="https://kase.kz/ru/investors/bonds/KFUSb45" xr:uid="{3F9F2F7E-D9B6-4992-8C7C-D542F1B7FAB3}"/>
    <hyperlink ref="E38" r:id="rId68" display="https://kase.kz/ru/listing/issuers/KFUS" xr:uid="{C4445CC5-C140-411D-9D69-9ABBF7DB7745}"/>
    <hyperlink ref="B39" r:id="rId69" display="https://kase.kz/ru/investors/shares/KMGZ" xr:uid="{4A1BECB4-A6CE-404A-9C30-79AAA654CF87}"/>
    <hyperlink ref="E39" r:id="rId70" display="https://kase.kz/ru/listing/issuers/KMGZ" xr:uid="{D00A3A5C-2A05-4B7B-B601-D0E01F13C4AF}"/>
    <hyperlink ref="B40" r:id="rId71" display="https://kase.kz/ru/investors/bonds/KMGZe12" xr:uid="{FAAE097B-0C9B-471C-8DB5-7388AE5BB1EB}"/>
    <hyperlink ref="E40" r:id="rId72" display="https://kase.kz/ru/listing/issuers/KMGZ" xr:uid="{3F5646BB-5BC9-4ECC-941D-39B97E35E272}"/>
    <hyperlink ref="B41" r:id="rId73" display="https://kase.kz/ru/investors/bonds/KMGZe14" xr:uid="{1E4F5FDD-7AD1-4540-8BDA-F36C3E484691}"/>
    <hyperlink ref="E41" r:id="rId74" display="https://kase.kz/ru/listing/issuers/KMGZ" xr:uid="{66837638-7846-4742-938F-4C356CB43D37}"/>
    <hyperlink ref="B42" r:id="rId75" display="https://kase.kz/ru/investors/bonds/KMGZe15" xr:uid="{A8D32B96-8EE3-48B6-BE8B-0E41FED2DB86}"/>
    <hyperlink ref="E42" r:id="rId76" display="https://kase.kz/ru/listing/issuers/KMGZ" xr:uid="{A5B23E9B-AFC0-42B3-8342-0FCFB933509E}"/>
    <hyperlink ref="B43" r:id="rId77" display="https://kase.kz/ru/investors/bonds/KMGZe16" xr:uid="{8038EF11-A9E5-4153-9088-13F3D9CB1034}"/>
    <hyperlink ref="E43" r:id="rId78" display="https://kase.kz/ru/listing/issuers/KMGZ" xr:uid="{FCF5649E-D1A9-498C-ACE0-86FB296904DC}"/>
    <hyperlink ref="B44" r:id="rId79" display="https://kase.kz/ru/investors/shares/KSPI" xr:uid="{FE06AD72-3976-4BF2-BE86-96B5383AF86C}"/>
    <hyperlink ref="E44" r:id="rId80" display="https://kase.kz/ru/listing/issuers/KSPI" xr:uid="{8C4AB822-0C90-475F-B81E-1C8989AB3F0A}"/>
    <hyperlink ref="B45" r:id="rId81" display="https://kase.kz/ru/investors/depts/KSPId" xr:uid="{1E628C83-DB8E-4225-8DB4-6A638AEF9175}"/>
    <hyperlink ref="E45" r:id="rId82" display="https://kase.kz/ru/listing/issuers/KSPI" xr:uid="{84B36C43-C5EF-42A9-9EB6-A38E35B8A6BE}"/>
    <hyperlink ref="B46" r:id="rId83" display="https://kase.kz/ru/investors/shares/KZAP" xr:uid="{27F42153-3986-4F2F-A95C-50C74CC3F0F6}"/>
    <hyperlink ref="E46" r:id="rId84" display="https://kase.kz/ru/listing/issuers/KZAP" xr:uid="{D5671A10-84FF-469F-BA6C-CCFC5C52139D}"/>
    <hyperlink ref="B47" r:id="rId85" display="https://kase.kz/ru/investors/bonds/KZTCb3" xr:uid="{BFDC519A-3167-4F5C-92AD-CFC98565A263}"/>
    <hyperlink ref="E47" r:id="rId86" display="https://kase.kz/ru/listing/issuers/KZTC" xr:uid="{5962172D-A943-4A96-9B0B-4079ABD8D84D}"/>
    <hyperlink ref="B48" r:id="rId87" display="https://kase.kz/ru/investors/shares/KZTK" xr:uid="{7F3A250E-450C-49AC-8738-13C229E9DB92}"/>
    <hyperlink ref="E48" r:id="rId88" display="https://kase.kz/ru/listing/issuers/KZTK" xr:uid="{F72B75DF-48F5-49C7-8801-19E5C87D0E63}"/>
    <hyperlink ref="B49" r:id="rId89" display="https://kase.kz/ru/investors/shares/KZTKp" xr:uid="{CE2EA150-F469-4BD1-9367-2BFF5FB9A1A2}"/>
    <hyperlink ref="E49" r:id="rId90" display="https://kase.kz/ru/listing/issuers/KZTK" xr:uid="{7CCC81CC-6AFB-441A-98A3-03C4CF13AC35}"/>
    <hyperlink ref="B50" r:id="rId91" display="https://kase.kz/ru/investors/shares/KZTO" xr:uid="{3DA55FB8-3DC2-41A3-8B70-790D70B2E257}"/>
    <hyperlink ref="E50" r:id="rId92" display="https://kase.kz/ru/listing/issuers/KZTO" xr:uid="{A9AD886E-0763-41FA-BF39-0100A50038EE}"/>
    <hyperlink ref="B51" r:id="rId93" display="https://kase.kz/ru/investors/gsecs/KZ_23_3504" xr:uid="{6510C660-728F-4F30-9B4A-FDFA29E81055}"/>
    <hyperlink ref="E51" r:id="rId94" display="https://kase.kz/ru/listing/issuers/MFRK" xr:uid="{0A616A70-1B6E-4BA4-AA45-372B7F576221}"/>
    <hyperlink ref="B52" r:id="rId95" display="https://kase.kz/ru/investors/bonds/MFKTb4" xr:uid="{B460B223-3A98-4C29-B25F-651AFBDC4BAD}"/>
    <hyperlink ref="E52" r:id="rId96" display="https://kase.kz/ru/listing/issuers/MFKT" xr:uid="{A6B208F9-700F-4BBB-9415-C167845FE0CA}"/>
    <hyperlink ref="B53" r:id="rId97" display="https://kase.kz/ru/investors/bonds/MFMCb2" xr:uid="{ABCE4EC0-FBA0-46DA-AE2B-47B71BD85354}"/>
    <hyperlink ref="E53" r:id="rId98" display="https://kase.kz/ru/listing/issuers/MFMC" xr:uid="{1BE4F9A0-B603-4422-B3E0-BCFFC6FD9781}"/>
    <hyperlink ref="B54" r:id="rId99" display="https://kase.kz/ru/investors/bonds/MFMOb10" xr:uid="{6A1C2E6D-EF58-4992-BED9-A3459481273A}"/>
    <hyperlink ref="E54" r:id="rId100" display="https://kase.kz/ru/listing/issuers/MFMO" xr:uid="{B05020AD-ED15-4560-8B78-FF8BD1E40358}"/>
    <hyperlink ref="B55" r:id="rId101" display="https://kase.kz/ru/investors/bonds/MFMOb17" xr:uid="{E97FF585-59F9-4BF4-9159-308D7E1BAFFF}"/>
    <hyperlink ref="E55" r:id="rId102" display="https://kase.kz/ru/listing/issuers/MFMO" xr:uid="{EAF8B08A-67FD-4FCE-9CFD-EF42AC1A9859}"/>
    <hyperlink ref="B56" r:id="rId103" display="https://kase.kz/ru/investors/bonds/MFMOb23" xr:uid="{4882B18D-C412-44C6-8A42-FEE6B192C5B5}"/>
    <hyperlink ref="E56" r:id="rId104" display="https://kase.kz/ru/listing/issuers/MFMO" xr:uid="{04FEB43F-E5DF-449E-941D-5DF6C1BF05F6}"/>
    <hyperlink ref="B57" r:id="rId105" display="https://kase.kz/ru/investors/bonds/MFMOb25" xr:uid="{FF36CFB6-0A34-497F-8642-121613DC78EE}"/>
    <hyperlink ref="E57" r:id="rId106" display="https://kase.kz/ru/listing/issuers/MFMO" xr:uid="{0AB4E173-AD83-48C5-AD9F-5E74BD49E3E2}"/>
    <hyperlink ref="B58" r:id="rId107" display="https://kase.kz/ru/investors/bonds/MFMOb26" xr:uid="{F91B0386-0027-458A-8F40-0822B74E1C58}"/>
    <hyperlink ref="E58" r:id="rId108" display="https://kase.kz/ru/listing/issuers/MFMO" xr:uid="{CB39A685-17E4-4927-BA88-7F3F373FD0DD}"/>
    <hyperlink ref="B59" r:id="rId109" display="https://kase.kz/ru/investors/bonds/MFMOb27" xr:uid="{CEE9CB59-3F7E-49C3-AC2C-71E37F36B1DE}"/>
    <hyperlink ref="E59" r:id="rId110" display="https://kase.kz/ru/listing/issuers/MFMO" xr:uid="{D42BAAFD-0626-4872-BE18-34019AFCB319}"/>
    <hyperlink ref="B60" r:id="rId111" display="https://kase.kz/ru/investors/bonds/MFMOb28" xr:uid="{62C90EF6-91A5-4AE6-B6A9-C45F5D36C4A0}"/>
    <hyperlink ref="E60" r:id="rId112" display="https://kase.kz/ru/listing/issuers/MFMO" xr:uid="{E35CF471-A10F-459D-9339-4BA5A2F0D722}"/>
    <hyperlink ref="B61" r:id="rId113" display="https://kase.kz/ru/investors/bonds/MFOKb16" xr:uid="{46366F46-999E-4F1C-A721-7F599355046B}"/>
    <hyperlink ref="E61" r:id="rId114" display="https://kase.kz/ru/listing/issuers/MFOK" xr:uid="{E78A8770-8890-4136-9F11-FF01C7F07566}"/>
    <hyperlink ref="B62" r:id="rId115" display="https://kase.kz/ru/investors/bonds/MFOKb18" xr:uid="{8E7849B1-655B-42DF-AE66-0904F6539255}"/>
    <hyperlink ref="E62" r:id="rId116" display="https://kase.kz/ru/listing/issuers/MFOK" xr:uid="{62D4A16A-EB21-46A1-935D-3805A2419D09}"/>
    <hyperlink ref="B63" r:id="rId117" display="https://kase.kz/ru/investors/bonds/MFOKb19" xr:uid="{07AE628E-8C50-4F0D-968F-3996D8A32158}"/>
    <hyperlink ref="E63" r:id="rId118" display="https://kase.kz/ru/listing/issuers/MFOK" xr:uid="{4059EA90-CC08-4A87-AA4E-91CA3990C4C1}"/>
    <hyperlink ref="B64" r:id="rId119" display="https://kase.kz/ru/investors/bonds/MFOKb20" xr:uid="{1B2183F4-92E9-485C-B2C3-320C669F4E77}"/>
    <hyperlink ref="E64" r:id="rId120" display="https://kase.kz/ru/listing/issuers/MFOK" xr:uid="{6E0BC5C1-15D9-46E7-AA4D-D14667D6CCE2}"/>
    <hyperlink ref="B65" r:id="rId121" display="https://kase.kz/ru/investors/bonds/MFOKb21" xr:uid="{B3E4C235-DDE3-429A-8DA7-0096B8D36F59}"/>
    <hyperlink ref="E65" r:id="rId122" display="https://kase.kz/ru/listing/issuers/MFOK" xr:uid="{8CA555EF-A750-4857-A267-97CDDA06599B}"/>
    <hyperlink ref="B66" r:id="rId123" display="https://kase.kz/ru/investors/bonds/MFOKb22" xr:uid="{033C126A-639A-456F-A0A3-BECEE9B0D087}"/>
    <hyperlink ref="E66" r:id="rId124" display="https://kase.kz/ru/listing/issuers/MFOK" xr:uid="{DA18FC3A-A6A5-4811-B768-95E2231B98BB}"/>
    <hyperlink ref="B67" r:id="rId125" display="https://kase.kz/ru/investors/bonds/MFOKb24" xr:uid="{B1EC22D3-2580-4267-AB66-CD5BF6F8D8D2}"/>
    <hyperlink ref="E67" r:id="rId126" display="https://kase.kz/ru/listing/issuers/MFOK" xr:uid="{413633F4-25DD-4DA8-A6E3-AD329F000079}"/>
    <hyperlink ref="B68" r:id="rId127" display="https://kase.kz/ru/investors/bonds/MFOKb25" xr:uid="{FB022398-96EE-4879-AF31-CA24F2F9BD5F}"/>
    <hyperlink ref="E68" r:id="rId128" display="https://kase.kz/ru/listing/issuers/MFOK" xr:uid="{E3E3DDA0-D73E-4EB9-81A1-D39F0872F9EF}"/>
    <hyperlink ref="B69" r:id="rId129" display="https://kase.kz/ru/investors/bonds/MFOKb26" xr:uid="{190307D3-8F2A-4931-8021-273A49BF8835}"/>
    <hyperlink ref="E69" r:id="rId130" display="https://kase.kz/ru/listing/issuers/MFOK" xr:uid="{3B01FEAA-4F1A-4D15-8D32-9EB837377E6B}"/>
    <hyperlink ref="B70" r:id="rId131" display="https://kase.kz/ru/investors/bonds/MFRFb12" xr:uid="{8935989F-4C0B-4B5A-857D-3B67364306B5}"/>
    <hyperlink ref="E70" r:id="rId132" display="https://kase.kz/ru/listing/issuers/MFRF" xr:uid="{93E019D2-E0D2-4E4C-8B1D-42D451F2837E}"/>
    <hyperlink ref="B71" r:id="rId133" display="https://kase.kz/ru/investors/bonds/MFRFb13" xr:uid="{EE087FE6-B864-41D6-8980-CA7C07AEC21E}"/>
    <hyperlink ref="E71" r:id="rId134" display="https://kase.kz/ru/listing/issuers/MFRF" xr:uid="{65CF16B0-62D3-4979-A021-C4A6F6C32822}"/>
    <hyperlink ref="B72" r:id="rId135" display="https://kase.kz/ru/investors/bonds/MFRFb14" xr:uid="{796AC254-73E5-4C20-90F0-3EB93473820B}"/>
    <hyperlink ref="E72" r:id="rId136" display="https://kase.kz/ru/listing/issuers/MFRF" xr:uid="{96BE9116-6F4C-415B-8E5C-B4628D1C7BCD}"/>
    <hyperlink ref="B73" r:id="rId137" display="https://kase.kz/ru/investors/bonds/MFRFb16" xr:uid="{B414CB6E-7500-401B-BA04-AC61285E7A60}"/>
    <hyperlink ref="E73" r:id="rId138" display="https://kase.kz/ru/listing/issuers/MFRF" xr:uid="{3AE0BEF5-41A4-47A4-89D7-1D482CBC40CF}"/>
    <hyperlink ref="B74" r:id="rId139" display="https://kase.kz/ru/investors/bonds/MFRFb18" xr:uid="{82089DF2-367C-4339-898E-B9E23F23A0A5}"/>
    <hyperlink ref="E74" r:id="rId140" display="https://kase.kz/ru/listing/issuers/MFRF" xr:uid="{2D3DC000-D5BA-4462-B7D2-56C91C273A41}"/>
    <hyperlink ref="B75" r:id="rId141" display="https://kase.kz/ru/investors/bonds/MFRFb19" xr:uid="{C2642A29-8515-4753-9B31-719FFD05CC97}"/>
    <hyperlink ref="E75" r:id="rId142" display="https://kase.kz/ru/listing/issuers/MFRF" xr:uid="{70196648-1514-4107-8FA1-63E1ED7B4479}"/>
    <hyperlink ref="B76" r:id="rId143" display="https://kase.kz/ru/investors/bonds/MFRFb21" xr:uid="{1FB0EEBF-3EB9-47D2-9BDA-BA0F1C63F476}"/>
    <hyperlink ref="E76" r:id="rId144" display="https://kase.kz/ru/listing/issuers/MFRF" xr:uid="{8C6E1CEF-9F4B-4BA5-8C20-5FEF6FBA688B}"/>
    <hyperlink ref="B77" r:id="rId145" display="https://kase.kz/ru/investors/bonds/MFSLb11" xr:uid="{37FE4175-98F8-4B09-9C0F-38401D772D24}"/>
    <hyperlink ref="E77" r:id="rId146" display="https://kase.kz/ru/listing/issuers/MFSL" xr:uid="{B5D18803-BEE2-40C0-B9F3-E264CDDADEF5}"/>
    <hyperlink ref="B78" r:id="rId147" display="https://kase.kz/ru/investors/gsecs/MKM012_0159" xr:uid="{7FA0687F-9749-44C6-8A72-9F02C051872D}"/>
    <hyperlink ref="E78" r:id="rId148" display="https://kase.kz/ru/listing/issuers/MFRK" xr:uid="{EC476871-5D41-4BAE-8420-0682AD8DB933}"/>
    <hyperlink ref="B79" r:id="rId149" display="https://kase.kz/ru/investors/gsecs/MKM012_0160" xr:uid="{3A1DF72E-A928-42B7-8C52-D5ABB2760EEC}"/>
    <hyperlink ref="E79" r:id="rId150" display="https://kase.kz/ru/listing/issuers/MFRK" xr:uid="{A29E7583-C209-4C2E-BD94-495434937F87}"/>
    <hyperlink ref="B80" r:id="rId151" display="https://kase.kz/ru/investors/gsecs/MKM012_0161" xr:uid="{6680FFE6-D093-4788-9F94-131930FA5516}"/>
    <hyperlink ref="E80" r:id="rId152" display="https://kase.kz/ru/listing/issuers/MFRK" xr:uid="{1E5D793C-731C-46A9-932A-73C3EBC1F3D5}"/>
    <hyperlink ref="B81" r:id="rId153" display="https://kase.kz/ru/investors/gsecs/MOM048_0052" xr:uid="{8F920741-8D46-4E35-931B-1DCD9BC74C99}"/>
    <hyperlink ref="E81" r:id="rId154" display="https://kase.kz/ru/listing/issuers/MFRK" xr:uid="{E8A14AE7-99FE-4A7D-9CCB-5133E4067024}"/>
    <hyperlink ref="B82" r:id="rId155" display="https://kase.kz/ru/investors/gsecs/MOM048_0053" xr:uid="{2746A6B2-217A-41CC-A044-260685C22844}"/>
    <hyperlink ref="E82" r:id="rId156" display="https://kase.kz/ru/listing/issuers/MFRK" xr:uid="{D40F04C2-1E3B-4631-B36E-5C396EE1C0EB}"/>
    <hyperlink ref="B83" r:id="rId157" display="https://kase.kz/ru/investors/gsecs/MOM048_0054" xr:uid="{ABA88609-98B5-4789-91C9-85DED8FAB7B5}"/>
    <hyperlink ref="E83" r:id="rId158" display="https://kase.kz/ru/listing/issuers/MFRK" xr:uid="{27A1CABB-EAA4-493E-80C8-AA4FAC9C2D34}"/>
    <hyperlink ref="B84" r:id="rId159" display="https://kase.kz/ru/investors/gsecs/MOM048_0056" xr:uid="{AB950FDD-77F7-4872-BAE3-B1C9ACE7CB3C}"/>
    <hyperlink ref="E84" r:id="rId160" display="https://kase.kz/ru/listing/issuers/MFRK" xr:uid="{C7FFDEC4-8A5A-44CB-81EA-D5ED71ED39C4}"/>
    <hyperlink ref="B85" r:id="rId161" display="https://kase.kz/ru/investors/gsecs/MOM060_0052" xr:uid="{9FD3D8DB-45F4-48EB-B540-37A6854DA146}"/>
    <hyperlink ref="E85" r:id="rId162" display="https://kase.kz/ru/listing/issuers/MFRK" xr:uid="{BA5501F4-E14E-4592-8378-141169FDBEF2}"/>
    <hyperlink ref="B86" r:id="rId163" display="https://kase.kz/ru/investors/gsecs/MOM060_0054" xr:uid="{5CC30844-F17C-4F75-82D3-C1419E0CB070}"/>
    <hyperlink ref="E86" r:id="rId164" display="https://kase.kz/ru/listing/issuers/MFRK" xr:uid="{2E009176-E032-46AC-BB45-3A01248777A6}"/>
    <hyperlink ref="B87" r:id="rId165" display="https://kase.kz/ru/investors/gsecs/MTC048_0001" xr:uid="{5FA289F2-F72E-4F65-9956-0F50DCBBEDB4}"/>
    <hyperlink ref="E87" r:id="rId166" display="https://kase.kz/ru/listing/issuers/MFRK" xr:uid="{6671D05A-6D1B-4606-9DDF-522059AD402C}"/>
    <hyperlink ref="B88" r:id="rId167" display="https://kase.kz/ru/investors/gsecs/MTM048_0001" xr:uid="{072AC787-0A82-4468-A59A-41980674C809}"/>
    <hyperlink ref="E88" r:id="rId168" display="https://kase.kz/ru/listing/issuers/MFRK" xr:uid="{AEA0228B-808B-419B-A719-D2B9FBFB2A5A}"/>
    <hyperlink ref="B89" r:id="rId169" display="https://kase.kz/ru/investors/gsecs/MTM060_0001" xr:uid="{10138BC8-0E3E-4F44-BE44-4CFD2CCD523D}"/>
    <hyperlink ref="E89" r:id="rId170" display="https://kase.kz/ru/listing/issuers/MFRK" xr:uid="{4EAA7AE5-C72D-470B-9266-6AB15D94C722}"/>
    <hyperlink ref="B90" r:id="rId171" display="https://kase.kz/ru/investors/gsecs/MTM072_0001" xr:uid="{30C8FED3-A19C-4DB9-B1E4-8397A5CF3BF3}"/>
    <hyperlink ref="E90" r:id="rId172" display="https://kase.kz/ru/listing/issuers/MFRK" xr:uid="{6B75FBE8-EF90-4674-95C5-84074FC3D71B}"/>
    <hyperlink ref="B91" r:id="rId173" display="https://kase.kz/ru/investors/gsecs/MTM084_0001" xr:uid="{2A49D11E-5919-453C-8E6D-F77B1E81F2AC}"/>
    <hyperlink ref="E91" r:id="rId174" display="https://kase.kz/ru/listing/issuers/MFRK" xr:uid="{7051D644-75B4-4F7B-B6B8-67CF38950FEA}"/>
    <hyperlink ref="B92" r:id="rId175" display="https://kase.kz/ru/investors/gsecs/MTM096_0001" xr:uid="{8F81DB60-28A5-4B38-B9B4-CE749FF96765}"/>
    <hyperlink ref="E92" r:id="rId176" display="https://kase.kz/ru/listing/issuers/MFRK" xr:uid="{C291F8C6-3D41-4139-8E78-1261C9979E77}"/>
    <hyperlink ref="B93" r:id="rId177" display="https://kase.kz/ru/investors/gsecs/MUJ144_0005" xr:uid="{9A16BDFA-B31F-4B09-A0EE-2B6611A7126B}"/>
    <hyperlink ref="E93" r:id="rId178" display="https://kase.kz/ru/listing/issuers/MFRK" xr:uid="{7D14A641-E24F-46C1-A34C-656B24755751}"/>
    <hyperlink ref="B94" r:id="rId179" display="https://kase.kz/ru/investors/gsecs/MUJ156_0004" xr:uid="{C1315D87-626D-4B7F-B55A-174231E0BD69}"/>
    <hyperlink ref="E94" r:id="rId180" display="https://kase.kz/ru/listing/issuers/MFRK" xr:uid="{D0CB29A8-EF9B-4F36-9095-6BCBBC9B3E01}"/>
    <hyperlink ref="B95" r:id="rId181" display="https://kase.kz/ru/investors/gsecs/MUJ168_0004" xr:uid="{924F4D84-F4EE-47C8-9E5B-FFD8278D76E5}"/>
    <hyperlink ref="E95" r:id="rId182" display="https://kase.kz/ru/listing/issuers/MFRK" xr:uid="{F220C44B-8B1E-4980-AF1B-E3479BC4B1AD}"/>
    <hyperlink ref="B96" r:id="rId183" display="https://kase.kz/ru/investors/gsecs/MUJ168_0005" xr:uid="{4B8DE31C-2BC4-4F8D-8513-9CE4E421E30F}"/>
    <hyperlink ref="E96" r:id="rId184" display="https://kase.kz/ru/listing/issuers/MFRK" xr:uid="{93A6EB93-3145-433D-9CE2-1265B9184F5A}"/>
    <hyperlink ref="B97" r:id="rId185" display="https://kase.kz/ru/investors/gsecs/MUJ180_0007" xr:uid="{AECFCCA8-962A-4312-B7F5-578EB50B05E2}"/>
    <hyperlink ref="E97" r:id="rId186" display="https://kase.kz/ru/listing/issuers/MFRK" xr:uid="{72732F7D-CDC2-48D3-9A78-9FA571BAB7BD}"/>
    <hyperlink ref="B98" r:id="rId187" display="https://kase.kz/ru/investors/gsecs/MUJ180_0008" xr:uid="{4ACB13C6-8CB7-4EC2-9349-E2A150A0F99C}"/>
    <hyperlink ref="E98" r:id="rId188" display="https://kase.kz/ru/listing/issuers/MFRK" xr:uid="{E5A24B1F-675E-4CB4-A716-FA242EB8ACFA}"/>
    <hyperlink ref="B99" r:id="rId189" display="https://kase.kz/ru/investors/gsecs/MUJ192_0002" xr:uid="{4F5ABF92-33BB-4B37-A327-E2DFFB85DAF1}"/>
    <hyperlink ref="E99" r:id="rId190" display="https://kase.kz/ru/listing/issuers/MFRK" xr:uid="{BBCABB52-44C7-4365-B5B8-0AACC75DF9E7}"/>
    <hyperlink ref="B100" r:id="rId191" display="https://kase.kz/ru/investors/gsecs/MUJ192_0003" xr:uid="{26B98AF2-BE4B-455D-A804-E68822F908D2}"/>
    <hyperlink ref="E100" r:id="rId192" display="https://kase.kz/ru/listing/issuers/MFRK" xr:uid="{2C2E18F7-8D8F-488A-91F1-C4FB94C0E518}"/>
    <hyperlink ref="B101" r:id="rId193" display="https://kase.kz/ru/investors/gsecs/MUJ192_0004" xr:uid="{A6226956-87FD-4F54-BA34-3CA40B07715A}"/>
    <hyperlink ref="E101" r:id="rId194" display="https://kase.kz/ru/listing/issuers/MFRK" xr:uid="{924020DE-7721-45B2-95E6-ED800D32ADB1}"/>
    <hyperlink ref="B102" r:id="rId195" display="https://kase.kz/ru/investors/gsecs/MUJ204_0001" xr:uid="{339EEEF0-0399-423E-9F3A-CBF14D4242D2}"/>
    <hyperlink ref="E102" r:id="rId196" display="https://kase.kz/ru/listing/issuers/MFRK" xr:uid="{F2DBA884-02DC-46D3-8DDD-DED6AA7F1BC0}"/>
    <hyperlink ref="B103" r:id="rId197" display="https://kase.kz/ru/investors/gsecs/MUJ204_0002" xr:uid="{E1095078-A856-4D05-8C39-C83A3FEC37BA}"/>
    <hyperlink ref="E103" r:id="rId198" display="https://kase.kz/ru/listing/issuers/MFRK" xr:uid="{AAE826E7-B405-4C4D-8116-6F1A4ED57306}"/>
    <hyperlink ref="B104" r:id="rId199" display="https://kase.kz/ru/investors/gsecs/MUJ204_0003" xr:uid="{4BFF36AF-C091-45AA-94A9-3DBC9D04A644}"/>
    <hyperlink ref="E104" r:id="rId200" display="https://kase.kz/ru/listing/issuers/MFRK" xr:uid="{7BA143EC-1560-415F-BAA8-D21785208A6F}"/>
    <hyperlink ref="B105" r:id="rId201" display="https://kase.kz/ru/investors/gsecs/MUJ204_0004" xr:uid="{23CD78D3-CF2B-481A-9666-0FA2105EC1BC}"/>
    <hyperlink ref="E105" r:id="rId202" display="https://kase.kz/ru/listing/issuers/MFRK" xr:uid="{48D038AF-BF2A-419B-A592-017764DC12F4}"/>
    <hyperlink ref="B106" r:id="rId203" display="https://kase.kz/ru/investors/gsecs/MUJ204_0005" xr:uid="{A680EDFD-5C06-4E0E-BF05-E45C459D5653}"/>
    <hyperlink ref="E106" r:id="rId204" display="https://kase.kz/ru/listing/issuers/MFRK" xr:uid="{CE47A897-7BAD-43A7-9342-C89490A30F8B}"/>
    <hyperlink ref="B107" r:id="rId205" display="https://kase.kz/ru/investors/gsecs/MUJ204_0006" xr:uid="{B22DF904-1AB4-4B1E-A7D8-DB13BBCEAF09}"/>
    <hyperlink ref="E107" r:id="rId206" display="https://kase.kz/ru/listing/issuers/MFRK" xr:uid="{7AF93B56-0799-460F-8583-8BFA3A8B0A40}"/>
    <hyperlink ref="B108" r:id="rId207" display="https://kase.kz/ru/investors/gsecs/MUJ216_0001" xr:uid="{46B8C427-6437-48F3-ADA9-2D85BDDF77ED}"/>
    <hyperlink ref="E108" r:id="rId208" display="https://kase.kz/ru/listing/issuers/MFRK" xr:uid="{E7BD5571-20F4-48A7-AF3B-F2EDB4D3F5AA}"/>
    <hyperlink ref="B109" r:id="rId209" display="https://kase.kz/ru/investors/gsecs/MUJ216_0002" xr:uid="{E2155E3B-B9AA-482A-961D-941C477537EA}"/>
    <hyperlink ref="E109" r:id="rId210" display="https://kase.kz/ru/listing/issuers/MFRK" xr:uid="{0AB38998-8396-453F-8134-13338EAB1D92}"/>
    <hyperlink ref="B110" r:id="rId211" display="https://kase.kz/ru/investors/gsecs/MUJ216_0003" xr:uid="{DD11A5F9-0849-44BE-A255-42BD754FBE02}"/>
    <hyperlink ref="E110" r:id="rId212" display="https://kase.kz/ru/listing/issuers/MFRK" xr:uid="{73D0A8C3-8A6F-48D2-9B4C-2CC66D98F0F7}"/>
    <hyperlink ref="B111" r:id="rId213" display="https://kase.kz/ru/investors/gsecs/MUJ216_0004" xr:uid="{4CBF6125-0D0E-4E59-BC56-2ED5828F854D}"/>
    <hyperlink ref="E111" r:id="rId214" display="https://kase.kz/ru/listing/issuers/MFRK" xr:uid="{DE0E6CBB-DD9B-44F6-A35F-C1479C477344}"/>
    <hyperlink ref="B112" r:id="rId215" display="https://kase.kz/ru/investors/gsecs/MUJ216_0005" xr:uid="{A216892F-D78A-42AB-BC1F-90EF709B7702}"/>
    <hyperlink ref="E112" r:id="rId216" display="https://kase.kz/ru/listing/issuers/MFRK" xr:uid="{76C460D2-4BA7-43A2-87F8-8AAD7600B6D1}"/>
    <hyperlink ref="B113" r:id="rId217" display="https://kase.kz/ru/investors/gsecs/MUJ228_0001" xr:uid="{63A4ED82-9A60-4106-84AA-4B604217BA28}"/>
    <hyperlink ref="E113" r:id="rId218" display="https://kase.kz/ru/listing/issuers/MFRK" xr:uid="{5C71E44A-CA38-4C29-9BE4-1950AD7C5630}"/>
    <hyperlink ref="B114" r:id="rId219" display="https://kase.kz/ru/investors/gsecs/MUJ228_0002" xr:uid="{D64F9CA1-A613-42E4-89BE-B14C68D8169A}"/>
    <hyperlink ref="E114" r:id="rId220" display="https://kase.kz/ru/listing/issuers/MFRK" xr:uid="{04012E4D-B3CD-4266-AECB-159362169257}"/>
    <hyperlink ref="B115" r:id="rId221" display="https://kase.kz/ru/investors/gsecs/MUJ228_0003" xr:uid="{AD066DBF-B402-46FA-9D48-D81B2A95E48E}"/>
    <hyperlink ref="E115" r:id="rId222" display="https://kase.kz/ru/listing/issuers/MFRK" xr:uid="{B0EF12E4-C788-47CD-810C-F08894C2DC6D}"/>
    <hyperlink ref="B116" r:id="rId223" display="https://kase.kz/ru/investors/gsecs/MUJ228_0004" xr:uid="{17096C53-115C-4EBB-BE17-67E21F4BF43C}"/>
    <hyperlink ref="E116" r:id="rId224" display="https://kase.kz/ru/listing/issuers/MFRK" xr:uid="{770A9A60-EEC5-4047-931F-9FC184D18B20}"/>
    <hyperlink ref="B117" r:id="rId225" display="https://kase.kz/ru/investors/gsecs/MUJ228_0005" xr:uid="{C68E5A63-ACAA-4FCC-B00D-E284DD768843}"/>
    <hyperlink ref="E117" r:id="rId226" display="https://kase.kz/ru/listing/issuers/MFRK" xr:uid="{252355EA-AE54-49E8-B77E-3C0B93F1238D}"/>
    <hyperlink ref="B118" r:id="rId227" display="https://kase.kz/ru/investors/gsecs/MUJ228_0006" xr:uid="{78346E93-3DFA-49CB-BDAE-619488BB78FF}"/>
    <hyperlink ref="E118" r:id="rId228" display="https://kase.kz/ru/listing/issuers/MFRK" xr:uid="{C2645047-777A-40F0-BEA8-C3BF83932B20}"/>
    <hyperlink ref="B119" r:id="rId229" display="https://kase.kz/ru/investors/gsecs/MUJ240_0001" xr:uid="{640277CB-66D4-48E3-BD0A-BFE176000C7A}"/>
    <hyperlink ref="E119" r:id="rId230" display="https://kase.kz/ru/listing/issuers/MFRK" xr:uid="{EA52DE62-8E75-4808-A48E-FDB94BB56EA7}"/>
    <hyperlink ref="B120" r:id="rId231" display="https://kase.kz/ru/investors/gsecs/MUM072_0013" xr:uid="{F07E0024-0148-4C94-99F0-D0758789D79B}"/>
    <hyperlink ref="E120" r:id="rId232" display="https://kase.kz/ru/listing/issuers/MFRK" xr:uid="{C4179A2C-3584-4620-9B13-59B5979961C3}"/>
    <hyperlink ref="B121" r:id="rId233" display="https://kase.kz/ru/investors/gsecs/MUM072_0014" xr:uid="{3201036F-C4CF-429C-BD15-A23F3A8DD1A2}"/>
    <hyperlink ref="E121" r:id="rId234" display="https://kase.kz/ru/listing/issuers/MFRK" xr:uid="{B29C2ABD-0C50-42E3-A193-8195C9A7087C}"/>
    <hyperlink ref="B122" r:id="rId235" display="https://kase.kz/ru/investors/gsecs/MUM072_0015" xr:uid="{8233E9C8-C378-4A24-B1CE-CF0CF91B1800}"/>
    <hyperlink ref="E122" r:id="rId236" display="https://kase.kz/ru/listing/issuers/MFRK" xr:uid="{59E01818-1FE2-4881-9CF8-5AA6C70C3283}"/>
    <hyperlink ref="B123" r:id="rId237" display="https://kase.kz/ru/investors/gsecs/MUM084_0018" xr:uid="{75B4F11F-1274-425B-B7C4-C2C3BA82BC2D}"/>
    <hyperlink ref="E123" r:id="rId238" display="https://kase.kz/ru/listing/issuers/MFRK" xr:uid="{00B72729-D96C-4D40-B2CF-A7B9EDEEDE34}"/>
    <hyperlink ref="B124" r:id="rId239" display="https://kase.kz/ru/investors/gsecs/MUM084_0019" xr:uid="{D999213E-06A2-4B71-AB1D-F23AABEDC75D}"/>
    <hyperlink ref="E124" r:id="rId240" display="https://kase.kz/ru/listing/issuers/MFRK" xr:uid="{89255EC8-F031-4E45-A809-C9A752DD0D20}"/>
    <hyperlink ref="B125" r:id="rId241" display="https://kase.kz/ru/investors/gsecs/MUM084_0020" xr:uid="{BC55DDE2-A84F-4FF1-901F-FC34B6417CB2}"/>
    <hyperlink ref="E125" r:id="rId242" display="https://kase.kz/ru/listing/issuers/MFRK" xr:uid="{D1093B5A-5B29-4B11-9358-DB8A8A6BB003}"/>
    <hyperlink ref="B126" r:id="rId243" display="https://kase.kz/ru/investors/gsecs/MUM096_0011" xr:uid="{0701D320-B680-4DBE-AB48-0391DDBA3D1A}"/>
    <hyperlink ref="E126" r:id="rId244" display="https://kase.kz/ru/listing/issuers/MFRK" xr:uid="{285446F6-C560-46E4-B1AB-50EF08C54BEC}"/>
    <hyperlink ref="B127" r:id="rId245" display="https://kase.kz/ru/investors/gsecs/MUM096_0012" xr:uid="{A64C13C4-E45A-4763-A873-34E0C80D65FB}"/>
    <hyperlink ref="E127" r:id="rId246" display="https://kase.kz/ru/listing/issuers/MFRK" xr:uid="{1E114443-EA7F-4084-8738-205D121ECE57}"/>
    <hyperlink ref="B128" r:id="rId247" display="https://kase.kz/ru/investors/gsecs/MUM096_0013" xr:uid="{5E4D4E91-5C57-4047-9F5E-3139CB6AD78F}"/>
    <hyperlink ref="E128" r:id="rId248" display="https://kase.kz/ru/listing/issuers/MFRK" xr:uid="{8061F3FC-592E-4397-9849-B36B660DDF9F}"/>
    <hyperlink ref="B129" r:id="rId249" display="https://kase.kz/ru/investors/gsecs/MUM096_0014" xr:uid="{F82FD74F-EAE0-4977-8E3F-A689315931F7}"/>
    <hyperlink ref="E129" r:id="rId250" display="https://kase.kz/ru/listing/issuers/MFRK" xr:uid="{8CED1152-7A37-40B2-95BB-31515AADC7DE}"/>
    <hyperlink ref="B130" r:id="rId251" display="https://kase.kz/ru/investors/gsecs/MUM096_0015" xr:uid="{E178E688-E02C-41B9-9727-E9FC198F293E}"/>
    <hyperlink ref="E130" r:id="rId252" display="https://kase.kz/ru/listing/issuers/MFRK" xr:uid="{BDE481D4-7CD7-4364-947E-9AB181F6A7C5}"/>
    <hyperlink ref="B131" r:id="rId253" display="https://kase.kz/ru/investors/gsecs/MUM108_0012" xr:uid="{301F1E6A-3C0B-4ADE-9D20-EA9FA6CD385B}"/>
    <hyperlink ref="E131" r:id="rId254" display="https://kase.kz/ru/listing/issuers/MFRK" xr:uid="{BE954983-7A42-4381-998B-C2E2992F7A7C}"/>
    <hyperlink ref="B132" r:id="rId255" display="https://kase.kz/ru/investors/gsecs/MUM108_0013" xr:uid="{E1329B1E-E442-4834-B341-DCC27E20DF44}"/>
    <hyperlink ref="E132" r:id="rId256" display="https://kase.kz/ru/listing/issuers/MFRK" xr:uid="{76148F09-386C-4D84-9923-494A1907E390}"/>
    <hyperlink ref="B133" r:id="rId257" display="https://kase.kz/ru/investors/gsecs/MUM108_0014" xr:uid="{E6220577-CBBE-468A-8FEE-2E851D4E310E}"/>
    <hyperlink ref="E133" r:id="rId258" display="https://kase.kz/ru/listing/issuers/MFRK" xr:uid="{57E7D4BC-4F2A-4528-8D42-AF4979B0598B}"/>
    <hyperlink ref="B134" r:id="rId259" display="https://kase.kz/ru/investors/gsecs/MUM108_0015" xr:uid="{326518FA-4F69-4B9B-9AFA-2DA6DE704F8A}"/>
    <hyperlink ref="E134" r:id="rId260" display="https://kase.kz/ru/listing/issuers/MFRK" xr:uid="{EF7656CB-02C1-465A-B81B-DDD33C0EFB24}"/>
    <hyperlink ref="B135" r:id="rId261" display="https://kase.kz/ru/investors/gsecs/MUM120_0017" xr:uid="{FE82C575-E953-4CD5-A34D-2D333B6911E9}"/>
    <hyperlink ref="E135" r:id="rId262" display="https://kase.kz/ru/listing/issuers/MFRK" xr:uid="{6C0F118B-3ADD-4BED-B13E-462EA63DEFB3}"/>
    <hyperlink ref="B136" r:id="rId263" display="https://kase.kz/ru/investors/gsecs/MUM120_0018" xr:uid="{5DE19661-EE5A-42D1-9D66-331AA2362503}"/>
    <hyperlink ref="E136" r:id="rId264" display="https://kase.kz/ru/listing/issuers/MFRK" xr:uid="{D8F2C8E7-7062-4B2C-B483-ED1DF46DB227}"/>
    <hyperlink ref="B137" r:id="rId265" display="https://kase.kz/ru/investors/gsecs/MUM120_0019" xr:uid="{43784A9C-B4DE-478B-969A-AD09633218D5}"/>
    <hyperlink ref="E137" r:id="rId266" display="https://kase.kz/ru/listing/issuers/MFRK" xr:uid="{ACF99A80-93DF-43B3-B3FB-DDC83D1565F1}"/>
    <hyperlink ref="B138" r:id="rId267" display="https://kase.kz/ru/investors/gsecs/MUM120_0020" xr:uid="{9DD703FA-4CF0-4CE5-88EF-3DC7A336CDA1}"/>
    <hyperlink ref="E138" r:id="rId268" display="https://kase.kz/ru/listing/issuers/MFRK" xr:uid="{0559607F-1496-479C-92E2-6B3ABE96D8CC}"/>
    <hyperlink ref="B139" r:id="rId269" display="https://kase.kz/ru/investors/gsecs/MUM132_0007" xr:uid="{A9AD0D59-9D8F-41D1-B2C0-E8BC046C1EC5}"/>
    <hyperlink ref="E139" r:id="rId270" display="https://kase.kz/ru/listing/issuers/MFRK" xr:uid="{78CC1928-C8E6-41CB-B3EC-BD665AED1D1B}"/>
    <hyperlink ref="B140" r:id="rId271" display="https://kase.kz/ru/investors/gsecs/MUM144_0009" xr:uid="{30DF9153-7A90-4F48-B5E0-DE383864CF6C}"/>
    <hyperlink ref="E140" r:id="rId272" display="https://kase.kz/ru/listing/issuers/MFRK" xr:uid="{0486236C-A26F-4F68-9B0E-6825E85378F0}"/>
    <hyperlink ref="B141" r:id="rId273" display="https://kase.kz/ru/investors/gsecs/MUM156_0005" xr:uid="{6DFE7C43-8E5B-4078-96E8-201CD7D71BFF}"/>
    <hyperlink ref="E141" r:id="rId274" display="https://kase.kz/ru/listing/issuers/MFRK" xr:uid="{838A7F4D-2A7B-43E3-B199-F48AA88F52B9}"/>
    <hyperlink ref="B142" r:id="rId275" display="https://kase.kz/ru/investors/gsecs/MUM156_0006" xr:uid="{F17AB3B0-4D8A-4330-900C-A94F5B7DCEB0}"/>
    <hyperlink ref="E142" r:id="rId276" display="https://kase.kz/ru/listing/issuers/MFRK" xr:uid="{A0D90BD6-D14B-4E2B-9135-2762DC42CC44}"/>
    <hyperlink ref="B143" r:id="rId277" display="https://kase.kz/ru/investors/gsecs/MUM156_0007" xr:uid="{D8396B26-A716-4A33-813E-B2E4C37672AA}"/>
    <hyperlink ref="E143" r:id="rId278" display="https://kase.kz/ru/listing/issuers/MFRK" xr:uid="{EB3244DC-71F6-4B02-A3F0-45B085C97AE5}"/>
    <hyperlink ref="B144" r:id="rId279" display="https://kase.kz/ru/investors/gsecs/MUM156_0008" xr:uid="{4258327B-5D1F-403A-B5AD-8F24463E2003}"/>
    <hyperlink ref="E144" r:id="rId280" display="https://kase.kz/ru/listing/issuers/MFRK" xr:uid="{DFEEBB34-C2D7-410B-AB05-0D27E9EE833A}"/>
    <hyperlink ref="B145" r:id="rId281" display="https://kase.kz/ru/investors/gsecs/MUM168_0001" xr:uid="{F98FB295-06E0-4CD7-8DD8-2A92AF4C73B6}"/>
    <hyperlink ref="E145" r:id="rId282" display="https://kase.kz/ru/listing/issuers/MFRK" xr:uid="{59CC153D-0870-47F3-9377-35F0759E0501}"/>
    <hyperlink ref="B146" r:id="rId283" display="https://kase.kz/ru/investors/gsecs/MUM168_0002" xr:uid="{6A0A8FBC-3801-4467-99EA-1EDCB81D7E05}"/>
    <hyperlink ref="E146" r:id="rId284" display="https://kase.kz/ru/listing/issuers/MFRK" xr:uid="{470D24EC-DC1D-4582-969D-B298D4E8B512}"/>
    <hyperlink ref="B147" r:id="rId285" display="https://kase.kz/ru/investors/gsecs/MUM168_0003" xr:uid="{4A592EDF-5B52-43D0-A19B-3566C5DDDEC3}"/>
    <hyperlink ref="E147" r:id="rId286" display="https://kase.kz/ru/listing/issuers/MFRK" xr:uid="{AA59AC0F-5F32-466C-A314-DC30A805CF7C}"/>
    <hyperlink ref="B148" r:id="rId287" display="https://kase.kz/ru/investors/gsecs/MUM168_0005" xr:uid="{293606D8-3C91-4B7B-BD9A-74BC4DC3783D}"/>
    <hyperlink ref="E148" r:id="rId288" display="https://kase.kz/ru/listing/issuers/MFRK" xr:uid="{2A3F8EE2-9191-4C07-93B5-8C062061D5E7}"/>
    <hyperlink ref="B149" r:id="rId289" display="https://kase.kz/ru/investors/gsecs/MUM180_0003" xr:uid="{78385B7A-7113-4F03-A79F-2551F4A61DC2}"/>
    <hyperlink ref="E149" r:id="rId290" display="https://kase.kz/ru/listing/issuers/MFRK" xr:uid="{DDBB1AC8-50FE-4175-9169-FB3C73B0C22B}"/>
    <hyperlink ref="B150" r:id="rId291" display="https://kase.kz/ru/investors/gsecs/MUM180_0004" xr:uid="{9CD00AE0-B609-4192-BD3E-79B5D894703F}"/>
    <hyperlink ref="E150" r:id="rId292" display="https://kase.kz/ru/listing/issuers/MFRK" xr:uid="{86E5BE7C-88B0-45CA-A2C9-8A2556EA4101}"/>
    <hyperlink ref="B151" r:id="rId293" display="https://kase.kz/ru/investors/gsecs/MUM180_0005" xr:uid="{BCA48850-5BBD-40EF-97E8-E59E15BDD7B3}"/>
    <hyperlink ref="E151" r:id="rId294" display="https://kase.kz/ru/listing/issuers/MFRK" xr:uid="{ABA5153C-525E-45C6-B0ED-CF481C558737}"/>
    <hyperlink ref="B152" r:id="rId295" display="https://kase.kz/ru/investors/gsecs/MUM180_0006" xr:uid="{1AF3192C-15A2-4FF1-8C88-9CCF9E4A024E}"/>
    <hyperlink ref="E152" r:id="rId296" display="https://kase.kz/ru/listing/issuers/MFRK" xr:uid="{DAFA7D2F-15C7-4FF9-BFF2-AF256309E621}"/>
    <hyperlink ref="B153" r:id="rId297" display="https://kase.kz/ru/investors/gsecs/MUM180_0007" xr:uid="{92A3CF74-2408-4AD9-BC84-4DF11BD55DE3}"/>
    <hyperlink ref="E153" r:id="rId298" display="https://kase.kz/ru/listing/issuers/MFRK" xr:uid="{3800F17A-BFDF-4512-9B21-ABD7328AABE9}"/>
    <hyperlink ref="B154" r:id="rId299" display="https://kase.kz/ru/investors/gsecs/MUM180_0008" xr:uid="{8F0380B6-D209-4FF1-B40F-9FAD7FADC4B5}"/>
    <hyperlink ref="E154" r:id="rId300" display="https://kase.kz/ru/listing/issuers/MFRK" xr:uid="{99D21495-76A2-4E23-B1DD-7531CC9DCBB6}"/>
    <hyperlink ref="B155" r:id="rId301" display="https://kase.kz/ru/investors/gsecs/MUM180_0009" xr:uid="{68FC88D7-23E6-469E-9C1A-F851BDA14A98}"/>
    <hyperlink ref="E155" r:id="rId302" display="https://kase.kz/ru/listing/issuers/MFRK" xr:uid="{D9A8B6DD-15B8-49A7-A067-D734EC6D7C01}"/>
    <hyperlink ref="B156" r:id="rId303" display="https://kase.kz/ru/investors/gsecs/MUM180_0011" xr:uid="{C2D9FADD-926C-4075-AA87-5C98C050C6F3}"/>
    <hyperlink ref="E156" r:id="rId304" display="https://kase.kz/ru/listing/issuers/MFRK" xr:uid="{093C05FA-14D9-4AF8-9919-EA3B66BD9EF9}"/>
    <hyperlink ref="B157" r:id="rId305" display="https://kase.kz/ru/investors/gsecs/MUM180_0012" xr:uid="{E33825CE-699B-4798-9779-F5A083F0FB0E}"/>
    <hyperlink ref="E157" r:id="rId306" display="https://kase.kz/ru/listing/issuers/MFRK" xr:uid="{264ED496-6F27-4E80-A334-E8C7300095F8}"/>
    <hyperlink ref="B158" r:id="rId307" display="https://kase.kz/ru/investors/gsecs/MUM180_0013" xr:uid="{FDFC7C9F-4244-4865-86AD-DEE278F5253B}"/>
    <hyperlink ref="E158" r:id="rId308" display="https://kase.kz/ru/listing/issuers/MFRK" xr:uid="{2050628C-8BC6-450F-A514-F65F4247C23F}"/>
    <hyperlink ref="B159" r:id="rId309" display="https://kase.kz/ru/investors/gsecs/MUM180_0014" xr:uid="{37DB5B81-1D53-4202-A21D-DAD4A2A93CB2}"/>
    <hyperlink ref="E159" r:id="rId310" display="https://kase.kz/ru/listing/issuers/MFRK" xr:uid="{46AC04C7-FE19-4557-81E4-2EA904FD99CA}"/>
    <hyperlink ref="B160" r:id="rId311" display="https://kase.kz/ru/investors/gsecs/MUM180_0015" xr:uid="{C65FB2C0-724A-4EC4-A4F9-063E7CB1DA9A}"/>
    <hyperlink ref="E160" r:id="rId312" display="https://kase.kz/ru/listing/issuers/MFRK" xr:uid="{4D32663C-600F-48F3-B2FE-37D53F478024}"/>
    <hyperlink ref="B161" r:id="rId313" display="https://kase.kz/ru/investors/gsecs/MUM180_0016" xr:uid="{D1DC1E28-F3E2-4483-A11D-5DDDC01FBD2F}"/>
    <hyperlink ref="E161" r:id="rId314" display="https://kase.kz/ru/listing/issuers/MFRK" xr:uid="{D5207602-0B46-4FC9-BDAE-CA2A8960E8BB}"/>
    <hyperlink ref="B162" r:id="rId315" display="https://kase.kz/ru/investors/gsecs/MUM192_0001" xr:uid="{220A8AD7-0FDC-4900-ABA1-B02990E616D3}"/>
    <hyperlink ref="E162" r:id="rId316" display="https://kase.kz/ru/listing/issuers/MFRK" xr:uid="{C0FA88D0-1B8A-4269-B633-C20D83D9973D}"/>
    <hyperlink ref="B163" r:id="rId317" display="https://kase.kz/ru/investors/gsecs/MUM192_0002" xr:uid="{8A28EDDC-7A22-4F22-9E9E-19D30E132929}"/>
    <hyperlink ref="E163" r:id="rId318" display="https://kase.kz/ru/listing/issuers/MFRK" xr:uid="{1F5BF9CA-C7E1-42AE-99BF-91E3E5D839DC}"/>
    <hyperlink ref="B164" r:id="rId319" display="https://kase.kz/ru/investors/gsecs/MUM192_0003" xr:uid="{34E883E2-CC59-4A50-A806-51DA934C4A8F}"/>
    <hyperlink ref="E164" r:id="rId320" display="https://kase.kz/ru/listing/issuers/MFRK" xr:uid="{8486664F-3A24-4768-A00B-2E9A981A4E7B}"/>
    <hyperlink ref="B165" r:id="rId321" display="https://kase.kz/ru/investors/gsecs/MUM216_0001" xr:uid="{0ACBCB10-E5F0-4576-A0CF-D70C6A9033C5}"/>
    <hyperlink ref="E165" r:id="rId322" display="https://kase.kz/ru/listing/issuers/MFRK" xr:uid="{86E59D96-2BEC-4B95-9556-1F803D66C6EC}"/>
    <hyperlink ref="B166" r:id="rId323" display="https://kase.kz/ru/investors/gsecs/MUM216_0002" xr:uid="{3554385A-B188-4F95-856B-32256AB02C11}"/>
    <hyperlink ref="E166" r:id="rId324" display="https://kase.kz/ru/listing/issuers/MFRK" xr:uid="{6302B94B-EEE4-4F06-9F25-AC15AFD4E0E3}"/>
    <hyperlink ref="B167" r:id="rId325" display="https://kase.kz/ru/investors/gsecs/MUM240_0001" xr:uid="{F0534052-66AE-4E24-AC18-394E70D2889E}"/>
    <hyperlink ref="E167" r:id="rId326" display="https://kase.kz/ru/listing/issuers/MFRK" xr:uid="{8559FC25-3DD3-4916-A99C-84B30D1E951B}"/>
    <hyperlink ref="B168" r:id="rId327" display="https://kase.kz/ru/investors/gsecs/MUM240_0002" xr:uid="{64611484-59B8-4C0B-BFE8-ACCE72528507}"/>
    <hyperlink ref="E168" r:id="rId328" display="https://kase.kz/ru/listing/issuers/MFRK" xr:uid="{9BFA57F5-7F0D-404F-95C6-5CEB8DD4AC92}"/>
    <hyperlink ref="B169" r:id="rId329" display="https://kase.kz/ru/investors/gsecs/MUM240_0004" xr:uid="{87215FCD-8143-4F67-817B-E6DA0B7CFA36}"/>
    <hyperlink ref="E169" r:id="rId330" display="https://kase.kz/ru/listing/issuers/MFRK" xr:uid="{F3A40588-0531-4B50-A351-62372A73BB47}"/>
    <hyperlink ref="B170" r:id="rId331" display="https://kase.kz/ru/investors/gsecs/MUM300_0001" xr:uid="{CF1E2EC9-9369-41DA-8E51-EC65D6BF868E}"/>
    <hyperlink ref="E170" r:id="rId332" display="https://kase.kz/ru/listing/issuers/MFRK" xr:uid="{6917181D-EDF7-48CB-A5A8-0AB30B427BDA}"/>
    <hyperlink ref="B171" r:id="rId333" display="https://kase.kz/ru/investors/gsecs/MUM300_0002" xr:uid="{DA3EBF3A-0C55-4560-86E1-0F90683EC4D7}"/>
    <hyperlink ref="E171" r:id="rId334" display="https://kase.kz/ru/listing/issuers/MFRK" xr:uid="{381FDC1A-F315-4E2D-9CC0-73665F0D70AB}"/>
    <hyperlink ref="B172" r:id="rId335" display="https://kase.kz/ru/investors/gsecs/MUM300_0003" xr:uid="{C8E4CF31-DFF7-4BD2-8D01-0CB0C298BCDD}"/>
    <hyperlink ref="E172" r:id="rId336" display="https://kase.kz/ru/listing/issuers/MFRK" xr:uid="{CF509E97-1865-4B97-B353-A5173ACA1398}"/>
    <hyperlink ref="B173" r:id="rId337" display="https://kase.kz/ru/investors/gsecs/MUM360_0001" xr:uid="{9B4E441B-B685-44AA-9C7A-E81635B53172}"/>
    <hyperlink ref="E173" r:id="rId338" display="https://kase.kz/ru/listing/issuers/MFRK" xr:uid="{E9A155B7-CED1-47D8-B21A-5FF0C9E05B80}"/>
    <hyperlink ref="B174" r:id="rId339" display="https://kase.kz/ru/investors/gsecs/MUX072_0003" xr:uid="{9B6A7C2C-E654-4419-B32D-188E92DEAB3D}"/>
    <hyperlink ref="E174" r:id="rId340" display="https://kase.kz/ru/listing/issuers/MFRK" xr:uid="{E2BC86C7-CB71-4F66-80E7-6C6DCB8873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7051.0174500000012</v>
      </c>
      <c r="G5" s="116">
        <v>7051.0174500000012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123902.20980000003</v>
      </c>
      <c r="G6" s="120">
        <v>123902.20980000003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101.2396</v>
      </c>
      <c r="H7" s="116">
        <v>4.2300000000000004</v>
      </c>
      <c r="I7" s="113">
        <v>375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100.0885</v>
      </c>
      <c r="H8" s="116">
        <v>0.35</v>
      </c>
      <c r="I8" s="113">
        <v>269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100.0185</v>
      </c>
      <c r="H9" s="118">
        <v>0.02</v>
      </c>
      <c r="I9" s="121">
        <v>3091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101.0844</v>
      </c>
      <c r="H10" s="118">
        <v>6.08</v>
      </c>
      <c r="I10" s="121">
        <v>1706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105.95610000000001</v>
      </c>
      <c r="H11" s="118">
        <v>7.08</v>
      </c>
      <c r="I11" s="121">
        <v>2188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100.2542</v>
      </c>
      <c r="H12" s="118">
        <v>6.09</v>
      </c>
      <c r="I12" s="121">
        <v>2115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105.20189999999999</v>
      </c>
      <c r="H13" s="118">
        <v>6.09</v>
      </c>
      <c r="I13" s="121">
        <v>2543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105.20189999999999</v>
      </c>
      <c r="H14" s="118">
        <v>6.09</v>
      </c>
      <c r="I14" s="121">
        <v>2543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70262.86470000002</v>
      </c>
      <c r="G15" s="116">
        <v>70262.86470000002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97.392510403084017</v>
      </c>
      <c r="G16" s="116">
        <v>99.992510403084012</v>
      </c>
      <c r="H16" s="116">
        <v>21.2</v>
      </c>
      <c r="I16" s="113">
        <v>672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60391.977900000013</v>
      </c>
      <c r="G19" s="116">
        <v>60391.977900000013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96.741</v>
      </c>
      <c r="G20" s="120">
        <v>97.895499999999998</v>
      </c>
      <c r="H20" s="118">
        <v>3.9</v>
      </c>
      <c r="I20" s="121">
        <v>1667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94.605000000000004</v>
      </c>
      <c r="G21" s="120">
        <v>95.639700000000005</v>
      </c>
      <c r="H21" s="118">
        <v>3.94</v>
      </c>
      <c r="I21" s="121">
        <v>1471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94.992226695409343</v>
      </c>
      <c r="G22" s="120">
        <v>97.931126695409347</v>
      </c>
      <c r="H22" s="118">
        <v>18.93</v>
      </c>
      <c r="I22" s="121">
        <v>268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91.871529462537666</v>
      </c>
      <c r="G23" s="120">
        <v>96.022229462537666</v>
      </c>
      <c r="H23" s="118">
        <v>19.149999999999999</v>
      </c>
      <c r="I23" s="121">
        <v>401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74.59867552356522</v>
      </c>
      <c r="G24" s="120">
        <v>74.68827552356521</v>
      </c>
      <c r="H24" s="118">
        <v>18.82</v>
      </c>
      <c r="I24" s="121">
        <v>1797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86.387902435954587</v>
      </c>
      <c r="G25" s="120">
        <v>89.679602435954578</v>
      </c>
      <c r="H25" s="118">
        <v>18.760000000000002</v>
      </c>
      <c r="I25" s="121">
        <v>2261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57.308806856524619</v>
      </c>
      <c r="G26" s="120">
        <v>63.264906856524618</v>
      </c>
      <c r="H26" s="118">
        <v>19.600000000000001</v>
      </c>
      <c r="I26" s="121">
        <v>2218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73.781138252460991</v>
      </c>
      <c r="G27" s="120">
        <v>75.953338252460981</v>
      </c>
      <c r="H27" s="118">
        <v>18.739999999999998</v>
      </c>
      <c r="I27" s="121">
        <v>2272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96.309811317595603</v>
      </c>
      <c r="G28" s="120">
        <v>98.915411317595598</v>
      </c>
      <c r="H28" s="118">
        <v>19</v>
      </c>
      <c r="I28" s="121">
        <v>293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100</v>
      </c>
      <c r="H30" s="118">
        <v>4.24</v>
      </c>
      <c r="I30" s="121">
        <v>300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100.11960000000001</v>
      </c>
      <c r="H31" s="118">
        <v>0.35</v>
      </c>
      <c r="I31" s="121">
        <v>57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100.0797</v>
      </c>
      <c r="H32" s="118">
        <v>0.35</v>
      </c>
      <c r="I32" s="121">
        <v>278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100.0894</v>
      </c>
      <c r="H33" s="118">
        <v>0.35</v>
      </c>
      <c r="I33" s="121">
        <v>628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100.014</v>
      </c>
      <c r="H34" s="118">
        <v>0.02</v>
      </c>
      <c r="I34" s="121">
        <v>3091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100.0039</v>
      </c>
      <c r="H35" s="118">
        <v>0.02</v>
      </c>
      <c r="I35" s="121">
        <v>3091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744.71376131086595</v>
      </c>
      <c r="G36" s="120">
        <v>744.71376131086595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3037.6095000000005</v>
      </c>
      <c r="G37" s="120">
        <v>3037.6095000000005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112571.3628</v>
      </c>
      <c r="G38" s="120">
        <v>112571.3628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100</v>
      </c>
      <c r="H40" s="116">
        <v>4.24</v>
      </c>
      <c r="I40" s="113">
        <v>300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100.08750000000001</v>
      </c>
      <c r="H41" s="116">
        <v>0.35</v>
      </c>
      <c r="I41" s="113">
        <v>90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100.0885</v>
      </c>
      <c r="H42" s="118">
        <v>0.35</v>
      </c>
      <c r="I42" s="121">
        <v>269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100.0574</v>
      </c>
      <c r="H43" s="118">
        <v>0.35</v>
      </c>
      <c r="I43" s="121">
        <v>661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101.0844</v>
      </c>
      <c r="H45" s="118">
        <v>6.08</v>
      </c>
      <c r="I45" s="121">
        <v>1706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105.95610000000001</v>
      </c>
      <c r="H46" s="118">
        <v>7.08</v>
      </c>
      <c r="I46" s="121">
        <v>2188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100.2542</v>
      </c>
      <c r="H47" s="116">
        <v>6.09</v>
      </c>
      <c r="I47" s="113">
        <v>2115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105.20189999999999</v>
      </c>
      <c r="H48" s="116">
        <v>6.09</v>
      </c>
      <c r="I48" s="113">
        <v>2543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105.20189999999999</v>
      </c>
      <c r="H49" s="116">
        <v>6.09</v>
      </c>
      <c r="I49" s="113">
        <v>2543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104.0667</v>
      </c>
      <c r="H50" s="116">
        <v>6.08</v>
      </c>
      <c r="I50" s="113">
        <v>2610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98.639848056545361</v>
      </c>
      <c r="G54" s="120">
        <v>100.87874805654536</v>
      </c>
      <c r="H54" s="118">
        <v>26.7</v>
      </c>
      <c r="I54" s="121">
        <v>959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92.51985189026216</v>
      </c>
      <c r="G56" s="120">
        <v>96.222651890262156</v>
      </c>
      <c r="H56" s="118">
        <v>18.16</v>
      </c>
      <c r="I56" s="121">
        <v>416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101.80629999999999</v>
      </c>
      <c r="H57" s="118">
        <v>4.24</v>
      </c>
      <c r="I57" s="121">
        <v>327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100.0001</v>
      </c>
      <c r="H58" s="118">
        <v>0.02</v>
      </c>
      <c r="I58" s="121">
        <v>3091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104.8319</v>
      </c>
      <c r="H59" s="118">
        <v>7.05</v>
      </c>
      <c r="I59" s="121">
        <v>2188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101.0844</v>
      </c>
      <c r="H60" s="116">
        <v>6.08</v>
      </c>
      <c r="I60" s="113">
        <v>1706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105.95610000000001</v>
      </c>
      <c r="H61" s="116">
        <v>7.08</v>
      </c>
      <c r="I61" s="113">
        <v>2188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100.2542</v>
      </c>
      <c r="H62" s="118">
        <v>6.09</v>
      </c>
      <c r="I62" s="121">
        <v>2115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105.20189999999999</v>
      </c>
      <c r="H63" s="118">
        <v>6.09</v>
      </c>
      <c r="I63" s="121">
        <v>2543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105.20189999999999</v>
      </c>
      <c r="H64" s="118">
        <v>6.09</v>
      </c>
      <c r="I64" s="121">
        <v>2543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104.0667</v>
      </c>
      <c r="H65" s="118">
        <v>6.08</v>
      </c>
      <c r="I65" s="121">
        <v>2610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88.678276771590134</v>
      </c>
      <c r="G66" s="120">
        <v>90.449076771590143</v>
      </c>
      <c r="H66" s="118">
        <v>29.35</v>
      </c>
      <c r="I66" s="121">
        <v>2495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101.32828620040038</v>
      </c>
      <c r="G68" s="120">
        <v>102.72828620040039</v>
      </c>
      <c r="H68" s="118">
        <v>7.37</v>
      </c>
      <c r="I68" s="121">
        <v>837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90136.35765000002</v>
      </c>
      <c r="G71" s="120">
        <v>90136.35765000002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123722.10375000002</v>
      </c>
      <c r="G75" s="120">
        <v>123722.10375000002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91.364005988329382</v>
      </c>
      <c r="G77" s="120">
        <v>100.92650598832938</v>
      </c>
      <c r="H77" s="118">
        <v>28.41</v>
      </c>
      <c r="I77" s="121">
        <v>2385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92.577725173346224</v>
      </c>
      <c r="G78" s="120">
        <v>97.561025173346223</v>
      </c>
      <c r="H78" s="118">
        <v>28.39</v>
      </c>
      <c r="I78" s="121">
        <v>2631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92.523958908911538</v>
      </c>
      <c r="G79" s="120">
        <v>101.26285890891154</v>
      </c>
      <c r="H79" s="118">
        <v>28.38</v>
      </c>
      <c r="I79" s="121">
        <v>2759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101.0844</v>
      </c>
      <c r="H81" s="118">
        <v>6.08</v>
      </c>
      <c r="I81" s="121">
        <v>1706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105.95610000000001</v>
      </c>
      <c r="H82" s="116">
        <v>7.08</v>
      </c>
      <c r="I82" s="113">
        <v>2188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100.2542</v>
      </c>
      <c r="H83" s="116">
        <v>6.09</v>
      </c>
      <c r="I83" s="113">
        <v>2115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105.20189999999999</v>
      </c>
      <c r="H84" s="116">
        <v>6.09</v>
      </c>
      <c r="I84" s="113">
        <v>2543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105.20189999999999</v>
      </c>
      <c r="H85" s="118">
        <v>6.09</v>
      </c>
      <c r="I85" s="121">
        <v>2543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104.0667</v>
      </c>
      <c r="H86" s="116">
        <v>6.08</v>
      </c>
      <c r="I86" s="113">
        <v>2610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87.078716498112883</v>
      </c>
      <c r="G87" s="116">
        <v>95.253016498112885</v>
      </c>
      <c r="H87" s="116">
        <v>24.94</v>
      </c>
      <c r="I87" s="113">
        <v>1472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98.562411719659011</v>
      </c>
      <c r="G88" s="116">
        <v>98.714111719659002</v>
      </c>
      <c r="H88" s="116">
        <v>0.71</v>
      </c>
      <c r="I88" s="113">
        <v>4949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99.728426620681702</v>
      </c>
      <c r="G89" s="120">
        <v>101.86592662068171</v>
      </c>
      <c r="H89" s="118">
        <v>20.36</v>
      </c>
      <c r="I89" s="121">
        <v>1042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22.848047689911308</v>
      </c>
      <c r="G90" s="120">
        <v>22.848047689911308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87.422206459441838</v>
      </c>
      <c r="G92" s="120">
        <v>93.767206459441837</v>
      </c>
      <c r="H92" s="118">
        <v>17.61</v>
      </c>
      <c r="I92" s="121">
        <v>1908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100.244</v>
      </c>
      <c r="G93" s="120">
        <v>101.53570000000001</v>
      </c>
      <c r="H93" s="118">
        <v>3.65</v>
      </c>
      <c r="I93" s="121">
        <v>956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102.25700000000001</v>
      </c>
      <c r="G94" s="120">
        <v>104.35939999999999</v>
      </c>
      <c r="H94" s="118">
        <v>3.69</v>
      </c>
      <c r="I94" s="121">
        <v>1267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95.500321209357907</v>
      </c>
      <c r="G95" s="120">
        <v>96.971721209357909</v>
      </c>
      <c r="H95" s="118">
        <v>17.579999999999998</v>
      </c>
      <c r="I95" s="121">
        <v>502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98.101749049881832</v>
      </c>
      <c r="G96" s="120">
        <v>99.016449049881828</v>
      </c>
      <c r="H96" s="118">
        <v>15.62</v>
      </c>
      <c r="I96" s="121">
        <v>151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92.196669186820287</v>
      </c>
      <c r="G97" s="120">
        <v>99.104169186820286</v>
      </c>
      <c r="H97" s="118">
        <v>17.920000000000002</v>
      </c>
      <c r="I97" s="121">
        <v>1639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76.78</v>
      </c>
      <c r="G98" s="120">
        <v>81.347499999999997</v>
      </c>
      <c r="H98" s="118">
        <v>16.71</v>
      </c>
      <c r="I98" s="121">
        <v>1908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1.017395</v>
      </c>
      <c r="G99" s="120">
        <v>1.017395</v>
      </c>
      <c r="H99" s="118">
        <v>0</v>
      </c>
      <c r="I99" s="121">
        <v>198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0.88630500000000001</v>
      </c>
      <c r="G100" s="120">
        <v>0.88630500000000001</v>
      </c>
      <c r="H100" s="118">
        <v>0</v>
      </c>
      <c r="I100" s="121">
        <v>1459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79.674000000000007</v>
      </c>
      <c r="G101" s="120">
        <v>84.623999999999995</v>
      </c>
      <c r="H101" s="118">
        <v>16.71</v>
      </c>
      <c r="I101" s="121">
        <v>1908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100.57850000000001</v>
      </c>
      <c r="H102" s="118">
        <v>4.24</v>
      </c>
      <c r="I102" s="121">
        <v>251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100.5313</v>
      </c>
      <c r="H103" s="118">
        <v>4.24</v>
      </c>
      <c r="I103" s="121">
        <v>615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100.0992</v>
      </c>
      <c r="H104" s="118">
        <v>0.35</v>
      </c>
      <c r="I104" s="121">
        <v>258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100.0282</v>
      </c>
      <c r="H105" s="118">
        <v>0.35</v>
      </c>
      <c r="I105" s="121">
        <v>691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101.0844</v>
      </c>
      <c r="H107" s="118">
        <v>6.08</v>
      </c>
      <c r="I107" s="121">
        <v>1706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93.863007345704091</v>
      </c>
      <c r="G109" s="120">
        <v>96.063007345704094</v>
      </c>
      <c r="H109" s="118">
        <v>14.48</v>
      </c>
      <c r="I109" s="121">
        <v>452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99.635132039942846</v>
      </c>
      <c r="G112" s="120">
        <v>99.635132039942846</v>
      </c>
      <c r="H112" s="118">
        <v>26.11</v>
      </c>
      <c r="I112" s="121">
        <v>2610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89.680762489797928</v>
      </c>
      <c r="G113" s="120">
        <v>92.111362489797926</v>
      </c>
      <c r="H113" s="118">
        <v>28.2</v>
      </c>
      <c r="I113" s="121">
        <v>3115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96.358564010930692</v>
      </c>
      <c r="G116" s="120">
        <v>101.37736401093069</v>
      </c>
      <c r="H116" s="118">
        <v>18.28</v>
      </c>
      <c r="I116" s="121">
        <v>195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7.8517602492407637</v>
      </c>
      <c r="G117" s="120">
        <v>7.938160249240763</v>
      </c>
      <c r="H117" s="118">
        <v>17.28</v>
      </c>
      <c r="I117" s="121">
        <v>5462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100.09439999999999</v>
      </c>
      <c r="H118" s="118">
        <v>4.24</v>
      </c>
      <c r="I118" s="121">
        <v>292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100.0797</v>
      </c>
      <c r="H119" s="118">
        <v>0.35</v>
      </c>
      <c r="I119" s="121">
        <v>278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100.0574</v>
      </c>
      <c r="H120" s="118">
        <v>0.35</v>
      </c>
      <c r="I120" s="121">
        <v>661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100.0185</v>
      </c>
      <c r="H121" s="118">
        <v>0.02</v>
      </c>
      <c r="I121" s="121">
        <v>3091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101.0844</v>
      </c>
      <c r="H123" s="118">
        <v>6.08</v>
      </c>
      <c r="I123" s="121">
        <v>1706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105.95610000000001</v>
      </c>
      <c r="H124" s="118">
        <v>7.08</v>
      </c>
      <c r="I124" s="121">
        <v>2188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90.415510735485626</v>
      </c>
      <c r="G125" s="120">
        <v>91.881610735485623</v>
      </c>
      <c r="H125" s="118">
        <v>20.5</v>
      </c>
      <c r="I125" s="121">
        <v>3571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100.2542</v>
      </c>
      <c r="H126" s="118">
        <v>6.09</v>
      </c>
      <c r="I126" s="121">
        <v>2115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105.20189999999999</v>
      </c>
      <c r="H127" s="118">
        <v>6.09</v>
      </c>
      <c r="I127" s="121">
        <v>2543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105.20189999999999</v>
      </c>
      <c r="H128" s="118">
        <v>6.09</v>
      </c>
      <c r="I128" s="121">
        <v>2543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104.0667</v>
      </c>
      <c r="H129" s="118">
        <v>6.08</v>
      </c>
      <c r="I129" s="121">
        <v>2610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</v>
      </c>
      <c r="G131" s="120">
        <v>30.639700000000001</v>
      </c>
      <c r="H131" s="118">
        <v>3.18</v>
      </c>
      <c r="I131" s="121">
        <v>34638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92.468722812958688</v>
      </c>
      <c r="G132" s="120">
        <v>93.407622812958692</v>
      </c>
      <c r="H132" s="118">
        <v>28.51</v>
      </c>
      <c r="I132" s="121">
        <v>2507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88.895312577522631</v>
      </c>
      <c r="G133" s="120">
        <v>91.812012577522637</v>
      </c>
      <c r="H133" s="118">
        <v>28.47</v>
      </c>
      <c r="I133" s="121">
        <v>3108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27185.260950000004</v>
      </c>
      <c r="G136" s="120">
        <v>27185.260950000004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126480.14565000002</v>
      </c>
      <c r="G138" s="120">
        <v>126480.14565000002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69331.384533139193</v>
      </c>
      <c r="G139" s="120">
        <v>69331.384533139193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1470.365</v>
      </c>
      <c r="G140" s="120">
        <v>1470.365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6.9492341867250866</v>
      </c>
      <c r="G141" s="120">
        <v>6.9492341867250866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28.846952955508176</v>
      </c>
      <c r="G144" s="120">
        <v>28.847152955508175</v>
      </c>
      <c r="H144" s="118">
        <v>17.52</v>
      </c>
      <c r="I144" s="121">
        <v>2665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98.142552849931462</v>
      </c>
      <c r="G145" s="120">
        <v>98.231052849931459</v>
      </c>
      <c r="H145" s="118">
        <v>18.27</v>
      </c>
      <c r="I145" s="121">
        <v>363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96.569078408868862</v>
      </c>
      <c r="G146" s="120">
        <v>96.657878408868854</v>
      </c>
      <c r="H146" s="118">
        <v>18.32</v>
      </c>
      <c r="I146" s="121">
        <v>728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98.939070593863192</v>
      </c>
      <c r="G147" s="120">
        <v>104.64117059386318</v>
      </c>
      <c r="H147" s="118">
        <v>18.21</v>
      </c>
      <c r="I147" s="121">
        <v>421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101.65715330222149</v>
      </c>
      <c r="G148" s="120">
        <v>104.13635330222148</v>
      </c>
      <c r="H148" s="118">
        <v>6</v>
      </c>
      <c r="I148" s="121">
        <v>421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100.36192356506116</v>
      </c>
      <c r="G149" s="120">
        <v>105.23692356506116</v>
      </c>
      <c r="H149" s="118">
        <v>19.170000000000002</v>
      </c>
      <c r="I149" s="121">
        <v>630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72133.817100000015</v>
      </c>
      <c r="G150" s="120">
        <v>72133.817100000015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49319.488050000007</v>
      </c>
      <c r="G151" s="120">
        <v>49319.488050000007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10948.834950000002</v>
      </c>
      <c r="G152" s="120">
        <v>10948.834950000002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96.202220842721573</v>
      </c>
      <c r="G153" s="120">
        <v>102.29392084272158</v>
      </c>
      <c r="H153" s="118">
        <v>25.16</v>
      </c>
      <c r="I153" s="121">
        <v>438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18239.097750000004</v>
      </c>
      <c r="G154" s="120">
        <v>18239.097750000004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91.343803808936698</v>
      </c>
      <c r="G155" s="120">
        <v>91.5716038089367</v>
      </c>
      <c r="H155" s="118">
        <v>24.76</v>
      </c>
      <c r="I155" s="121">
        <v>1076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72.08554749934693</v>
      </c>
      <c r="G156" s="120">
        <v>72.304347499346918</v>
      </c>
      <c r="H156" s="118">
        <v>18.54</v>
      </c>
      <c r="I156" s="121">
        <v>2513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76.665088987827801</v>
      </c>
      <c r="G157" s="120">
        <v>76.852588987827801</v>
      </c>
      <c r="H157" s="118">
        <v>18.64</v>
      </c>
      <c r="I157" s="121">
        <v>1794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82.66539105601538</v>
      </c>
      <c r="G158" s="120">
        <v>82.81819105601538</v>
      </c>
      <c r="H158" s="118">
        <v>18.850000000000001</v>
      </c>
      <c r="I158" s="121">
        <v>1075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77.983270466888584</v>
      </c>
      <c r="G159" s="120">
        <v>80.611070466888592</v>
      </c>
      <c r="H159" s="118">
        <v>18.7</v>
      </c>
      <c r="I159" s="121">
        <v>1534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79.239596801749471</v>
      </c>
      <c r="G160" s="120">
        <v>81.408996801749467</v>
      </c>
      <c r="H160" s="118">
        <v>17.559999999999999</v>
      </c>
      <c r="I160" s="121">
        <v>1729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93.634170136486802</v>
      </c>
      <c r="G161" s="120">
        <v>95.606370136486802</v>
      </c>
      <c r="H161" s="118">
        <v>18.84</v>
      </c>
      <c r="I161" s="121">
        <v>289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9.2383927767950809</v>
      </c>
      <c r="G162" s="120">
        <v>9.2975927767950797</v>
      </c>
      <c r="H162" s="118">
        <v>18.27</v>
      </c>
      <c r="I162" s="121">
        <v>5078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8.4036502979504899</v>
      </c>
      <c r="G163" s="120">
        <v>8.4474502979504891</v>
      </c>
      <c r="H163" s="118">
        <v>18.27</v>
      </c>
      <c r="I163" s="121">
        <v>5295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77.624729432978711</v>
      </c>
      <c r="G164" s="120">
        <v>80.246929432978703</v>
      </c>
      <c r="H164" s="118">
        <v>18.62</v>
      </c>
      <c r="I164" s="121">
        <v>1900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87.199254008553922</v>
      </c>
      <c r="G165" s="120">
        <v>89.821454008553914</v>
      </c>
      <c r="H165" s="118">
        <v>18.940000000000001</v>
      </c>
      <c r="I165" s="121">
        <v>820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57.773916783372478</v>
      </c>
      <c r="G166" s="120">
        <v>63.730016783372477</v>
      </c>
      <c r="H166" s="118">
        <v>19.399999999999999</v>
      </c>
      <c r="I166" s="121">
        <v>2218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23.337439812515626</v>
      </c>
      <c r="G167" s="120">
        <v>23.669339812515627</v>
      </c>
      <c r="H167" s="118">
        <v>18.350000000000001</v>
      </c>
      <c r="I167" s="121">
        <v>3166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21.056423561079722</v>
      </c>
      <c r="G168" s="120">
        <v>21.325823561079723</v>
      </c>
      <c r="H168" s="118">
        <v>19.22</v>
      </c>
      <c r="I168" s="121">
        <v>3406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96.790070802128128</v>
      </c>
      <c r="G169" s="120">
        <v>100.44567080212813</v>
      </c>
      <c r="H169" s="118">
        <v>18.73</v>
      </c>
      <c r="I169" s="121">
        <v>266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103.3593</v>
      </c>
      <c r="H170" s="118">
        <v>17.43</v>
      </c>
      <c r="I170" s="121">
        <v>212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2971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48.048916960961016</v>
      </c>
      <c r="G172" s="120">
        <v>52.098916960961013</v>
      </c>
      <c r="H172" s="118">
        <v>18.37</v>
      </c>
      <c r="I172" s="121">
        <v>2967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95.976163020360687</v>
      </c>
      <c r="G173" s="120">
        <v>97.065063020360682</v>
      </c>
      <c r="H173" s="118">
        <v>18.91</v>
      </c>
      <c r="I173" s="121">
        <v>332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87.40946475481617</v>
      </c>
      <c r="G174" s="120">
        <v>88.701164754816162</v>
      </c>
      <c r="H174" s="118">
        <v>18.579999999999998</v>
      </c>
      <c r="I174" s="121">
        <v>2129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95.82700471536937</v>
      </c>
      <c r="G175" s="120">
        <v>99.264104715369371</v>
      </c>
      <c r="H175" s="118">
        <v>17.579999999999998</v>
      </c>
      <c r="I175" s="121">
        <v>247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89.075652737528813</v>
      </c>
      <c r="G176" s="120">
        <v>90.001652737528815</v>
      </c>
      <c r="H176" s="118">
        <v>5.19</v>
      </c>
      <c r="I176" s="121">
        <v>2047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101.276</v>
      </c>
      <c r="G177" s="120">
        <v>103.3232</v>
      </c>
      <c r="H177" s="118">
        <v>4.67</v>
      </c>
      <c r="I177" s="121">
        <v>586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93.620891136472352</v>
      </c>
      <c r="G178" s="120">
        <v>98.459791136472361</v>
      </c>
      <c r="H178" s="118">
        <v>17.64</v>
      </c>
      <c r="I178" s="121">
        <v>586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101.637</v>
      </c>
      <c r="G179" s="120">
        <v>103.47450000000001</v>
      </c>
      <c r="H179" s="118">
        <v>4.8099999999999996</v>
      </c>
      <c r="I179" s="121">
        <v>1494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89.581000000000003</v>
      </c>
      <c r="G180" s="120">
        <v>93.178100000000001</v>
      </c>
      <c r="H180" s="118">
        <v>18.48</v>
      </c>
      <c r="I180" s="121">
        <v>984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102.327</v>
      </c>
      <c r="G181" s="120">
        <v>104.5458</v>
      </c>
      <c r="H181" s="118">
        <v>5.05</v>
      </c>
      <c r="I181" s="121">
        <v>1658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</v>
      </c>
      <c r="G182" s="120">
        <v>102.9</v>
      </c>
      <c r="H182" s="118">
        <v>5.45</v>
      </c>
      <c r="I182" s="121">
        <v>204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103.95061041057565</v>
      </c>
      <c r="G184" s="120">
        <v>104.95751041057565</v>
      </c>
      <c r="H184" s="118">
        <v>5.0999999999999996</v>
      </c>
      <c r="I184" s="121">
        <v>1382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60.738439248537226</v>
      </c>
      <c r="G186" s="120">
        <v>61.808639248537226</v>
      </c>
      <c r="H186" s="118">
        <v>19.190000000000001</v>
      </c>
      <c r="I186" s="121">
        <v>1736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55.663120979256782</v>
      </c>
      <c r="G187" s="120">
        <v>55.913920979256787</v>
      </c>
      <c r="H187" s="118">
        <v>19.100000000000001</v>
      </c>
      <c r="I187" s="121">
        <v>2145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51.212594587911632</v>
      </c>
      <c r="G188" s="120">
        <v>56.346294587911636</v>
      </c>
      <c r="H188" s="118">
        <v>19.05</v>
      </c>
      <c r="I188" s="121">
        <v>2573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51.212594587911632</v>
      </c>
      <c r="G189" s="120">
        <v>56.346294587911636</v>
      </c>
      <c r="H189" s="118">
        <v>19.05</v>
      </c>
      <c r="I189" s="121">
        <v>2573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65.452230785914224</v>
      </c>
      <c r="G190" s="120">
        <v>67.088330785914223</v>
      </c>
      <c r="H190" s="118">
        <v>17.53</v>
      </c>
      <c r="I190" s="121">
        <v>2998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88.459150732307378</v>
      </c>
      <c r="G191" s="120">
        <v>92.048450732307387</v>
      </c>
      <c r="H191" s="118">
        <v>17.79</v>
      </c>
      <c r="I191" s="121">
        <v>1344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99.898700000000005</v>
      </c>
      <c r="G192" s="120">
        <v>106.40989999999999</v>
      </c>
      <c r="H192" s="118">
        <v>16.78</v>
      </c>
      <c r="I192" s="121">
        <v>11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98.003244842125213</v>
      </c>
      <c r="G193" s="120">
        <v>101.51434484212521</v>
      </c>
      <c r="H193" s="118">
        <v>17.39</v>
      </c>
      <c r="I193" s="121">
        <v>209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98.623776670314157</v>
      </c>
      <c r="G194" s="120">
        <v>101.24877667031416</v>
      </c>
      <c r="H194" s="118">
        <v>17.260000000000002</v>
      </c>
      <c r="I194" s="121">
        <v>207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99.355566262948457</v>
      </c>
      <c r="G195" s="120">
        <v>106.06116626294845</v>
      </c>
      <c r="H195" s="118">
        <v>17.510000000000002</v>
      </c>
      <c r="I195" s="121">
        <v>308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99.365754567736573</v>
      </c>
      <c r="G196" s="120">
        <v>105.81385456773658</v>
      </c>
      <c r="H196" s="118">
        <v>17.72</v>
      </c>
      <c r="I196" s="121">
        <v>221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97.893600000000006</v>
      </c>
      <c r="G197" s="120">
        <v>103.1044</v>
      </c>
      <c r="H197" s="118">
        <v>17.5</v>
      </c>
      <c r="I197" s="121">
        <v>1689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99.534824027882181</v>
      </c>
      <c r="G198" s="120">
        <v>103.27792402788218</v>
      </c>
      <c r="H198" s="118">
        <v>17.579999999999998</v>
      </c>
      <c r="I198" s="121">
        <v>1723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99.534824027882181</v>
      </c>
      <c r="G199" s="120">
        <v>103.27792402788218</v>
      </c>
      <c r="H199" s="118">
        <v>17.579999999999998</v>
      </c>
      <c r="I199" s="121">
        <v>1723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98.63580757095373</v>
      </c>
      <c r="G200" s="120">
        <v>103.55250757095374</v>
      </c>
      <c r="H200" s="118">
        <v>18.64</v>
      </c>
      <c r="I200" s="121">
        <v>264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99.761589381322523</v>
      </c>
      <c r="G201" s="120">
        <v>101.65278938132253</v>
      </c>
      <c r="H201" s="118">
        <v>17.920000000000002</v>
      </c>
      <c r="I201" s="121">
        <v>331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78.828479233823586</v>
      </c>
      <c r="G202" s="120">
        <v>82.218479233823587</v>
      </c>
      <c r="H202" s="118">
        <v>17.670000000000002</v>
      </c>
      <c r="I202" s="121">
        <v>1872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88.523113510558332</v>
      </c>
      <c r="G203" s="120">
        <v>91.034213510558331</v>
      </c>
      <c r="H203" s="118">
        <v>17.600000000000001</v>
      </c>
      <c r="I203" s="121">
        <v>820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78.65334928832479</v>
      </c>
      <c r="G204" s="120">
        <v>81.164449288324789</v>
      </c>
      <c r="H204" s="118">
        <v>17.670000000000002</v>
      </c>
      <c r="I204" s="121">
        <v>1900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77.308262147201532</v>
      </c>
      <c r="G205" s="120">
        <v>82.197162147201524</v>
      </c>
      <c r="H205" s="118">
        <v>17.55</v>
      </c>
      <c r="I205" s="121">
        <v>2000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82.947509007698244</v>
      </c>
      <c r="G206" s="120">
        <v>85.02530900769824</v>
      </c>
      <c r="H206" s="118">
        <v>15.3</v>
      </c>
      <c r="I206" s="121">
        <v>2272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76.821861545821093</v>
      </c>
      <c r="G207" s="120">
        <v>84.513561545821091</v>
      </c>
      <c r="H207" s="118">
        <v>17.54</v>
      </c>
      <c r="I207" s="121">
        <v>4827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101.14384696795196</v>
      </c>
      <c r="G208" s="120">
        <v>102.82424696795195</v>
      </c>
      <c r="H208" s="118">
        <v>4.99</v>
      </c>
      <c r="I208" s="121">
        <v>969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97.288243100413965</v>
      </c>
      <c r="G209" s="120">
        <v>101.63404310041398</v>
      </c>
      <c r="H209" s="118">
        <v>21.8</v>
      </c>
      <c r="I209" s="121">
        <v>91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234011.52195000005</v>
      </c>
      <c r="G211" s="116">
        <v>234011.52195000005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4804.5999586991747</v>
      </c>
      <c r="G212" s="116">
        <v>4804.5999586991747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99.178450715272419</v>
      </c>
      <c r="G213" s="116">
        <v>103.34515071527241</v>
      </c>
      <c r="H213" s="116">
        <v>20</v>
      </c>
      <c r="I213" s="113">
        <v>30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84.505635791236841</v>
      </c>
      <c r="G214" s="116">
        <v>85.305635791236838</v>
      </c>
      <c r="H214" s="116">
        <v>20.37</v>
      </c>
      <c r="I214" s="113">
        <v>876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97.230310406772162</v>
      </c>
      <c r="G215" s="116">
        <v>99.116110406772151</v>
      </c>
      <c r="H215" s="116">
        <v>19.899999999999999</v>
      </c>
      <c r="I215" s="113">
        <v>118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80.047633130800264</v>
      </c>
      <c r="G216" s="116">
        <v>83.561533130800271</v>
      </c>
      <c r="H216" s="116">
        <v>20.25</v>
      </c>
      <c r="I216" s="113">
        <v>1150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98.873709055765573</v>
      </c>
      <c r="G217" s="116">
        <v>98.873709055765573</v>
      </c>
      <c r="H217" s="116">
        <v>4.7699999999999996</v>
      </c>
      <c r="I217" s="113">
        <v>86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7828</v>
      </c>
      <c r="G218" s="116">
        <v>7828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105.042</v>
      </c>
      <c r="H219" s="116">
        <v>16.13</v>
      </c>
      <c r="I219" s="113">
        <v>660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88.157760009424095</v>
      </c>
      <c r="G220" s="116">
        <v>89.889660009424091</v>
      </c>
      <c r="H220" s="116">
        <v>34.15</v>
      </c>
      <c r="I220" s="113">
        <v>421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81.78510791142611</v>
      </c>
      <c r="G221" s="116">
        <v>84.575407911426112</v>
      </c>
      <c r="H221" s="116">
        <v>34.06</v>
      </c>
      <c r="I221" s="113">
        <v>671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81.077203218443671</v>
      </c>
      <c r="G222" s="116">
        <v>83.688303218443664</v>
      </c>
      <c r="H222" s="116">
        <v>34.06</v>
      </c>
      <c r="I222" s="113">
        <v>673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99.955399999999997</v>
      </c>
      <c r="G223" s="116">
        <v>105.2637</v>
      </c>
      <c r="H223" s="116">
        <v>21.01</v>
      </c>
      <c r="I223" s="113">
        <v>29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94.873124528355206</v>
      </c>
      <c r="G224" s="116">
        <v>96.914824528355211</v>
      </c>
      <c r="H224" s="116">
        <v>35.369999999999997</v>
      </c>
      <c r="I224" s="113">
        <v>145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52228.066350000008</v>
      </c>
      <c r="G225" s="116">
        <v>52228.066350000008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136041.89520000003</v>
      </c>
      <c r="G227" s="116">
        <v>136041.89520000003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5883561.0949999997</v>
      </c>
      <c r="G229" s="116">
        <v>5883561.0949999997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1742422.69</v>
      </c>
      <c r="G231" s="116">
        <v>1742422.69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52338.280500000008</v>
      </c>
      <c r="G232" s="116">
        <v>52338.280500000008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62967.225600000012</v>
      </c>
      <c r="G233" s="116">
        <v>62967.225600000012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72.53953439385343</v>
      </c>
      <c r="G234" s="116">
        <v>73.420834393853426</v>
      </c>
      <c r="H234" s="116">
        <v>26.29</v>
      </c>
      <c r="I234" s="113">
        <v>1053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100.425</v>
      </c>
      <c r="H235" s="116">
        <v>4.24</v>
      </c>
      <c r="I235" s="113">
        <v>264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100.09529999999999</v>
      </c>
      <c r="H236" s="116">
        <v>0.35</v>
      </c>
      <c r="I236" s="113">
        <v>82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100.08750000000001</v>
      </c>
      <c r="H237" s="116">
        <v>0.35</v>
      </c>
      <c r="I237" s="113">
        <v>90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100.1001</v>
      </c>
      <c r="H238" s="116">
        <v>0.35</v>
      </c>
      <c r="I238" s="113">
        <v>257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100.12739999999999</v>
      </c>
      <c r="H239" s="116">
        <v>0.35</v>
      </c>
      <c r="I239" s="113">
        <v>589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100.0039</v>
      </c>
      <c r="H240" s="116">
        <v>0.02</v>
      </c>
      <c r="I240" s="113">
        <v>3091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101.0844</v>
      </c>
      <c r="H241" s="116">
        <v>6.08</v>
      </c>
      <c r="I241" s="113">
        <v>1706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105.95610000000001</v>
      </c>
      <c r="H242" s="116">
        <v>7.08</v>
      </c>
      <c r="I242" s="113">
        <v>2188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100.2542</v>
      </c>
      <c r="H243" s="116">
        <v>6.09</v>
      </c>
      <c r="I243" s="113">
        <v>2115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105.20189999999999</v>
      </c>
      <c r="H244" s="116">
        <v>6.09</v>
      </c>
      <c r="I244" s="113">
        <v>2543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105.20189999999999</v>
      </c>
      <c r="H245" s="116">
        <v>6.09</v>
      </c>
      <c r="I245" s="113">
        <v>2543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104.0667</v>
      </c>
      <c r="H246" s="116">
        <v>6.08</v>
      </c>
      <c r="I246" s="113">
        <v>2610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100.10264060684753</v>
      </c>
      <c r="G247" s="116">
        <v>102.62894060684754</v>
      </c>
      <c r="H247" s="116">
        <v>5.52</v>
      </c>
      <c r="I247" s="113">
        <v>201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97.184267063643077</v>
      </c>
      <c r="G248" s="116">
        <v>97.362367063643077</v>
      </c>
      <c r="H248" s="116">
        <v>17.7</v>
      </c>
      <c r="I248" s="113">
        <v>910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93.675056437442223</v>
      </c>
      <c r="G249" s="116">
        <v>103.18115643744223</v>
      </c>
      <c r="H249" s="116">
        <v>17.850000000000001</v>
      </c>
      <c r="I249" s="113">
        <v>659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90.368399421061156</v>
      </c>
      <c r="G250" s="116">
        <v>96.102199421061158</v>
      </c>
      <c r="H250" s="116">
        <v>17.850000000000001</v>
      </c>
      <c r="I250" s="113">
        <v>735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93.307067285765186</v>
      </c>
      <c r="G251" s="116">
        <v>107.44816728576518</v>
      </c>
      <c r="H251" s="116">
        <v>18.579999999999998</v>
      </c>
      <c r="I251" s="113">
        <v>724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99.593695196845388</v>
      </c>
      <c r="G252" s="116">
        <v>107.02519519684539</v>
      </c>
      <c r="H252" s="116">
        <v>17.68</v>
      </c>
      <c r="I252" s="113">
        <v>941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106.32570515732516</v>
      </c>
      <c r="G253" s="116">
        <v>106.92070515732516</v>
      </c>
      <c r="H253" s="116">
        <v>4.83</v>
      </c>
      <c r="I253" s="113">
        <v>1766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97.102018891088818</v>
      </c>
      <c r="G254" s="116">
        <v>97.55411889108882</v>
      </c>
      <c r="H254" s="116">
        <v>6.54</v>
      </c>
      <c r="I254" s="113">
        <v>200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97.036369620255684</v>
      </c>
      <c r="G255" s="116">
        <v>100.13276962025567</v>
      </c>
      <c r="H255" s="116">
        <v>16.34</v>
      </c>
      <c r="I255" s="113">
        <v>830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97.403913882552203</v>
      </c>
      <c r="G256" s="116">
        <v>97.824513882552196</v>
      </c>
      <c r="H256" s="116">
        <v>16.260000000000002</v>
      </c>
      <c r="I256" s="113">
        <v>1070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97.253155880494717</v>
      </c>
      <c r="G257" s="116">
        <v>100.94315588049471</v>
      </c>
      <c r="H257" s="116">
        <v>16.11</v>
      </c>
      <c r="I257" s="113">
        <v>1539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348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415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98.772888202579338</v>
      </c>
      <c r="G260" s="116">
        <v>108.12518820257934</v>
      </c>
      <c r="H260" s="116">
        <v>17.13</v>
      </c>
      <c r="I260" s="113">
        <v>114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100.89870000000001</v>
      </c>
      <c r="H261" s="116">
        <v>15.61</v>
      </c>
      <c r="I261" s="113">
        <v>528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102.67700000000001</v>
      </c>
      <c r="H262" s="116">
        <v>15.75</v>
      </c>
      <c r="I262" s="113">
        <v>1307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101.68</v>
      </c>
      <c r="G263" s="116">
        <v>103.746</v>
      </c>
      <c r="H263" s="116">
        <v>3.67</v>
      </c>
      <c r="I263" s="113">
        <v>910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101.40300000000001</v>
      </c>
      <c r="G264" s="116">
        <v>101.79259999999999</v>
      </c>
      <c r="H264" s="116">
        <v>3.68</v>
      </c>
      <c r="I264" s="113">
        <v>1226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100.21259999999999</v>
      </c>
      <c r="H265" s="116">
        <v>15.52</v>
      </c>
      <c r="I265" s="113">
        <v>544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104.9906</v>
      </c>
      <c r="H266" s="116">
        <v>16.079999999999998</v>
      </c>
      <c r="I266" s="113">
        <v>983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99.12026744104864</v>
      </c>
      <c r="G267" s="116">
        <v>99.159567441048637</v>
      </c>
      <c r="H267" s="116">
        <v>16.010000000000002</v>
      </c>
      <c r="I267" s="113">
        <v>179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98.540973027987718</v>
      </c>
      <c r="G268" s="116">
        <v>101.41207302798772</v>
      </c>
      <c r="H268" s="116">
        <v>16.46</v>
      </c>
      <c r="I268" s="113">
        <v>292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96.696668757774972</v>
      </c>
      <c r="G269" s="116">
        <v>98.445268757774983</v>
      </c>
      <c r="H269" s="116">
        <v>16.38</v>
      </c>
      <c r="I269" s="113">
        <v>679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98.229941204262204</v>
      </c>
      <c r="G270" s="116">
        <v>101.32634120426221</v>
      </c>
      <c r="H270" s="116">
        <v>16.39</v>
      </c>
      <c r="I270" s="113">
        <v>470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99.078999999999994</v>
      </c>
      <c r="G271" s="116">
        <v>100.0179</v>
      </c>
      <c r="H271" s="116">
        <v>3.69</v>
      </c>
      <c r="I271" s="113">
        <v>796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99.504999999999995</v>
      </c>
      <c r="G272" s="116">
        <v>99.948099999999997</v>
      </c>
      <c r="H272" s="116">
        <v>3.74</v>
      </c>
      <c r="I272" s="113">
        <v>1756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46.479250747878204</v>
      </c>
      <c r="G274" s="116">
        <v>49.934850747878201</v>
      </c>
      <c r="H274" s="116">
        <v>17.82</v>
      </c>
      <c r="I274" s="113">
        <v>2569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94.390102609330327</v>
      </c>
      <c r="G275" s="116">
        <v>94.815902609330337</v>
      </c>
      <c r="H275" s="116">
        <v>17.52</v>
      </c>
      <c r="I275" s="113">
        <v>346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86.788447128631134</v>
      </c>
      <c r="G276" s="116">
        <v>88.871747128631142</v>
      </c>
      <c r="H276" s="116">
        <v>19</v>
      </c>
      <c r="I276" s="113">
        <v>645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23091.208500000004</v>
      </c>
      <c r="G277" s="116">
        <v>23091.208500000004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95.689152962551603</v>
      </c>
      <c r="G281" s="116">
        <v>97.339552962551608</v>
      </c>
      <c r="H281" s="116">
        <v>17.77</v>
      </c>
      <c r="I281" s="113">
        <v>211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95.172921503745684</v>
      </c>
      <c r="G282" s="116">
        <v>98.753321503745681</v>
      </c>
      <c r="H282" s="116">
        <v>18.27</v>
      </c>
      <c r="I282" s="113">
        <v>232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2065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72.593040687033195</v>
      </c>
      <c r="G284" s="116">
        <v>73.662440687033197</v>
      </c>
      <c r="H284" s="116">
        <v>18.100000000000001</v>
      </c>
      <c r="I284" s="113">
        <v>2485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96.573140419647061</v>
      </c>
      <c r="G285" s="116">
        <v>96.835640419647049</v>
      </c>
      <c r="H285" s="116">
        <v>18.329999999999998</v>
      </c>
      <c r="I285" s="113">
        <v>171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23894.965350000006</v>
      </c>
      <c r="G286" s="116">
        <v>23894.965350000006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5484.4523553249383</v>
      </c>
      <c r="G289" s="116">
        <v>5484.4523553249383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561624.42690000008</v>
      </c>
      <c r="G290" s="116">
        <v>561624.42690000008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625602.39690000017</v>
      </c>
      <c r="G293" s="116">
        <v>625602.39690000017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101.91670000000001</v>
      </c>
      <c r="H295" s="116">
        <v>11.46</v>
      </c>
      <c r="I295" s="113">
        <v>1020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109.86109999999999</v>
      </c>
      <c r="H296" s="116">
        <v>10</v>
      </c>
      <c r="I296" s="113">
        <v>3245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100.70992315808131</v>
      </c>
      <c r="G297" s="116">
        <v>105.98772315808131</v>
      </c>
      <c r="H297" s="116">
        <v>23.51</v>
      </c>
      <c r="I297" s="113">
        <v>194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17171.902200000004</v>
      </c>
      <c r="G298" s="116">
        <v>17171.902200000004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86.027315800379043</v>
      </c>
      <c r="G299" s="116">
        <v>90.160615800379034</v>
      </c>
      <c r="H299" s="116">
        <v>37.799999999999997</v>
      </c>
      <c r="I299" s="113">
        <v>236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99.995199999999997</v>
      </c>
      <c r="G300" s="116">
        <v>105.3424</v>
      </c>
      <c r="H300" s="116">
        <v>11</v>
      </c>
      <c r="I300" s="113">
        <v>365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87.499723906509772</v>
      </c>
      <c r="G301" s="116">
        <v>92.358023906509771</v>
      </c>
      <c r="H301" s="116">
        <v>37.770000000000003</v>
      </c>
      <c r="I301" s="113">
        <v>201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94036.863300000012</v>
      </c>
      <c r="G302" s="116">
        <v>94036.863300000012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93.754303734318881</v>
      </c>
      <c r="G303" s="116">
        <v>99.175403734318891</v>
      </c>
      <c r="H303" s="116">
        <v>18.739999999999998</v>
      </c>
      <c r="I303" s="113">
        <v>376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42467.393700000008</v>
      </c>
      <c r="G304" s="116">
        <v>42467.393700000008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6292.9591500000015</v>
      </c>
      <c r="G305" s="116">
        <v>6292.9591500000015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5459.77</v>
      </c>
      <c r="G306" s="116">
        <v>5459.77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32857.257450000005</v>
      </c>
      <c r="G307" s="116">
        <v>32857.257450000005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168751.30440000002</v>
      </c>
      <c r="G308" s="116">
        <v>168751.30440000002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113507.13375000002</v>
      </c>
      <c r="G309" s="116">
        <v>113507.13375000002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98.526700000000005</v>
      </c>
      <c r="G310" s="116">
        <v>99.855900000000005</v>
      </c>
      <c r="H310" s="116">
        <v>18.25</v>
      </c>
      <c r="I310" s="113">
        <v>331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96.648700000000005</v>
      </c>
      <c r="G311" s="116">
        <v>97.611199999999997</v>
      </c>
      <c r="H311" s="116">
        <v>18</v>
      </c>
      <c r="I311" s="113">
        <v>1059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97.875699999999995</v>
      </c>
      <c r="G312" s="116">
        <v>97.976500000000001</v>
      </c>
      <c r="H312" s="116">
        <v>19.260000000000002</v>
      </c>
      <c r="I312" s="113">
        <v>898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97.3142</v>
      </c>
      <c r="G313" s="116">
        <v>100.3809</v>
      </c>
      <c r="H313" s="116">
        <v>19</v>
      </c>
      <c r="I313" s="113">
        <v>656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97.901399999999995</v>
      </c>
      <c r="G314" s="116">
        <v>100.4889</v>
      </c>
      <c r="H314" s="116">
        <v>18</v>
      </c>
      <c r="I314" s="113">
        <v>1386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99.569959570929996</v>
      </c>
      <c r="G315" s="116">
        <v>101.95745957093</v>
      </c>
      <c r="H315" s="116">
        <v>19.21</v>
      </c>
      <c r="I315" s="113">
        <v>1755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99.518660691357724</v>
      </c>
      <c r="G316" s="116">
        <v>102.45966069135773</v>
      </c>
      <c r="H316" s="116">
        <v>19.510000000000002</v>
      </c>
      <c r="I316" s="113">
        <v>665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53173.065000000002</v>
      </c>
      <c r="G317" s="116">
        <v>53173.065000000002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74108.755000000005</v>
      </c>
      <c r="G318" s="116">
        <v>74108.755000000005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73147.72</v>
      </c>
      <c r="G319" s="116">
        <v>73147.72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581076.02</v>
      </c>
      <c r="G320" s="116">
        <v>581076.02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533.30476665000015</v>
      </c>
      <c r="G322" s="116">
        <v>533.30476665000015</v>
      </c>
      <c r="H322" s="116">
        <v>0</v>
      </c>
      <c r="I322" s="113">
        <v>539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364.42586342213082</v>
      </c>
      <c r="G323" s="116">
        <v>364.42586342213082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101.66966890858475</v>
      </c>
      <c r="G324" s="116">
        <v>103.42916890858476</v>
      </c>
      <c r="H324" s="116">
        <v>18.14</v>
      </c>
      <c r="I324" s="113">
        <v>2126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104.06870000000001</v>
      </c>
      <c r="H325" s="116">
        <v>17.02</v>
      </c>
      <c r="I325" s="113">
        <v>826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14139.669000000004</v>
      </c>
      <c r="G326" s="116">
        <v>14139.669000000004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43513.084050000005</v>
      </c>
      <c r="G327" s="116">
        <v>43513.084050000005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131087.63475000003</v>
      </c>
      <c r="G328" s="116">
        <v>131087.63475000003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102.636</v>
      </c>
      <c r="G329" s="116">
        <v>102.9957</v>
      </c>
      <c r="H329" s="116">
        <v>3.66</v>
      </c>
      <c r="I329" s="113">
        <v>1052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99.674999999999997</v>
      </c>
      <c r="G330" s="116">
        <v>101.26600000000001</v>
      </c>
      <c r="H330" s="116">
        <v>3.71</v>
      </c>
      <c r="I330" s="113">
        <v>1462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100.913</v>
      </c>
      <c r="G331" s="116">
        <v>101.45740000000001</v>
      </c>
      <c r="H331" s="116">
        <v>3.81</v>
      </c>
      <c r="I331" s="113">
        <v>1931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103.32</v>
      </c>
      <c r="G332" s="116">
        <v>105.0575</v>
      </c>
      <c r="H332" s="116">
        <v>3.84</v>
      </c>
      <c r="I332" s="113">
        <v>2021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1012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7798.3231500000011</v>
      </c>
      <c r="G334" s="116">
        <v>7798.3231500000011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100.14963813653961</v>
      </c>
      <c r="G335" s="116">
        <v>100.18713813653962</v>
      </c>
      <c r="H335" s="116">
        <v>12.88</v>
      </c>
      <c r="I335" s="113">
        <v>89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79.977144560893024</v>
      </c>
      <c r="G336" s="116">
        <v>83.51714456089303</v>
      </c>
      <c r="H336" s="116">
        <v>17.850000000000001</v>
      </c>
      <c r="I336" s="113">
        <v>1872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78.267464444387542</v>
      </c>
      <c r="G337" s="116">
        <v>83.37856444438755</v>
      </c>
      <c r="H337" s="116">
        <v>17.809999999999999</v>
      </c>
      <c r="I337" s="113">
        <v>2000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87.649587917720226</v>
      </c>
      <c r="G338" s="116">
        <v>91.335187917720219</v>
      </c>
      <c r="H338" s="116">
        <v>17.579999999999998</v>
      </c>
      <c r="I338" s="113">
        <v>1153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74.00421215453126</v>
      </c>
      <c r="G339" s="116">
        <v>81.78461215453126</v>
      </c>
      <c r="H339" s="116">
        <v>18.440000000000001</v>
      </c>
      <c r="I339" s="113">
        <v>4827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2971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4187.5247110609989</v>
      </c>
      <c r="G341" s="116">
        <v>4187.5247110609989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75046.127276777785</v>
      </c>
      <c r="G342" s="116">
        <v>75046.127276777785</v>
      </c>
      <c r="H342" s="116">
        <v>0</v>
      </c>
      <c r="I342" s="113">
        <v>139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286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1108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102.273</v>
      </c>
      <c r="G345" s="116">
        <v>102.848</v>
      </c>
      <c r="H345" s="116">
        <v>3.66</v>
      </c>
      <c r="I345" s="113">
        <v>1034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9354.1338973771453</v>
      </c>
      <c r="G346" s="116">
        <v>9354.1338973771453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27088.487550000005</v>
      </c>
      <c r="G347" s="116">
        <v>27088.487550000005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92.68176662017008</v>
      </c>
      <c r="G348" s="116">
        <v>99.098466620170086</v>
      </c>
      <c r="H348" s="116">
        <v>19.420000000000002</v>
      </c>
      <c r="I348" s="113">
        <v>2568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92.597828093107012</v>
      </c>
      <c r="G349" s="116">
        <v>96.195028093107013</v>
      </c>
      <c r="H349" s="116">
        <v>19.41</v>
      </c>
      <c r="I349" s="113">
        <v>2626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38.625238479830706</v>
      </c>
      <c r="G350" s="116">
        <v>39.291938479830705</v>
      </c>
      <c r="H350" s="116">
        <v>20.25</v>
      </c>
      <c r="I350" s="113">
        <v>2820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38.135135299851363</v>
      </c>
      <c r="G351" s="116">
        <v>38.16843529985136</v>
      </c>
      <c r="H351" s="116">
        <v>20.25</v>
      </c>
      <c r="I351" s="113">
        <v>2877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74.598007800321128</v>
      </c>
      <c r="G352" s="116">
        <v>82.672107800321129</v>
      </c>
      <c r="H352" s="116">
        <v>26.07</v>
      </c>
      <c r="I352" s="113">
        <v>2174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40.767235276834583</v>
      </c>
      <c r="G353" s="116">
        <v>43.845035276834579</v>
      </c>
      <c r="H353" s="116">
        <v>20.29</v>
      </c>
      <c r="I353" s="113">
        <v>2603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91.766603725373272</v>
      </c>
      <c r="G354" s="116">
        <v>96.481203725373277</v>
      </c>
      <c r="H354" s="116">
        <v>19.829999999999998</v>
      </c>
      <c r="I354" s="113">
        <v>385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72.229738222951866</v>
      </c>
      <c r="G355" s="116">
        <v>74.580538222951859</v>
      </c>
      <c r="H355" s="116">
        <v>19.48</v>
      </c>
      <c r="I355" s="113">
        <v>1902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13346.664750000002</v>
      </c>
      <c r="G357" s="116">
        <v>13346.664750000002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101.1694</v>
      </c>
      <c r="H358" s="116">
        <v>23.18</v>
      </c>
      <c r="I358" s="113">
        <v>472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94335.247950000019</v>
      </c>
      <c r="G359" s="116">
        <v>94335.247950000019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161590.07280000002</v>
      </c>
      <c r="G360" s="116">
        <v>161590.07280000002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94.645870198460713</v>
      </c>
      <c r="G362" s="116">
        <v>95.844070198460713</v>
      </c>
      <c r="H362" s="116">
        <v>17</v>
      </c>
      <c r="I362" s="113">
        <v>318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92.647943774866803</v>
      </c>
      <c r="G363" s="116">
        <v>94.033343774866793</v>
      </c>
      <c r="H363" s="116">
        <v>16.88</v>
      </c>
      <c r="I363" s="113">
        <v>1405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92.647943774866803</v>
      </c>
      <c r="G364" s="116">
        <v>94.033343774866793</v>
      </c>
      <c r="H364" s="116">
        <v>16.88</v>
      </c>
      <c r="I364" s="113">
        <v>1405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95.162248757775799</v>
      </c>
      <c r="G365" s="116">
        <v>98.381648757775793</v>
      </c>
      <c r="H365" s="116">
        <v>16.850000000000001</v>
      </c>
      <c r="I365" s="113">
        <v>1544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98.932406289891503</v>
      </c>
      <c r="G366" s="116">
        <v>104.66160628989151</v>
      </c>
      <c r="H366" s="116">
        <v>16.82</v>
      </c>
      <c r="I366" s="113">
        <v>1675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98.932547519224386</v>
      </c>
      <c r="G367" s="116">
        <v>103.47004751922438</v>
      </c>
      <c r="H367" s="116">
        <v>16.809999999999999</v>
      </c>
      <c r="I367" s="113">
        <v>1701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100.1371</v>
      </c>
      <c r="H368" s="116">
        <v>0.35</v>
      </c>
      <c r="I368" s="113">
        <v>339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101.64100000000001</v>
      </c>
      <c r="H369" s="116">
        <v>4.24</v>
      </c>
      <c r="I369" s="113">
        <v>341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100.1186</v>
      </c>
      <c r="H370" s="116">
        <v>0.35</v>
      </c>
      <c r="I370" s="113">
        <v>58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100.0574</v>
      </c>
      <c r="H371" s="116">
        <v>0.35</v>
      </c>
      <c r="I371" s="113">
        <v>661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3091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90.415510735485626</v>
      </c>
      <c r="G373" s="116">
        <v>91.881610735485623</v>
      </c>
      <c r="H373" s="116">
        <v>20.5</v>
      </c>
      <c r="I373" s="113">
        <v>3571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90.418579430395752</v>
      </c>
      <c r="G374" s="116">
        <v>92.491379430395753</v>
      </c>
      <c r="H374" s="116">
        <v>20.49</v>
      </c>
      <c r="I374" s="113">
        <v>3559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105.95610000000001</v>
      </c>
      <c r="H375" s="116">
        <v>7.09</v>
      </c>
      <c r="I375" s="113">
        <v>2218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88.668846092316116</v>
      </c>
      <c r="G376" s="116">
        <v>88.966346092316115</v>
      </c>
      <c r="H376" s="116">
        <v>16.899999999999999</v>
      </c>
      <c r="I376" s="113">
        <v>1071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109.62721246497642</v>
      </c>
      <c r="G377" s="116">
        <v>111.07821246497642</v>
      </c>
      <c r="H377" s="116">
        <v>13.58</v>
      </c>
      <c r="I377" s="113">
        <v>1409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122.48534955238161</v>
      </c>
      <c r="G378" s="116">
        <v>124.9985495523816</v>
      </c>
      <c r="H378" s="116">
        <v>12.88</v>
      </c>
      <c r="I378" s="113">
        <v>1753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100.31758948115997</v>
      </c>
      <c r="G379" s="116">
        <v>101.92448948115997</v>
      </c>
      <c r="H379" s="116">
        <v>6.37</v>
      </c>
      <c r="I379" s="113">
        <v>991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3331.8423657814055</v>
      </c>
      <c r="G383" s="116">
        <v>3331.8423657814055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1440.5550989292099</v>
      </c>
      <c r="G384" s="116">
        <v>1440.5550989292099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83.889654415272489</v>
      </c>
      <c r="G385" s="116">
        <v>87.222154415272485</v>
      </c>
      <c r="H385" s="116">
        <v>17.510000000000002</v>
      </c>
      <c r="I385" s="113">
        <v>2067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88.398702657936738</v>
      </c>
      <c r="G386" s="116">
        <v>88.398702657936738</v>
      </c>
      <c r="H386" s="116">
        <v>14.22</v>
      </c>
      <c r="I386" s="113">
        <v>2520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73.028891039107592</v>
      </c>
      <c r="G387" s="116">
        <v>75.809491039107584</v>
      </c>
      <c r="H387" s="116">
        <v>16.68</v>
      </c>
      <c r="I387" s="113">
        <v>3509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103.5457</v>
      </c>
      <c r="H388" s="116">
        <v>18.739999999999998</v>
      </c>
      <c r="I388" s="113">
        <v>4497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89.814095537483766</v>
      </c>
      <c r="G389" s="116">
        <v>100.08079553748377</v>
      </c>
      <c r="H389" s="116">
        <v>14.35</v>
      </c>
      <c r="I389" s="113">
        <v>2572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89.740262420556277</v>
      </c>
      <c r="G390" s="116">
        <v>94.938862420556276</v>
      </c>
      <c r="H390" s="116">
        <v>14.7</v>
      </c>
      <c r="I390" s="113">
        <v>883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81.212836738877883</v>
      </c>
      <c r="G391" s="116">
        <v>85.804536738877886</v>
      </c>
      <c r="H391" s="116">
        <v>14.65</v>
      </c>
      <c r="I391" s="113">
        <v>1986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99.613645868926397</v>
      </c>
      <c r="G392" s="116">
        <v>107.8303458689264</v>
      </c>
      <c r="H392" s="116">
        <v>20.41</v>
      </c>
      <c r="I392" s="113">
        <v>12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104.36620000000001</v>
      </c>
      <c r="H393" s="116">
        <v>17.71</v>
      </c>
      <c r="I393" s="113">
        <v>95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107.3147</v>
      </c>
      <c r="H394" s="116">
        <v>16.82</v>
      </c>
      <c r="I394" s="113">
        <v>31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104.8053</v>
      </c>
      <c r="H395" s="116">
        <v>18.22</v>
      </c>
      <c r="I395" s="113">
        <v>818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102</v>
      </c>
      <c r="H396" s="116">
        <v>18.22</v>
      </c>
      <c r="I396" s="113">
        <v>874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102.0219</v>
      </c>
      <c r="H397" s="116">
        <v>18.43</v>
      </c>
      <c r="I397" s="113">
        <v>1605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104.83159999999999</v>
      </c>
      <c r="H398" s="116">
        <v>18.34</v>
      </c>
      <c r="I398" s="113">
        <v>1549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97.813614433130596</v>
      </c>
      <c r="G399" s="116">
        <v>104.6219144331306</v>
      </c>
      <c r="H399" s="116">
        <v>17.45</v>
      </c>
      <c r="I399" s="113">
        <v>102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99.468578793223827</v>
      </c>
      <c r="G400" s="116">
        <v>110.92687879322382</v>
      </c>
      <c r="H400" s="116">
        <v>18.41</v>
      </c>
      <c r="I400" s="113">
        <v>30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107.50449999999999</v>
      </c>
      <c r="H401" s="116">
        <v>18.03</v>
      </c>
      <c r="I401" s="113">
        <v>214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102.1185</v>
      </c>
      <c r="H402" s="116">
        <v>16.72</v>
      </c>
      <c r="I402" s="113">
        <v>319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90.322147201530782</v>
      </c>
      <c r="G403" s="116">
        <v>97.051347201530788</v>
      </c>
      <c r="H403" s="116">
        <v>14.7</v>
      </c>
      <c r="I403" s="113">
        <v>825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97.267318340478965</v>
      </c>
      <c r="G404" s="116">
        <v>104.21171834047897</v>
      </c>
      <c r="H404" s="116">
        <v>18.79</v>
      </c>
      <c r="I404" s="113">
        <v>160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81.930215266862575</v>
      </c>
      <c r="G405" s="116">
        <v>89.292715266862572</v>
      </c>
      <c r="H405" s="116">
        <v>14.65</v>
      </c>
      <c r="I405" s="113">
        <v>1881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94.280431285099141</v>
      </c>
      <c r="G406" s="116">
        <v>106.32903128509915</v>
      </c>
      <c r="H406" s="116">
        <v>19.05</v>
      </c>
      <c r="I406" s="113">
        <v>373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94.05387811535806</v>
      </c>
      <c r="G407" s="116">
        <v>105.61637811535806</v>
      </c>
      <c r="H407" s="116">
        <v>19.04</v>
      </c>
      <c r="I407" s="113">
        <v>387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94.801607236544484</v>
      </c>
      <c r="G408" s="116">
        <v>95.565507236544477</v>
      </c>
      <c r="H408" s="116">
        <v>18.98</v>
      </c>
      <c r="I408" s="113">
        <v>338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96.515650972465153</v>
      </c>
      <c r="G409" s="116">
        <v>101.58505097246515</v>
      </c>
      <c r="H409" s="116">
        <v>18.73</v>
      </c>
      <c r="I409" s="113">
        <v>214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96.106874476687878</v>
      </c>
      <c r="G410" s="116">
        <v>100.16937447668788</v>
      </c>
      <c r="H410" s="116">
        <v>18.77</v>
      </c>
      <c r="I410" s="113">
        <v>243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99.40553406740321</v>
      </c>
      <c r="G411" s="116">
        <v>110.72493406740321</v>
      </c>
      <c r="H411" s="116">
        <v>18.34</v>
      </c>
      <c r="I411" s="113">
        <v>34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97.313146895883577</v>
      </c>
      <c r="G412" s="116">
        <v>104.36174689588358</v>
      </c>
      <c r="H412" s="116">
        <v>18.79</v>
      </c>
      <c r="I412" s="113">
        <v>157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95.523982461749796</v>
      </c>
      <c r="G413" s="116">
        <v>98.197582461749789</v>
      </c>
      <c r="H413" s="116">
        <v>18.88</v>
      </c>
      <c r="I413" s="113">
        <v>283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95.614981164606064</v>
      </c>
      <c r="G414" s="116">
        <v>98.53168116460607</v>
      </c>
      <c r="H414" s="116">
        <v>18.88</v>
      </c>
      <c r="I414" s="113">
        <v>276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95.257613997740293</v>
      </c>
      <c r="G415" s="116">
        <v>97.202013997740295</v>
      </c>
      <c r="H415" s="116">
        <v>18.899999999999999</v>
      </c>
      <c r="I415" s="113">
        <v>304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97.821297068270354</v>
      </c>
      <c r="G416" s="116">
        <v>103.54769706827035</v>
      </c>
      <c r="H416" s="116">
        <v>15.11</v>
      </c>
      <c r="I416" s="113">
        <v>143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91.943381776021738</v>
      </c>
      <c r="G417" s="116">
        <v>98.748981776021736</v>
      </c>
      <c r="H417" s="116">
        <v>19.12</v>
      </c>
      <c r="I417" s="113">
        <v>524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91.587515335724845</v>
      </c>
      <c r="G418" s="116">
        <v>97.108315335724853</v>
      </c>
      <c r="H418" s="116">
        <v>19.02</v>
      </c>
      <c r="I418" s="113">
        <v>561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91.072220208773217</v>
      </c>
      <c r="G419" s="116">
        <v>95.134720208773217</v>
      </c>
      <c r="H419" s="116">
        <v>19.04</v>
      </c>
      <c r="I419" s="113">
        <v>603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100.0389</v>
      </c>
      <c r="H420" s="116">
        <v>0.35</v>
      </c>
      <c r="I420" s="113">
        <v>320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100.0087</v>
      </c>
      <c r="H421" s="116">
        <v>0.35</v>
      </c>
      <c r="I421" s="113">
        <v>711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3091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104.8319</v>
      </c>
      <c r="H423" s="116">
        <v>7.05</v>
      </c>
      <c r="I423" s="113">
        <v>2188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101.0844</v>
      </c>
      <c r="H424" s="116">
        <v>6.08</v>
      </c>
      <c r="I424" s="113">
        <v>1706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105.95610000000001</v>
      </c>
      <c r="H425" s="116">
        <v>7.08</v>
      </c>
      <c r="I425" s="113">
        <v>2188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100.2542</v>
      </c>
      <c r="H426" s="116">
        <v>6.09</v>
      </c>
      <c r="I426" s="113">
        <v>2115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105.20189999999999</v>
      </c>
      <c r="H427" s="116">
        <v>6.09</v>
      </c>
      <c r="I427" s="113">
        <v>2543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105.20189999999999</v>
      </c>
      <c r="H428" s="116">
        <v>6.09</v>
      </c>
      <c r="I428" s="113">
        <v>2543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98.706103155030249</v>
      </c>
      <c r="G429" s="116">
        <v>106.83390315503026</v>
      </c>
      <c r="H429" s="116">
        <v>18.61</v>
      </c>
      <c r="I429" s="113">
        <v>52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19943.76795589241</v>
      </c>
      <c r="G432" s="116">
        <v>19943.76795589241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100.232</v>
      </c>
      <c r="G433" s="116">
        <v>101.9473</v>
      </c>
      <c r="H433" s="116">
        <v>4.5999999999999996</v>
      </c>
      <c r="I433" s="113">
        <v>590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90.120999999999995</v>
      </c>
      <c r="G434" s="116">
        <v>92.197400000000002</v>
      </c>
      <c r="H434" s="116">
        <v>6.61</v>
      </c>
      <c r="I434" s="113">
        <v>7790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101.872</v>
      </c>
      <c r="G435" s="116">
        <v>103.7383</v>
      </c>
      <c r="H435" s="116">
        <v>4.92</v>
      </c>
      <c r="I435" s="113">
        <v>1675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96.277000000000001</v>
      </c>
      <c r="G436" s="116">
        <v>98.490499999999997</v>
      </c>
      <c r="H436" s="116">
        <v>6.69</v>
      </c>
      <c r="I436" s="113">
        <v>8335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88.622</v>
      </c>
      <c r="G437" s="116">
        <v>89.9345</v>
      </c>
      <c r="H437" s="116">
        <v>5.34</v>
      </c>
      <c r="I437" s="113">
        <v>2745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100.1771</v>
      </c>
      <c r="H438" s="116">
        <v>4.24</v>
      </c>
      <c r="I438" s="113">
        <v>285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100.08750000000001</v>
      </c>
      <c r="H439" s="116">
        <v>0.35</v>
      </c>
      <c r="I439" s="113">
        <v>90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100.0476</v>
      </c>
      <c r="H440" s="116">
        <v>0.35</v>
      </c>
      <c r="I440" s="113">
        <v>311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100.10209999999999</v>
      </c>
      <c r="H441" s="116">
        <v>0.35</v>
      </c>
      <c r="I441" s="113">
        <v>615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100.014</v>
      </c>
      <c r="H442" s="116">
        <v>0.02</v>
      </c>
      <c r="I442" s="113">
        <v>3091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100.0039</v>
      </c>
      <c r="H443" s="116">
        <v>0.02</v>
      </c>
      <c r="I443" s="113">
        <v>3091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101.0844</v>
      </c>
      <c r="H444" s="116">
        <v>6.08</v>
      </c>
      <c r="I444" s="113">
        <v>1706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90.415510735485626</v>
      </c>
      <c r="G445" s="116">
        <v>91.881610735485623</v>
      </c>
      <c r="H445" s="116">
        <v>20.5</v>
      </c>
      <c r="I445" s="113">
        <v>3571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100.2542</v>
      </c>
      <c r="H446" s="116">
        <v>6.09</v>
      </c>
      <c r="I446" s="113">
        <v>2115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105.20189999999999</v>
      </c>
      <c r="H447" s="116">
        <v>6.09</v>
      </c>
      <c r="I447" s="113">
        <v>2543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105.20189999999999</v>
      </c>
      <c r="H448" s="116">
        <v>6.09</v>
      </c>
      <c r="I448" s="113">
        <v>2543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104.0667</v>
      </c>
      <c r="H449" s="116">
        <v>6.08</v>
      </c>
      <c r="I449" s="113">
        <v>2610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36800.77350000001</v>
      </c>
      <c r="G451" s="116">
        <v>36800.77350000001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101.2632</v>
      </c>
      <c r="H452" s="116">
        <v>4.2300000000000004</v>
      </c>
      <c r="I452" s="113">
        <v>373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100.0943</v>
      </c>
      <c r="H453" s="116">
        <v>0.35</v>
      </c>
      <c r="I453" s="113">
        <v>83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100.0282</v>
      </c>
      <c r="H454" s="116">
        <v>0.35</v>
      </c>
      <c r="I454" s="113">
        <v>331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100.12739999999999</v>
      </c>
      <c r="H455" s="116">
        <v>0.35</v>
      </c>
      <c r="I455" s="113">
        <v>589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3091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100.0043</v>
      </c>
      <c r="H457" s="116">
        <v>0.02</v>
      </c>
      <c r="I457" s="113">
        <v>3091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101.0844</v>
      </c>
      <c r="H458" s="116">
        <v>6.08</v>
      </c>
      <c r="I458" s="113">
        <v>1706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105.95610000000001</v>
      </c>
      <c r="H459" s="116">
        <v>7.08</v>
      </c>
      <c r="I459" s="113">
        <v>2188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90.418579430395752</v>
      </c>
      <c r="G460" s="116">
        <v>92.491379430395753</v>
      </c>
      <c r="H460" s="116">
        <v>20.49</v>
      </c>
      <c r="I460" s="113">
        <v>3559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100.2542</v>
      </c>
      <c r="H461" s="116">
        <v>6.09</v>
      </c>
      <c r="I461" s="113">
        <v>2115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105.20189999999999</v>
      </c>
      <c r="H462" s="116">
        <v>6.09</v>
      </c>
      <c r="I462" s="113">
        <v>2543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105.20189999999999</v>
      </c>
      <c r="H463" s="116">
        <v>6.09</v>
      </c>
      <c r="I463" s="113">
        <v>2543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104.0667</v>
      </c>
      <c r="H464" s="116">
        <v>6.08</v>
      </c>
      <c r="I464" s="113">
        <v>2610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49936.707974959165</v>
      </c>
      <c r="G466" s="116">
        <v>49936.707974959165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50331.44468333618</v>
      </c>
      <c r="G467" s="116">
        <v>50331.44468333618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96.697079111065747</v>
      </c>
      <c r="G468" s="116">
        <v>98.176279111065753</v>
      </c>
      <c r="H468" s="116">
        <v>19.100000000000001</v>
      </c>
      <c r="I468" s="113">
        <v>109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99.05061773910559</v>
      </c>
      <c r="G469" s="116">
        <v>102.17561773910559</v>
      </c>
      <c r="H469" s="116">
        <v>19.22</v>
      </c>
      <c r="I469" s="113">
        <v>30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82.49128404675416</v>
      </c>
      <c r="G471" s="116">
        <v>85.24128404675416</v>
      </c>
      <c r="H471" s="116">
        <v>19.98</v>
      </c>
      <c r="I471" s="113">
        <v>2274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92.865989118993312</v>
      </c>
      <c r="G472" s="116">
        <v>95.471589118993307</v>
      </c>
      <c r="H472" s="116">
        <v>20.39</v>
      </c>
      <c r="I472" s="113">
        <v>473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1020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58.589202044603674</v>
      </c>
      <c r="G474" s="116">
        <v>66.089202044603667</v>
      </c>
      <c r="H474" s="116">
        <v>20.89</v>
      </c>
      <c r="I474" s="113">
        <v>2970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24070</v>
      </c>
      <c r="G475" s="116">
        <v>24070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23964.857250000005</v>
      </c>
      <c r="G476" s="116">
        <v>23964.857250000005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78.680731557742462</v>
      </c>
      <c r="G479" s="116">
        <v>84.164031557742462</v>
      </c>
      <c r="H479" s="116">
        <v>20.21</v>
      </c>
      <c r="I479" s="113">
        <v>2199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86.180707988792449</v>
      </c>
      <c r="G481" s="116">
        <v>88.33900798879246</v>
      </c>
      <c r="H481" s="116">
        <v>18.09</v>
      </c>
      <c r="I481" s="113">
        <v>826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2.2357962469658634</v>
      </c>
      <c r="G482" s="116">
        <v>2.2546962469658633</v>
      </c>
      <c r="H482" s="116">
        <v>17.55</v>
      </c>
      <c r="I482" s="113">
        <v>8572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1.943543792108148</v>
      </c>
      <c r="G483" s="116">
        <v>1.9499437921081479</v>
      </c>
      <c r="H483" s="116">
        <v>17.55</v>
      </c>
      <c r="I483" s="113">
        <v>8977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96.369478575821773</v>
      </c>
      <c r="G484" s="116">
        <v>96.511878575821768</v>
      </c>
      <c r="H484" s="116">
        <v>18.38</v>
      </c>
      <c r="I484" s="113">
        <v>175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1.3328596243059543</v>
      </c>
      <c r="G485" s="116">
        <v>1.3470596243059543</v>
      </c>
      <c r="H485" s="116">
        <v>17.55</v>
      </c>
      <c r="I485" s="113">
        <v>10209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1.7983781190430563</v>
      </c>
      <c r="G486" s="116">
        <v>1.8144781190430563</v>
      </c>
      <c r="H486" s="116">
        <v>17.54</v>
      </c>
      <c r="I486" s="113">
        <v>9212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50.552466388416015</v>
      </c>
      <c r="G487" s="116">
        <v>54.565766388416016</v>
      </c>
      <c r="H487" s="116">
        <v>19.04</v>
      </c>
      <c r="I487" s="113">
        <v>2640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70.086342549438186</v>
      </c>
      <c r="G488" s="116">
        <v>71.404842549438186</v>
      </c>
      <c r="H488" s="116">
        <v>18.350000000000001</v>
      </c>
      <c r="I488" s="113">
        <v>1746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1.6323454515288667</v>
      </c>
      <c r="G489" s="116">
        <v>1.6392454515288666</v>
      </c>
      <c r="H489" s="116">
        <v>17.55</v>
      </c>
      <c r="I489" s="113">
        <v>9515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58.227575727904302</v>
      </c>
      <c r="G490" s="116">
        <v>64.116575727904305</v>
      </c>
      <c r="H490" s="116">
        <v>19.09</v>
      </c>
      <c r="I490" s="113">
        <v>2218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1743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34.140460405424427</v>
      </c>
      <c r="G492" s="116">
        <v>34.680460405424427</v>
      </c>
      <c r="H492" s="116">
        <v>18.11</v>
      </c>
      <c r="I492" s="113">
        <v>3912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96.231053698543974</v>
      </c>
      <c r="G493" s="116">
        <v>97.981053698543974</v>
      </c>
      <c r="H493" s="116">
        <v>19.21</v>
      </c>
      <c r="I493" s="113">
        <v>1765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100.89100000000001</v>
      </c>
      <c r="G494" s="116">
        <v>110.791</v>
      </c>
      <c r="H494" s="116">
        <v>21.5</v>
      </c>
      <c r="I494" s="113">
        <v>918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99.114000000000004</v>
      </c>
      <c r="G495" s="116">
        <v>100.9734</v>
      </c>
      <c r="H495" s="116">
        <v>4.83</v>
      </c>
      <c r="I495" s="113">
        <v>747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41011.185040116005</v>
      </c>
      <c r="G496" s="116">
        <v>41011.185040116005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95.289120481104348</v>
      </c>
      <c r="G497" s="116">
        <v>97.525220481104355</v>
      </c>
      <c r="H497" s="116">
        <v>17.96</v>
      </c>
      <c r="I497" s="113">
        <v>290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810.36194765753532</v>
      </c>
      <c r="G499" s="116">
        <v>810.36194765753532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92.284722937616152</v>
      </c>
      <c r="G500" s="116">
        <v>100.25972293761615</v>
      </c>
      <c r="H500" s="116">
        <v>25.41</v>
      </c>
      <c r="I500" s="113">
        <v>1128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91.195999999999998</v>
      </c>
      <c r="G501" s="116">
        <v>93.024100000000004</v>
      </c>
      <c r="H501" s="116">
        <v>5.63</v>
      </c>
      <c r="I501" s="113">
        <v>6885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98.453641648808997</v>
      </c>
      <c r="G502" s="116">
        <v>100.359241648809</v>
      </c>
      <c r="H502" s="116">
        <v>2.89</v>
      </c>
      <c r="I502" s="113">
        <v>1168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97.735896735467705</v>
      </c>
      <c r="G503" s="116">
        <v>98.282896735467716</v>
      </c>
      <c r="H503" s="116">
        <v>2.74</v>
      </c>
      <c r="I503" s="113">
        <v>397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85.408185240194499</v>
      </c>
      <c r="G504" s="116">
        <v>88.333285240194499</v>
      </c>
      <c r="H504" s="116">
        <v>15.09</v>
      </c>
      <c r="I504" s="113">
        <v>747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71.593153286589867</v>
      </c>
      <c r="G505" s="116">
        <v>74.719153286589858</v>
      </c>
      <c r="H505" s="116">
        <v>15.28</v>
      </c>
      <c r="I505" s="113">
        <v>1839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94.124471649037289</v>
      </c>
      <c r="G506" s="116">
        <v>95.497471649037294</v>
      </c>
      <c r="H506" s="116">
        <v>15.39</v>
      </c>
      <c r="I506" s="113">
        <v>297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83.387779364928193</v>
      </c>
      <c r="G507" s="116">
        <v>84.7993793649282</v>
      </c>
      <c r="H507" s="116">
        <v>15.16</v>
      </c>
      <c r="I507" s="113">
        <v>1025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72.228863997176248</v>
      </c>
      <c r="G508" s="116">
        <v>73.682663997176249</v>
      </c>
      <c r="H508" s="116">
        <v>15.3</v>
      </c>
      <c r="I508" s="113">
        <v>2117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72.228863997176248</v>
      </c>
      <c r="G509" s="116">
        <v>73.682663997176249</v>
      </c>
      <c r="H509" s="116">
        <v>15.3</v>
      </c>
      <c r="I509" s="113">
        <v>2117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110.283</v>
      </c>
      <c r="G510" s="116">
        <v>110.9691</v>
      </c>
      <c r="H510" s="116">
        <v>5.63</v>
      </c>
      <c r="I510" s="113">
        <v>7162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97.936999999999998</v>
      </c>
      <c r="G511" s="116">
        <v>99.770200000000003</v>
      </c>
      <c r="H511" s="116">
        <v>4.99</v>
      </c>
      <c r="I511" s="113">
        <v>3460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101.04900000000001</v>
      </c>
      <c r="G512" s="116">
        <v>101.8546</v>
      </c>
      <c r="H512" s="116">
        <v>4.82</v>
      </c>
      <c r="I512" s="113">
        <v>2462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101.40600000000001</v>
      </c>
      <c r="G513" s="116">
        <v>102.2921</v>
      </c>
      <c r="H513" s="116">
        <v>5.34</v>
      </c>
      <c r="I513" s="113">
        <v>4262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91.48132938121104</v>
      </c>
      <c r="G516" s="116">
        <v>100.70912938121103</v>
      </c>
      <c r="H516" s="116">
        <v>26.72</v>
      </c>
      <c r="I516" s="113">
        <v>929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59195.751150000011</v>
      </c>
      <c r="G517" s="116">
        <v>59195.751150000011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99.913706549119595</v>
      </c>
      <c r="G519" s="116">
        <v>108.84920654911959</v>
      </c>
      <c r="H519" s="116">
        <v>10.38</v>
      </c>
      <c r="I519" s="113">
        <v>38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318389.86230000004</v>
      </c>
      <c r="G521" s="116">
        <v>318389.86230000004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402397.2379500001</v>
      </c>
      <c r="G522" s="116">
        <v>402397.2379500001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94.892348126537755</v>
      </c>
      <c r="G523" s="116">
        <v>99.850648126537749</v>
      </c>
      <c r="H523" s="116">
        <v>22.3</v>
      </c>
      <c r="I523" s="113">
        <v>3425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99.621338667233985</v>
      </c>
      <c r="G524" s="116">
        <v>103.89633866723399</v>
      </c>
      <c r="H524" s="116">
        <v>20.41</v>
      </c>
      <c r="I524" s="113">
        <v>99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99.094132377074672</v>
      </c>
      <c r="G525" s="116">
        <v>100.70523237707467</v>
      </c>
      <c r="H525" s="116">
        <v>20.57</v>
      </c>
      <c r="I525" s="113">
        <v>691</v>
      </c>
      <c r="J525" s="115" t="s">
        <v>271</v>
      </c>
    </row>
    <row r="526" spans="1:10" x14ac:dyDescent="0.25">
      <c r="A526" s="113">
        <v>523</v>
      </c>
      <c r="B526" s="114" t="s">
        <v>2464</v>
      </c>
      <c r="C526" s="115" t="s">
        <v>2465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99.995504004057423</v>
      </c>
      <c r="G527" s="116">
        <v>103.90660400405743</v>
      </c>
      <c r="H527" s="116">
        <v>21.64</v>
      </c>
      <c r="I527" s="113">
        <v>26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99.980740621758699</v>
      </c>
      <c r="G528" s="116">
        <v>101.9140406217587</v>
      </c>
      <c r="H528" s="116">
        <v>12.1</v>
      </c>
      <c r="I528" s="113">
        <v>32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100.40902383113327</v>
      </c>
      <c r="G529" s="116">
        <v>102.54232383113326</v>
      </c>
      <c r="H529" s="116">
        <v>11.46</v>
      </c>
      <c r="I529" s="113">
        <v>296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99.787055596220966</v>
      </c>
      <c r="G530" s="116">
        <v>103.05375559622097</v>
      </c>
      <c r="H530" s="116">
        <v>25.53</v>
      </c>
      <c r="I530" s="113">
        <v>41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98.756338751356509</v>
      </c>
      <c r="G531" s="116">
        <v>103.5980387513565</v>
      </c>
      <c r="H531" s="116">
        <v>21.64</v>
      </c>
      <c r="I531" s="113">
        <v>817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99.382400000000004</v>
      </c>
      <c r="G532" s="116">
        <v>102.0102</v>
      </c>
      <c r="H532" s="116">
        <v>22</v>
      </c>
      <c r="I532" s="113">
        <v>496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98.86673136381178</v>
      </c>
      <c r="G534" s="116">
        <v>98.983431363811775</v>
      </c>
      <c r="H534" s="116">
        <v>22.06</v>
      </c>
      <c r="I534" s="113">
        <v>448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100.47172499991001</v>
      </c>
      <c r="G535" s="116">
        <v>101.03422499991001</v>
      </c>
      <c r="H535" s="116">
        <v>22.11</v>
      </c>
      <c r="I535" s="113">
        <v>531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99.999996333968468</v>
      </c>
      <c r="G536" s="116">
        <v>100.97779633396846</v>
      </c>
      <c r="H536" s="116">
        <v>21.98</v>
      </c>
      <c r="I536" s="113">
        <v>614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99.39</v>
      </c>
      <c r="G537" s="116">
        <v>101.54</v>
      </c>
      <c r="H537" s="116">
        <v>23.04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100.44071282312896</v>
      </c>
      <c r="G538" s="116">
        <v>101.66291282312895</v>
      </c>
      <c r="H538" s="116">
        <v>9.81</v>
      </c>
      <c r="I538" s="113">
        <v>140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98.505099999999999</v>
      </c>
      <c r="G539" s="116">
        <v>98.680099999999996</v>
      </c>
      <c r="H539" s="116">
        <v>22</v>
      </c>
      <c r="I539" s="113">
        <v>657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99.029520779784178</v>
      </c>
      <c r="G540" s="116">
        <v>99.640620779784172</v>
      </c>
      <c r="H540" s="116">
        <v>22.92</v>
      </c>
      <c r="I540" s="113">
        <v>440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100.22929055585703</v>
      </c>
      <c r="G541" s="116">
        <v>102.22929055585703</v>
      </c>
      <c r="H541" s="116">
        <v>23.31</v>
      </c>
      <c r="I541" s="113">
        <v>150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98.767330288053969</v>
      </c>
      <c r="G542" s="116">
        <v>100.78403028805397</v>
      </c>
      <c r="H542" s="116">
        <v>23.5</v>
      </c>
      <c r="I542" s="113">
        <v>327</v>
      </c>
      <c r="J542" s="115" t="s">
        <v>271</v>
      </c>
    </row>
    <row r="543" spans="1:10" x14ac:dyDescent="0.25">
      <c r="A543" s="113">
        <v>540</v>
      </c>
      <c r="B543" s="114" t="s">
        <v>2460</v>
      </c>
      <c r="C543" s="115" t="s">
        <v>2461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98.86909597267605</v>
      </c>
      <c r="G544" s="116">
        <v>104.55659597267605</v>
      </c>
      <c r="H544" s="116">
        <v>20.76</v>
      </c>
      <c r="I544" s="113">
        <v>255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98.853126461631177</v>
      </c>
      <c r="G545" s="116">
        <v>103.72812646163118</v>
      </c>
      <c r="H545" s="116">
        <v>20.77</v>
      </c>
      <c r="I545" s="113">
        <v>270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98.852276961970603</v>
      </c>
      <c r="G546" s="116">
        <v>103.67307696197059</v>
      </c>
      <c r="H546" s="116">
        <v>20.77</v>
      </c>
      <c r="I546" s="113">
        <v>271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101.99</v>
      </c>
      <c r="H547" s="116">
        <v>19.989999999999998</v>
      </c>
      <c r="I547" s="113">
        <v>864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100.186504559822</v>
      </c>
      <c r="G548" s="116">
        <v>104.01980455982199</v>
      </c>
      <c r="H548" s="116">
        <v>19.91</v>
      </c>
      <c r="I548" s="113">
        <v>1101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100.61750336286903</v>
      </c>
      <c r="G549" s="116">
        <v>101.35080336286903</v>
      </c>
      <c r="H549" s="116">
        <v>20.79</v>
      </c>
      <c r="I549" s="113">
        <v>198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99.70929255398805</v>
      </c>
      <c r="G550" s="116">
        <v>108.63149255398805</v>
      </c>
      <c r="H550" s="116">
        <v>22.16</v>
      </c>
      <c r="I550" s="113">
        <v>574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101.37151733100718</v>
      </c>
      <c r="G551" s="116">
        <v>103.03261733100717</v>
      </c>
      <c r="H551" s="116">
        <v>21.03</v>
      </c>
      <c r="I551" s="113">
        <v>274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101.3308239664309</v>
      </c>
      <c r="G552" s="116">
        <v>102.4169239664309</v>
      </c>
      <c r="H552" s="116">
        <v>20.94</v>
      </c>
      <c r="I552" s="113">
        <v>253</v>
      </c>
      <c r="J552" s="115" t="s">
        <v>271</v>
      </c>
    </row>
    <row r="553" spans="1:10" x14ac:dyDescent="0.25">
      <c r="A553" s="113">
        <v>550</v>
      </c>
      <c r="B553" s="114" t="s">
        <v>2462</v>
      </c>
      <c r="C553" s="115" t="s">
        <v>2463</v>
      </c>
      <c r="D553" s="115" t="s">
        <v>461</v>
      </c>
      <c r="E553" s="115" t="s">
        <v>1383</v>
      </c>
      <c r="F553" s="116">
        <v>100.96384555790632</v>
      </c>
      <c r="G553" s="116">
        <v>101.20824555790632</v>
      </c>
      <c r="H553" s="116">
        <v>20.91</v>
      </c>
      <c r="I553" s="113">
        <v>356</v>
      </c>
      <c r="J553" s="115" t="s">
        <v>271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99.941536432731098</v>
      </c>
      <c r="G554" s="116">
        <v>100.9415364327311</v>
      </c>
      <c r="H554" s="116">
        <v>20.48</v>
      </c>
      <c r="I554" s="113">
        <v>42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99.872018079337877</v>
      </c>
      <c r="G555" s="116">
        <v>101.48311807933788</v>
      </c>
      <c r="H555" s="116">
        <v>20.77</v>
      </c>
      <c r="I555" s="113">
        <v>61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99.400919508994733</v>
      </c>
      <c r="G556" s="116">
        <v>100.34531950899473</v>
      </c>
      <c r="H556" s="116">
        <v>21.38</v>
      </c>
      <c r="I556" s="113">
        <v>163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99.753654100161299</v>
      </c>
      <c r="G557" s="116">
        <v>99.864754100161306</v>
      </c>
      <c r="H557" s="116">
        <v>21.05</v>
      </c>
      <c r="I557" s="113">
        <v>88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99.719587392227098</v>
      </c>
      <c r="G558" s="116">
        <v>104.33068739222711</v>
      </c>
      <c r="H558" s="116">
        <v>21.06</v>
      </c>
      <c r="I558" s="113">
        <v>97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98.071211436181102</v>
      </c>
      <c r="G559" s="116">
        <v>100.0712114361811</v>
      </c>
      <c r="H559" s="116">
        <v>21.61</v>
      </c>
      <c r="I559" s="113">
        <v>504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97.507199999999997</v>
      </c>
      <c r="G560" s="116">
        <v>97.673900000000003</v>
      </c>
      <c r="H560" s="116">
        <v>22</v>
      </c>
      <c r="I560" s="113">
        <v>537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100.40960318150849</v>
      </c>
      <c r="G561" s="116">
        <v>104.25960318150848</v>
      </c>
      <c r="H561" s="116">
        <v>21.17</v>
      </c>
      <c r="I561" s="113">
        <v>207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100.16692067882047</v>
      </c>
      <c r="G562" s="116">
        <v>104.63362067882048</v>
      </c>
      <c r="H562" s="116">
        <v>23.32</v>
      </c>
      <c r="I562" s="113">
        <v>113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95.553647740172437</v>
      </c>
      <c r="G563" s="116">
        <v>98.275847740172438</v>
      </c>
      <c r="H563" s="116">
        <v>23.88</v>
      </c>
      <c r="I563" s="113">
        <v>491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97.831100000000006</v>
      </c>
      <c r="G564" s="116">
        <v>102.9353</v>
      </c>
      <c r="H564" s="116">
        <v>19.5</v>
      </c>
      <c r="I564" s="113">
        <v>435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99.882900000000006</v>
      </c>
      <c r="G565" s="116">
        <v>100.4496</v>
      </c>
      <c r="H565" s="116">
        <v>12.1</v>
      </c>
      <c r="I565" s="113">
        <v>433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</v>
      </c>
      <c r="G566" s="116">
        <v>100.9778</v>
      </c>
      <c r="H566" s="116">
        <v>21.99</v>
      </c>
      <c r="I566" s="113">
        <v>134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</v>
      </c>
      <c r="G567" s="116">
        <v>100</v>
      </c>
      <c r="H567" s="116">
        <v>22.01</v>
      </c>
      <c r="I567" s="113">
        <v>150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100.23567975319118</v>
      </c>
      <c r="G568" s="116">
        <v>100.84677975319117</v>
      </c>
      <c r="H568" s="116">
        <v>21.46</v>
      </c>
      <c r="I568" s="113">
        <v>170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100.36225004998947</v>
      </c>
      <c r="G569" s="116">
        <v>101.82895004998947</v>
      </c>
      <c r="H569" s="116">
        <v>21.25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98.91567115050286</v>
      </c>
      <c r="G571" s="116">
        <v>99.548971150502851</v>
      </c>
      <c r="H571" s="116">
        <v>14.52</v>
      </c>
      <c r="I571" s="113">
        <v>161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98.863351080498973</v>
      </c>
      <c r="G572" s="116">
        <v>99.130051080498973</v>
      </c>
      <c r="H572" s="116">
        <v>14.47</v>
      </c>
      <c r="I572" s="113">
        <v>172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100.24781802062326</v>
      </c>
      <c r="G573" s="116">
        <v>100.43111802062326</v>
      </c>
      <c r="H573" s="116">
        <v>21.46</v>
      </c>
      <c r="I573" s="113">
        <v>177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98.835909005537587</v>
      </c>
      <c r="G574" s="116">
        <v>98.902609005537599</v>
      </c>
      <c r="H574" s="116">
        <v>14.45</v>
      </c>
      <c r="I574" s="113">
        <v>178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98.835909005537587</v>
      </c>
      <c r="G575" s="116">
        <v>98.902609005537599</v>
      </c>
      <c r="H575" s="116">
        <v>14.45</v>
      </c>
      <c r="I575" s="113">
        <v>178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98.708700796008159</v>
      </c>
      <c r="G576" s="116">
        <v>99.608700796008151</v>
      </c>
      <c r="H576" s="116">
        <v>14.29</v>
      </c>
      <c r="I576" s="113">
        <v>213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98.488893334123929</v>
      </c>
      <c r="G577" s="116">
        <v>98.688893334123918</v>
      </c>
      <c r="H577" s="116">
        <v>14.18</v>
      </c>
      <c r="I577" s="113">
        <v>264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100.50472448033652</v>
      </c>
      <c r="G578" s="116">
        <v>101.29912448033653</v>
      </c>
      <c r="H578" s="116">
        <v>21.64</v>
      </c>
      <c r="I578" s="113">
        <v>617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98.613432103053185</v>
      </c>
      <c r="G579" s="116">
        <v>100.26343210305319</v>
      </c>
      <c r="H579" s="116">
        <v>22.93</v>
      </c>
      <c r="I579" s="113">
        <v>663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101.099</v>
      </c>
      <c r="H580" s="116">
        <v>22</v>
      </c>
      <c r="I580" s="113">
        <v>702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97.091970821205564</v>
      </c>
      <c r="G581" s="116">
        <v>97.525270821205567</v>
      </c>
      <c r="H581" s="116">
        <v>13.92</v>
      </c>
      <c r="I581" s="113">
        <v>617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96.916733528546686</v>
      </c>
      <c r="G582" s="116">
        <v>97.783433528546681</v>
      </c>
      <c r="H582" s="116">
        <v>13.9</v>
      </c>
      <c r="I582" s="113">
        <v>664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99.92</v>
      </c>
      <c r="G583" s="116">
        <v>100.22</v>
      </c>
      <c r="H583" s="116">
        <v>12.05</v>
      </c>
      <c r="I583" s="113">
        <v>651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100.274</v>
      </c>
      <c r="H584" s="116">
        <v>11</v>
      </c>
      <c r="I584" s="113">
        <v>711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99.925295342520513</v>
      </c>
      <c r="G585" s="116">
        <v>100.79199534252052</v>
      </c>
      <c r="H585" s="116">
        <v>18.7</v>
      </c>
      <c r="I585" s="113">
        <v>4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99.893957809556966</v>
      </c>
      <c r="G586" s="116">
        <v>101.29955780955696</v>
      </c>
      <c r="H586" s="116">
        <v>22.08</v>
      </c>
      <c r="I586" s="113">
        <v>427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99.959659828442938</v>
      </c>
      <c r="G587" s="116">
        <v>101.30135982844294</v>
      </c>
      <c r="H587" s="116">
        <v>21.21</v>
      </c>
      <c r="I587" s="113">
        <v>67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99.306885094924397</v>
      </c>
      <c r="G588" s="116">
        <v>100.00968509492439</v>
      </c>
      <c r="H588" s="116">
        <v>14.79</v>
      </c>
      <c r="I588" s="113">
        <v>67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102.7611</v>
      </c>
      <c r="H589" s="116">
        <v>13.99</v>
      </c>
      <c r="I589" s="113">
        <v>289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100.20966579334316</v>
      </c>
      <c r="G590" s="116">
        <v>101.18006579334318</v>
      </c>
      <c r="H590" s="116">
        <v>22.23</v>
      </c>
      <c r="I590" s="113">
        <v>75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99.374941251584417</v>
      </c>
      <c r="G591" s="116">
        <v>99.541641251584409</v>
      </c>
      <c r="H591" s="116">
        <v>21.02</v>
      </c>
      <c r="I591" s="113">
        <v>237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100.56124773848464</v>
      </c>
      <c r="G592" s="116">
        <v>100.86684773848464</v>
      </c>
      <c r="H592" s="116">
        <v>9.61</v>
      </c>
      <c r="I592" s="113">
        <v>559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</v>
      </c>
      <c r="G593" s="116">
        <v>100.88200000000001</v>
      </c>
      <c r="H593" s="116">
        <v>22.64</v>
      </c>
      <c r="I593" s="113">
        <v>706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95.795337123605734</v>
      </c>
      <c r="G594" s="116">
        <v>95.848137123605738</v>
      </c>
      <c r="H594" s="116">
        <v>21.24</v>
      </c>
      <c r="I594" s="113">
        <v>869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97.717256706379061</v>
      </c>
      <c r="G595" s="116">
        <v>98.139456706379065</v>
      </c>
      <c r="H595" s="116">
        <v>21.26</v>
      </c>
      <c r="I595" s="113">
        <v>412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99.524918547773851</v>
      </c>
      <c r="G596" s="116">
        <v>100.10821854777386</v>
      </c>
      <c r="H596" s="116">
        <v>21.25</v>
      </c>
      <c r="I596" s="113">
        <v>890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99.571824531267339</v>
      </c>
      <c r="G597" s="116">
        <v>100.56352453126733</v>
      </c>
      <c r="H597" s="116">
        <v>21.22</v>
      </c>
      <c r="I597" s="113">
        <v>913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100.23131277215822</v>
      </c>
      <c r="G598" s="116">
        <v>102.04381277215822</v>
      </c>
      <c r="H598" s="116">
        <v>22.39</v>
      </c>
      <c r="I598" s="113">
        <v>931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100.95251386241804</v>
      </c>
      <c r="G599" s="116">
        <v>101.49381386241804</v>
      </c>
      <c r="H599" s="116">
        <v>21.2</v>
      </c>
      <c r="I599" s="113">
        <v>1011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100.63099738121404</v>
      </c>
      <c r="G600" s="116">
        <v>101.01989738121405</v>
      </c>
      <c r="H600" s="116">
        <v>9.59</v>
      </c>
      <c r="I600" s="113">
        <v>616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90.917336272067899</v>
      </c>
      <c r="G601" s="116">
        <v>92.386736272067907</v>
      </c>
      <c r="H601" s="116">
        <v>46.39</v>
      </c>
      <c r="I601" s="113">
        <v>157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96.674909188891178</v>
      </c>
      <c r="G602" s="116">
        <v>97.258209188891186</v>
      </c>
      <c r="H602" s="116">
        <v>46.12</v>
      </c>
      <c r="I602" s="113">
        <v>50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70.375471252476643</v>
      </c>
      <c r="G603" s="116">
        <v>71.842171252476646</v>
      </c>
      <c r="H603" s="116">
        <v>46.08</v>
      </c>
      <c r="I603" s="113">
        <v>666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77.629549006706398</v>
      </c>
      <c r="G604" s="116">
        <v>79.321249006706395</v>
      </c>
      <c r="H604" s="116">
        <v>46.1</v>
      </c>
      <c r="I604" s="113">
        <v>421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62.576746703306107</v>
      </c>
      <c r="G605" s="116">
        <v>62.635046703306102</v>
      </c>
      <c r="H605" s="116">
        <v>46.03</v>
      </c>
      <c r="I605" s="113">
        <v>929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83.611331741367223</v>
      </c>
      <c r="G606" s="116">
        <v>84.033531741367213</v>
      </c>
      <c r="H606" s="116">
        <v>45.9</v>
      </c>
      <c r="I606" s="113">
        <v>262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69.921683153893568</v>
      </c>
      <c r="G607" s="116">
        <v>70.349483153893573</v>
      </c>
      <c r="H607" s="116">
        <v>46.06</v>
      </c>
      <c r="I607" s="113">
        <v>683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67.151095474791816</v>
      </c>
      <c r="G608" s="116">
        <v>67.326095474791813</v>
      </c>
      <c r="H608" s="116">
        <v>40.75</v>
      </c>
      <c r="I608" s="113">
        <v>1017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99.996300000000005</v>
      </c>
      <c r="G609" s="116">
        <v>101.2796</v>
      </c>
      <c r="H609" s="116">
        <v>22</v>
      </c>
      <c r="I609" s="113">
        <v>699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89.596754442831838</v>
      </c>
      <c r="G610" s="116">
        <v>89.666154442831839</v>
      </c>
      <c r="H610" s="116">
        <v>45.74</v>
      </c>
      <c r="I610" s="113">
        <v>209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79.704963618205198</v>
      </c>
      <c r="G611" s="116">
        <v>80.74666361820519</v>
      </c>
      <c r="H611" s="116">
        <v>46.14</v>
      </c>
      <c r="I611" s="113">
        <v>465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100.51977186099293</v>
      </c>
      <c r="G613" s="116">
        <v>100.75307186099293</v>
      </c>
      <c r="H613" s="116">
        <v>20.309999999999999</v>
      </c>
      <c r="I613" s="113">
        <v>296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99.989900000000006</v>
      </c>
      <c r="G614" s="116">
        <v>100.1066</v>
      </c>
      <c r="H614" s="116">
        <v>10.51</v>
      </c>
      <c r="I614" s="113">
        <v>596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99.221991787598526</v>
      </c>
      <c r="G615" s="116">
        <v>103.11089178759852</v>
      </c>
      <c r="H615" s="116">
        <v>21.04</v>
      </c>
      <c r="I615" s="113">
        <v>290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99.659351277064999</v>
      </c>
      <c r="G616" s="116">
        <v>100.534351277065</v>
      </c>
      <c r="H616" s="116">
        <v>21.26</v>
      </c>
      <c r="I616" s="113">
        <v>525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99.915160692076256</v>
      </c>
      <c r="G617" s="116">
        <v>104.21516069207625</v>
      </c>
      <c r="H617" s="116">
        <v>25.34</v>
      </c>
      <c r="I617" s="113">
        <v>4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99.798935874841703</v>
      </c>
      <c r="G618" s="116">
        <v>103.12393587484171</v>
      </c>
      <c r="H618" s="116">
        <v>21.18</v>
      </c>
      <c r="I618" s="113">
        <v>393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100.01310153922431</v>
      </c>
      <c r="G619" s="116">
        <v>102.57980153922432</v>
      </c>
      <c r="H619" s="116">
        <v>20.92</v>
      </c>
      <c r="I619" s="113">
        <v>226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99.701705140273305</v>
      </c>
      <c r="G620" s="116">
        <v>102.26840514027332</v>
      </c>
      <c r="H620" s="116">
        <v>21.2</v>
      </c>
      <c r="I620" s="113">
        <v>586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92.503375935941961</v>
      </c>
      <c r="G622" s="116">
        <v>92.503375935941961</v>
      </c>
      <c r="H622" s="116">
        <v>21.3</v>
      </c>
      <c r="I622" s="113">
        <v>137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94.744100000000003</v>
      </c>
      <c r="G623" s="116">
        <v>95.844099999999997</v>
      </c>
      <c r="H623" s="116">
        <v>17.52</v>
      </c>
      <c r="I623" s="113">
        <v>324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91.203557615334446</v>
      </c>
      <c r="G624" s="116">
        <v>92.525757615334442</v>
      </c>
      <c r="H624" s="116">
        <v>18</v>
      </c>
      <c r="I624" s="113">
        <v>1046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1466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1345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100.14129591966969</v>
      </c>
      <c r="G627" s="116">
        <v>104.7245959196697</v>
      </c>
      <c r="H627" s="116">
        <v>21.41</v>
      </c>
      <c r="I627" s="113">
        <v>105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98.942562863727048</v>
      </c>
      <c r="G628" s="116">
        <v>101.22036286372705</v>
      </c>
      <c r="H628" s="116">
        <v>21.8</v>
      </c>
      <c r="I628" s="113">
        <v>320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98.578803136118651</v>
      </c>
      <c r="G629" s="116">
        <v>101.14550313611865</v>
      </c>
      <c r="H629" s="116">
        <v>21.92</v>
      </c>
      <c r="I629" s="113">
        <v>676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99.734182883933883</v>
      </c>
      <c r="G630" s="116">
        <v>101.31748288393388</v>
      </c>
      <c r="H630" s="116">
        <v>12.86</v>
      </c>
      <c r="I630" s="113">
        <v>33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99.740577695659255</v>
      </c>
      <c r="G631" s="116">
        <v>101.35167769565925</v>
      </c>
      <c r="H631" s="116">
        <v>12.88</v>
      </c>
      <c r="I631" s="113">
        <v>32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97.509885230011648</v>
      </c>
      <c r="G632" s="116">
        <v>99.954285230011649</v>
      </c>
      <c r="H632" s="116">
        <v>23.17</v>
      </c>
      <c r="I632" s="113">
        <v>316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101.52024584934192</v>
      </c>
      <c r="G633" s="116">
        <v>104.04804584934192</v>
      </c>
      <c r="H633" s="116">
        <v>11.91</v>
      </c>
      <c r="I633" s="113">
        <v>560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93.467122963693271</v>
      </c>
      <c r="G634" s="116">
        <v>97.411522963693272</v>
      </c>
      <c r="H634" s="116">
        <v>23.22</v>
      </c>
      <c r="I634" s="113">
        <v>1009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3091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105.3053</v>
      </c>
      <c r="H636" s="116">
        <v>7.06</v>
      </c>
      <c r="I636" s="113">
        <v>2188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101.0844</v>
      </c>
      <c r="H637" s="116">
        <v>6.08</v>
      </c>
      <c r="I637" s="113">
        <v>1706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105.95610000000001</v>
      </c>
      <c r="H638" s="116">
        <v>7.08</v>
      </c>
      <c r="I638" s="113">
        <v>2188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90.415510735485626</v>
      </c>
      <c r="G639" s="116">
        <v>91.881610735485623</v>
      </c>
      <c r="H639" s="116">
        <v>20.5</v>
      </c>
      <c r="I639" s="113">
        <v>3571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104.5581</v>
      </c>
      <c r="H640" s="116">
        <v>6.07</v>
      </c>
      <c r="I640" s="113">
        <v>2543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100.2542</v>
      </c>
      <c r="H641" s="116">
        <v>6.09</v>
      </c>
      <c r="I641" s="113">
        <v>2115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104.5581</v>
      </c>
      <c r="H642" s="116">
        <v>6.09</v>
      </c>
      <c r="I642" s="113">
        <v>2610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105.20189999999999</v>
      </c>
      <c r="H643" s="116">
        <v>6.09</v>
      </c>
      <c r="I643" s="113">
        <v>2543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105.20189999999999</v>
      </c>
      <c r="H644" s="116">
        <v>6.09</v>
      </c>
      <c r="I644" s="113">
        <v>2543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104.0667</v>
      </c>
      <c r="H645" s="116">
        <v>6.08</v>
      </c>
      <c r="I645" s="113">
        <v>2610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100.79759811168425</v>
      </c>
      <c r="G646" s="116">
        <v>101.68369811168425</v>
      </c>
      <c r="H646" s="116">
        <v>10.67</v>
      </c>
      <c r="I646" s="113">
        <v>1051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101.13634025473773</v>
      </c>
      <c r="G647" s="116">
        <v>105.68634025473773</v>
      </c>
      <c r="H647" s="116">
        <v>25.4</v>
      </c>
      <c r="I647" s="113">
        <v>1017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97.712299999999999</v>
      </c>
      <c r="G649" s="116">
        <v>97.712299999999999</v>
      </c>
      <c r="H649" s="116">
        <v>15.26</v>
      </c>
      <c r="I649" s="113">
        <v>56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93.380399999999995</v>
      </c>
      <c r="G650" s="116">
        <v>93.380399999999995</v>
      </c>
      <c r="H650" s="116">
        <v>16.07</v>
      </c>
      <c r="I650" s="113">
        <v>161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89.413700000000006</v>
      </c>
      <c r="G651" s="116">
        <v>89.413700000000006</v>
      </c>
      <c r="H651" s="116">
        <v>16.690000000000001</v>
      </c>
      <c r="I651" s="113">
        <v>259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89.513498560305024</v>
      </c>
      <c r="G655" s="116">
        <v>92.030198560305024</v>
      </c>
      <c r="H655" s="116">
        <v>10.76</v>
      </c>
      <c r="I655" s="113">
        <v>929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97.928700000000006</v>
      </c>
      <c r="G656" s="116">
        <v>99.055000000000007</v>
      </c>
      <c r="H656" s="116">
        <v>16.21</v>
      </c>
      <c r="I656" s="113">
        <v>142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97.935299999999998</v>
      </c>
      <c r="G657" s="116">
        <v>100.4179</v>
      </c>
      <c r="H657" s="116">
        <v>16.46</v>
      </c>
      <c r="I657" s="113">
        <v>295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97.478099999999998</v>
      </c>
      <c r="G658" s="116">
        <v>103.7717</v>
      </c>
      <c r="H658" s="116">
        <v>16.600000000000001</v>
      </c>
      <c r="I658" s="113">
        <v>377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101.7051</v>
      </c>
      <c r="G659" s="116">
        <v>102.74460000000001</v>
      </c>
      <c r="H659" s="116">
        <v>16.39</v>
      </c>
      <c r="I659" s="113">
        <v>1418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94.950199999999995</v>
      </c>
      <c r="G660" s="116">
        <v>95.679400000000001</v>
      </c>
      <c r="H660" s="116">
        <v>16.55</v>
      </c>
      <c r="I660" s="113">
        <v>335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97.686899999999994</v>
      </c>
      <c r="G661" s="116">
        <v>101.99339999999999</v>
      </c>
      <c r="H661" s="116">
        <v>16.600000000000001</v>
      </c>
      <c r="I661" s="113">
        <v>799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13239.138750000002</v>
      </c>
      <c r="G663" s="116">
        <v>13239.138750000002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272083.79040000006</v>
      </c>
      <c r="G664" s="116">
        <v>272083.79040000006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108278.68200000002</v>
      </c>
      <c r="G665" s="116">
        <v>108278.68200000002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16.658999999999999</v>
      </c>
      <c r="I666" s="113">
        <v>1431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370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17.225999999999999</v>
      </c>
      <c r="I668" s="113">
        <v>765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17.425999999999998</v>
      </c>
      <c r="I669" s="113">
        <v>1159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1624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17.626000000000001</v>
      </c>
      <c r="I671" s="113">
        <v>1934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99.877399999999994</v>
      </c>
      <c r="G672" s="116">
        <v>99.877399999999994</v>
      </c>
      <c r="H672" s="116">
        <v>11.798</v>
      </c>
      <c r="I672" s="113">
        <v>88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99.947400000000002</v>
      </c>
      <c r="G673" s="116">
        <v>99.947400000000002</v>
      </c>
      <c r="H673" s="116">
        <v>11.798</v>
      </c>
      <c r="I673" s="113">
        <v>391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99.840599999999995</v>
      </c>
      <c r="G674" s="116">
        <v>99.840599999999995</v>
      </c>
      <c r="H674" s="116">
        <v>11.798</v>
      </c>
      <c r="I674" s="113">
        <v>210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99.998199999999997</v>
      </c>
      <c r="G675" s="116">
        <v>99.998199999999997</v>
      </c>
      <c r="H675" s="116">
        <v>11.798</v>
      </c>
      <c r="I675" s="113">
        <v>359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99.908699999999996</v>
      </c>
      <c r="G676" s="116">
        <v>99.908699999999996</v>
      </c>
      <c r="H676" s="116">
        <v>11.798</v>
      </c>
      <c r="I676" s="113">
        <v>59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99.861800000000002</v>
      </c>
      <c r="G677" s="116">
        <v>99.861800000000002</v>
      </c>
      <c r="H677" s="116">
        <v>11.888</v>
      </c>
      <c r="I677" s="113">
        <v>1184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99.907499999999999</v>
      </c>
      <c r="G678" s="116">
        <v>99.907499999999999</v>
      </c>
      <c r="H678" s="116">
        <v>11.798</v>
      </c>
      <c r="I678" s="113">
        <v>60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99.876900000000006</v>
      </c>
      <c r="G679" s="116">
        <v>99.876900000000006</v>
      </c>
      <c r="H679" s="116">
        <v>11.798</v>
      </c>
      <c r="I679" s="113">
        <v>269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99.833200000000005</v>
      </c>
      <c r="G680" s="116">
        <v>99.833200000000005</v>
      </c>
      <c r="H680" s="116">
        <v>11.888</v>
      </c>
      <c r="I680" s="113">
        <v>1615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99.876900000000006</v>
      </c>
      <c r="G681" s="116">
        <v>99.876900000000006</v>
      </c>
      <c r="H681" s="116">
        <v>11.798</v>
      </c>
      <c r="I681" s="113">
        <v>269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99.951999999999998</v>
      </c>
      <c r="G682" s="116">
        <v>99.951999999999998</v>
      </c>
      <c r="H682" s="116">
        <v>11.798</v>
      </c>
      <c r="I682" s="113">
        <v>331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99.854699999999994</v>
      </c>
      <c r="G683" s="116">
        <v>99.854699999999994</v>
      </c>
      <c r="H683" s="116">
        <v>11.798</v>
      </c>
      <c r="I683" s="113">
        <v>600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99.950500000000005</v>
      </c>
      <c r="G684" s="116">
        <v>99.950500000000005</v>
      </c>
      <c r="H684" s="116">
        <v>11.798</v>
      </c>
      <c r="I684" s="113">
        <v>690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1259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99.908600000000007</v>
      </c>
      <c r="G686" s="116">
        <v>99.908600000000007</v>
      </c>
      <c r="H686" s="116">
        <v>11.798</v>
      </c>
      <c r="I686" s="113">
        <v>1379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99.909800000000004</v>
      </c>
      <c r="G687" s="116">
        <v>99.909800000000004</v>
      </c>
      <c r="H687" s="116">
        <v>11.798</v>
      </c>
      <c r="I687" s="113">
        <v>660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99.878299999999996</v>
      </c>
      <c r="G688" s="116">
        <v>99.878299999999996</v>
      </c>
      <c r="H688" s="116">
        <v>11.798</v>
      </c>
      <c r="I688" s="113">
        <v>807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896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99.996399999999994</v>
      </c>
      <c r="G690" s="116">
        <v>99.996399999999994</v>
      </c>
      <c r="H690" s="116">
        <v>11.798</v>
      </c>
      <c r="I690" s="113">
        <v>1438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99.878699999999995</v>
      </c>
      <c r="G691" s="116">
        <v>99.878699999999995</v>
      </c>
      <c r="H691" s="116">
        <v>11.798</v>
      </c>
      <c r="I691" s="113">
        <v>1711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99.996399999999994</v>
      </c>
      <c r="G692" s="116">
        <v>99.996399999999994</v>
      </c>
      <c r="H692" s="116">
        <v>11.798</v>
      </c>
      <c r="I692" s="113">
        <v>1078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99.8523</v>
      </c>
      <c r="G693" s="116">
        <v>99.8523</v>
      </c>
      <c r="H693" s="116">
        <v>11.798</v>
      </c>
      <c r="I693" s="113">
        <v>1201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99.909800000000004</v>
      </c>
      <c r="G694" s="116">
        <v>99.909800000000004</v>
      </c>
      <c r="H694" s="116">
        <v>11.798</v>
      </c>
      <c r="I694" s="113">
        <v>1380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99.8399</v>
      </c>
      <c r="G695" s="116">
        <v>99.8399</v>
      </c>
      <c r="H695" s="116">
        <v>11.798</v>
      </c>
      <c r="I695" s="113">
        <v>1589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99.948999999999998</v>
      </c>
      <c r="G696" s="116">
        <v>99.948999999999998</v>
      </c>
      <c r="H696" s="116">
        <v>11.798</v>
      </c>
      <c r="I696" s="113">
        <v>1830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99.952100000000002</v>
      </c>
      <c r="G697" s="116">
        <v>99.952100000000002</v>
      </c>
      <c r="H697" s="116">
        <v>11.798</v>
      </c>
      <c r="I697" s="113">
        <v>2188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99.852900000000005</v>
      </c>
      <c r="G698" s="116">
        <v>99.852900000000005</v>
      </c>
      <c r="H698" s="116">
        <v>11.798</v>
      </c>
      <c r="I698" s="113">
        <v>2280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90.250900000000001</v>
      </c>
      <c r="G699" s="116">
        <v>93.139799999999994</v>
      </c>
      <c r="H699" s="116">
        <v>17.3</v>
      </c>
      <c r="I699" s="113">
        <v>620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95.247399999999999</v>
      </c>
      <c r="G700" s="116">
        <v>102.7274</v>
      </c>
      <c r="H700" s="116">
        <v>17.09</v>
      </c>
      <c r="I700" s="113">
        <v>1264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84.893699999999995</v>
      </c>
      <c r="G701" s="116">
        <v>90.626999999999995</v>
      </c>
      <c r="H701" s="116">
        <v>16.97</v>
      </c>
      <c r="I701" s="113">
        <v>1628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86.315899999999999</v>
      </c>
      <c r="G702" s="116">
        <v>90.273700000000005</v>
      </c>
      <c r="H702" s="116">
        <v>17.22</v>
      </c>
      <c r="I702" s="113">
        <v>943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83.0321</v>
      </c>
      <c r="G703" s="116">
        <v>89.2654</v>
      </c>
      <c r="H703" s="116">
        <v>16.920000000000002</v>
      </c>
      <c r="I703" s="113">
        <v>1973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91.197500000000005</v>
      </c>
      <c r="G704" s="116">
        <v>98.2136</v>
      </c>
      <c r="H704" s="116">
        <v>16.850000000000001</v>
      </c>
      <c r="I704" s="113">
        <v>2347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84.563900000000004</v>
      </c>
      <c r="G705" s="116">
        <v>93.347099999999998</v>
      </c>
      <c r="H705" s="116">
        <v>17.14</v>
      </c>
      <c r="I705" s="113">
        <v>1138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82.436000000000007</v>
      </c>
      <c r="G706" s="116">
        <v>83.344499999999996</v>
      </c>
      <c r="H706" s="116">
        <v>17.03</v>
      </c>
      <c r="I706" s="113">
        <v>1409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82.071799999999996</v>
      </c>
      <c r="G707" s="116">
        <v>88.335700000000003</v>
      </c>
      <c r="H707" s="116">
        <v>17.010000000000002</v>
      </c>
      <c r="I707" s="113">
        <v>1595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89.691199999999995</v>
      </c>
      <c r="G708" s="116">
        <v>93.8523</v>
      </c>
      <c r="H708" s="116">
        <v>16.89</v>
      </c>
      <c r="I708" s="113">
        <v>2053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89.954999999999998</v>
      </c>
      <c r="G709" s="116">
        <v>93.326700000000002</v>
      </c>
      <c r="H709" s="116">
        <v>16.809999999999999</v>
      </c>
      <c r="I709" s="113">
        <v>2796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94.028499999999994</v>
      </c>
      <c r="G710" s="116">
        <v>95.444100000000006</v>
      </c>
      <c r="H710" s="116">
        <v>17.16</v>
      </c>
      <c r="I710" s="113">
        <v>304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84.406199999999998</v>
      </c>
      <c r="G711" s="116">
        <v>88.959000000000003</v>
      </c>
      <c r="H711" s="116">
        <v>17.079999999999998</v>
      </c>
      <c r="I711" s="113">
        <v>1291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88.839699999999993</v>
      </c>
      <c r="G712" s="116">
        <v>92.7286</v>
      </c>
      <c r="H712" s="116">
        <v>16.84</v>
      </c>
      <c r="I712" s="113">
        <v>2420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89.749799999999993</v>
      </c>
      <c r="G713" s="116">
        <v>96.7179</v>
      </c>
      <c r="H713" s="116">
        <v>16.78</v>
      </c>
      <c r="I713" s="113">
        <v>3067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89.490899999999996</v>
      </c>
      <c r="G714" s="116">
        <v>93.815899999999999</v>
      </c>
      <c r="H714" s="116">
        <v>17.3</v>
      </c>
      <c r="I714" s="113">
        <v>547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87.664299999999997</v>
      </c>
      <c r="G715" s="116">
        <v>89.064300000000003</v>
      </c>
      <c r="H715" s="116">
        <v>17.309999999999999</v>
      </c>
      <c r="I715" s="113">
        <v>664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77.218999999999994</v>
      </c>
      <c r="G716" s="116">
        <v>81.853999999999999</v>
      </c>
      <c r="H716" s="116">
        <v>16.88</v>
      </c>
      <c r="I716" s="113">
        <v>1998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86.9893</v>
      </c>
      <c r="G717" s="116">
        <v>94.611500000000007</v>
      </c>
      <c r="H717" s="116">
        <v>16.78</v>
      </c>
      <c r="I717" s="113">
        <v>3404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75.783000000000001</v>
      </c>
      <c r="G718" s="116">
        <v>76.759299999999996</v>
      </c>
      <c r="H718" s="116">
        <v>16.82</v>
      </c>
      <c r="I718" s="113">
        <v>2487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74.190200000000004</v>
      </c>
      <c r="G719" s="116">
        <v>74.368399999999994</v>
      </c>
      <c r="H719" s="116">
        <v>16.79</v>
      </c>
      <c r="I719" s="113">
        <v>2874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85.645200000000003</v>
      </c>
      <c r="G720" s="116">
        <v>87.076899999999995</v>
      </c>
      <c r="H720" s="116">
        <v>17.32</v>
      </c>
      <c r="I720" s="113">
        <v>651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70.458500000000001</v>
      </c>
      <c r="G721" s="116">
        <v>73.013900000000007</v>
      </c>
      <c r="H721" s="116">
        <v>16.87</v>
      </c>
      <c r="I721" s="113">
        <v>2051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70.781000000000006</v>
      </c>
      <c r="G722" s="116">
        <v>76.178299999999993</v>
      </c>
      <c r="H722" s="116">
        <v>16.78</v>
      </c>
      <c r="I722" s="113">
        <v>3048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86.324399999999997</v>
      </c>
      <c r="G723" s="116">
        <v>90.123599999999996</v>
      </c>
      <c r="H723" s="116">
        <v>16.72</v>
      </c>
      <c r="I723" s="113">
        <v>4583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98.988200000000006</v>
      </c>
      <c r="G724" s="116">
        <v>103.65179999999999</v>
      </c>
      <c r="H724" s="116">
        <v>16.41</v>
      </c>
      <c r="I724" s="113">
        <v>34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97.6708</v>
      </c>
      <c r="G725" s="116">
        <v>101.6014</v>
      </c>
      <c r="H725" s="116">
        <v>16.63</v>
      </c>
      <c r="I725" s="113">
        <v>77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67.825699999999998</v>
      </c>
      <c r="G726" s="116">
        <v>70.947500000000005</v>
      </c>
      <c r="H726" s="116">
        <v>16.82</v>
      </c>
      <c r="I726" s="113">
        <v>2387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69.908900000000003</v>
      </c>
      <c r="G727" s="116">
        <v>74.720699999999994</v>
      </c>
      <c r="H727" s="116">
        <v>16.739999999999998</v>
      </c>
      <c r="I727" s="113">
        <v>3431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97.555099999999996</v>
      </c>
      <c r="G728" s="116">
        <v>101.8329</v>
      </c>
      <c r="H728" s="116">
        <v>16.63</v>
      </c>
      <c r="I728" s="113">
        <v>85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90.254599999999996</v>
      </c>
      <c r="G729" s="116">
        <v>90.422700000000006</v>
      </c>
      <c r="H729" s="116">
        <v>17.239999999999998</v>
      </c>
      <c r="I729" s="113">
        <v>349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87.191000000000003</v>
      </c>
      <c r="G730" s="116">
        <v>91.024299999999997</v>
      </c>
      <c r="H730" s="116">
        <v>17.34</v>
      </c>
      <c r="I730" s="113">
        <v>444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84.701999999999998</v>
      </c>
      <c r="G731" s="116">
        <v>87.02</v>
      </c>
      <c r="H731" s="116">
        <v>17.3</v>
      </c>
      <c r="I731" s="113">
        <v>568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80.891099999999994</v>
      </c>
      <c r="G732" s="116">
        <v>86.091399999999993</v>
      </c>
      <c r="H732" s="116">
        <v>17.309999999999999</v>
      </c>
      <c r="I732" s="113">
        <v>739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81.805899999999994</v>
      </c>
      <c r="G733" s="116">
        <v>87.312799999999996</v>
      </c>
      <c r="H733" s="116">
        <v>17.28</v>
      </c>
      <c r="I733" s="113">
        <v>775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76.473200000000006</v>
      </c>
      <c r="G734" s="116">
        <v>81.667599999999993</v>
      </c>
      <c r="H734" s="116">
        <v>17.13</v>
      </c>
      <c r="I734" s="113">
        <v>1181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74.537999999999997</v>
      </c>
      <c r="G735" s="116">
        <v>74.879300000000001</v>
      </c>
      <c r="H735" s="116">
        <v>17.03</v>
      </c>
      <c r="I735" s="113">
        <v>1424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72.376900000000006</v>
      </c>
      <c r="G736" s="116">
        <v>76.750200000000007</v>
      </c>
      <c r="H736" s="116">
        <v>17</v>
      </c>
      <c r="I736" s="113">
        <v>1595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66.320499999999996</v>
      </c>
      <c r="G737" s="116">
        <v>69.808599999999998</v>
      </c>
      <c r="H737" s="116">
        <v>16.79</v>
      </c>
      <c r="I737" s="113">
        <v>2735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65.400300000000001</v>
      </c>
      <c r="G738" s="116">
        <v>68.3613</v>
      </c>
      <c r="H738" s="116">
        <v>16.78</v>
      </c>
      <c r="I738" s="113">
        <v>2754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70.938000000000002</v>
      </c>
      <c r="G739" s="116">
        <v>71.0578</v>
      </c>
      <c r="H739" s="116">
        <v>16.73</v>
      </c>
      <c r="I739" s="113">
        <v>3956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71.660300000000007</v>
      </c>
      <c r="G740" s="116">
        <v>78.136799999999994</v>
      </c>
      <c r="H740" s="116">
        <v>16.73</v>
      </c>
      <c r="I740" s="113">
        <v>4109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79.908000000000001</v>
      </c>
      <c r="G741" s="116">
        <v>84.471900000000005</v>
      </c>
      <c r="H741" s="116">
        <v>17.29</v>
      </c>
      <c r="I741" s="113">
        <v>770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75.626599999999996</v>
      </c>
      <c r="G742" s="116">
        <v>77.445999999999998</v>
      </c>
      <c r="H742" s="116">
        <v>17.22</v>
      </c>
      <c r="I742" s="113">
        <v>949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73.877799999999993</v>
      </c>
      <c r="G743" s="116">
        <v>79.057000000000002</v>
      </c>
      <c r="H743" s="116">
        <v>17.170000000000002</v>
      </c>
      <c r="I743" s="113">
        <v>1101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59.820099999999996</v>
      </c>
      <c r="G744" s="116">
        <v>60.5032</v>
      </c>
      <c r="H744" s="116">
        <v>16.71</v>
      </c>
      <c r="I744" s="113">
        <v>3931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60.038800000000002</v>
      </c>
      <c r="G745" s="116">
        <v>64.823800000000006</v>
      </c>
      <c r="H745" s="116">
        <v>16.72</v>
      </c>
      <c r="I745" s="113">
        <v>4122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56.571800000000003</v>
      </c>
      <c r="G746" s="116">
        <v>58.481499999999997</v>
      </c>
      <c r="H746" s="116">
        <v>16.8</v>
      </c>
      <c r="I746" s="113">
        <v>2395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61.530700000000003</v>
      </c>
      <c r="G747" s="116">
        <v>63.929299999999998</v>
      </c>
      <c r="H747" s="116">
        <v>16.739999999999998</v>
      </c>
      <c r="I747" s="113">
        <v>3133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60.118899999999996</v>
      </c>
      <c r="G748" s="116">
        <v>64.826400000000007</v>
      </c>
      <c r="H748" s="116">
        <v>16.739999999999998</v>
      </c>
      <c r="I748" s="113">
        <v>3390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53.9724</v>
      </c>
      <c r="G749" s="116">
        <v>59.436599999999999</v>
      </c>
      <c r="H749" s="116">
        <v>16.68</v>
      </c>
      <c r="I749" s="113">
        <v>4791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55.855499999999999</v>
      </c>
      <c r="G750" s="116">
        <v>56.644100000000002</v>
      </c>
      <c r="H750" s="116">
        <v>16.68</v>
      </c>
      <c r="I750" s="113">
        <v>5006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55.316299999999998</v>
      </c>
      <c r="G751" s="116">
        <v>59.570999999999998</v>
      </c>
      <c r="H751" s="116">
        <v>16.690000000000001</v>
      </c>
      <c r="I751" s="113">
        <v>5217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54.3735</v>
      </c>
      <c r="G752" s="116">
        <v>62.3748</v>
      </c>
      <c r="H752" s="116">
        <v>16.670000000000002</v>
      </c>
      <c r="I752" s="113">
        <v>6867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99.769499999999994</v>
      </c>
      <c r="G753" s="116">
        <v>99.769499999999994</v>
      </c>
      <c r="H753" s="116">
        <v>14.288</v>
      </c>
      <c r="I753" s="113">
        <v>2011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64727.963850000015</v>
      </c>
      <c r="G754" s="116">
        <v>64727.963850000015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485.95838070000008</v>
      </c>
      <c r="G755" s="116">
        <v>485.95838070000008</v>
      </c>
      <c r="H755" s="116">
        <v>0</v>
      </c>
      <c r="I755" s="113">
        <v>2039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7217.6827500000018</v>
      </c>
      <c r="G756" s="116">
        <v>7217.6827500000018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80.888292554322121</v>
      </c>
      <c r="G757" s="116">
        <v>82.921592554322118</v>
      </c>
      <c r="H757" s="116">
        <v>19.260000000000002</v>
      </c>
      <c r="I757" s="113">
        <v>1379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99.643199999999993</v>
      </c>
      <c r="G758" s="116">
        <v>106.7349</v>
      </c>
      <c r="H758" s="116">
        <v>19</v>
      </c>
      <c r="I758" s="113">
        <v>222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99.681994529014119</v>
      </c>
      <c r="G759" s="116">
        <v>104.01529452901411</v>
      </c>
      <c r="H759" s="116">
        <v>14.64</v>
      </c>
      <c r="I759" s="113">
        <v>24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98.772937751124871</v>
      </c>
      <c r="G760" s="116">
        <v>99.567337751124867</v>
      </c>
      <c r="H760" s="116">
        <v>14</v>
      </c>
      <c r="I760" s="113">
        <v>154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99.963099999999997</v>
      </c>
      <c r="G761" s="116">
        <v>102.9575</v>
      </c>
      <c r="H761" s="116">
        <v>11</v>
      </c>
      <c r="I761" s="113">
        <v>262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99.033151946994266</v>
      </c>
      <c r="G762" s="116">
        <v>101.39565194699426</v>
      </c>
      <c r="H762" s="116">
        <v>14.04</v>
      </c>
      <c r="I762" s="113">
        <v>99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90.331566013479218</v>
      </c>
      <c r="G763" s="116">
        <v>92.303766013479219</v>
      </c>
      <c r="H763" s="116">
        <v>13.31</v>
      </c>
      <c r="I763" s="113">
        <v>1369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39228.172950000007</v>
      </c>
      <c r="G764" s="116">
        <v>39228.172950000007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655720.42950000009</v>
      </c>
      <c r="G765" s="116">
        <v>655720.42950000009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98.487571006386773</v>
      </c>
      <c r="G766" s="116">
        <v>101.75977100638677</v>
      </c>
      <c r="H766" s="116">
        <v>19.79</v>
      </c>
      <c r="I766" s="113">
        <v>838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41986.214850000011</v>
      </c>
      <c r="G767" s="116">
        <v>41986.214850000011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868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96.59634022247684</v>
      </c>
      <c r="G772" s="116">
        <v>96.657140222476841</v>
      </c>
      <c r="H772" s="116">
        <v>18.46</v>
      </c>
      <c r="I772" s="113">
        <v>178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35.837821247212766</v>
      </c>
      <c r="G773" s="116">
        <v>37.171121247212767</v>
      </c>
      <c r="H773" s="116">
        <v>18.920000000000002</v>
      </c>
      <c r="I773" s="113">
        <v>3480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105.95610000000001</v>
      </c>
      <c r="H775" s="116">
        <v>7.08</v>
      </c>
      <c r="I775" s="113">
        <v>2188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100.2542</v>
      </c>
      <c r="H776" s="116">
        <v>6.09</v>
      </c>
      <c r="I776" s="113">
        <v>2115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105.20189999999999</v>
      </c>
      <c r="H777" s="116">
        <v>6.09</v>
      </c>
      <c r="I777" s="113">
        <v>2543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105.20189999999999</v>
      </c>
      <c r="H778" s="116">
        <v>6.09</v>
      </c>
      <c r="I778" s="113">
        <v>2543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104.0667</v>
      </c>
      <c r="H779" s="116">
        <v>6.08</v>
      </c>
      <c r="I779" s="113">
        <v>2610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99.229100000000003</v>
      </c>
      <c r="G780" s="116">
        <v>99.229100000000003</v>
      </c>
      <c r="H780" s="116">
        <v>14.92</v>
      </c>
      <c r="I780" s="113">
        <v>19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95587.925850000014</v>
      </c>
      <c r="G781" s="116">
        <v>95587.925850000014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100.67964689372064</v>
      </c>
      <c r="G782" s="116">
        <v>104.04634689372064</v>
      </c>
      <c r="H782" s="116">
        <v>5.86</v>
      </c>
      <c r="I782" s="113">
        <v>2318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105.155</v>
      </c>
      <c r="G783" s="116">
        <v>105.6217</v>
      </c>
      <c r="H783" s="116">
        <v>4.55</v>
      </c>
      <c r="I783" s="113">
        <v>1412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100.9175</v>
      </c>
      <c r="H784" s="116">
        <v>19.5</v>
      </c>
      <c r="I784" s="113">
        <v>103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100.23711654705454</v>
      </c>
      <c r="G785" s="116">
        <v>101.62601654705455</v>
      </c>
      <c r="H785" s="116">
        <v>19.510000000000002</v>
      </c>
      <c r="I785" s="113">
        <v>185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100.20668317416191</v>
      </c>
      <c r="G786" s="116">
        <v>100.59558317416192</v>
      </c>
      <c r="H786" s="116">
        <v>19.649999999999999</v>
      </c>
      <c r="I786" s="113">
        <v>233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128490.88185000002</v>
      </c>
      <c r="G787" s="116">
        <v>128490.88185000002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86.231788698507913</v>
      </c>
      <c r="G788" s="116">
        <v>94.296388698507911</v>
      </c>
      <c r="H788" s="116">
        <v>23.57</v>
      </c>
      <c r="I788" s="113">
        <v>3156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94.806044805549334</v>
      </c>
      <c r="G789" s="116">
        <v>96.001844805549339</v>
      </c>
      <c r="H789" s="116">
        <v>17.010000000000002</v>
      </c>
      <c r="I789" s="113">
        <v>319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88.416059980888448</v>
      </c>
      <c r="G790" s="116">
        <v>91.974359980888437</v>
      </c>
      <c r="H790" s="116">
        <v>17.11</v>
      </c>
      <c r="I790" s="113">
        <v>778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25252.481100000005</v>
      </c>
      <c r="G791" s="116">
        <v>25252.481100000005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104.6133</v>
      </c>
      <c r="H792" s="116">
        <v>9.6</v>
      </c>
      <c r="I792" s="113">
        <v>367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100.429</v>
      </c>
      <c r="G793" s="116">
        <v>100.4748</v>
      </c>
      <c r="H793" s="116">
        <v>3.9</v>
      </c>
      <c r="I793" s="113">
        <v>716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99.115966447501577</v>
      </c>
      <c r="G794" s="116">
        <v>99.355166447501574</v>
      </c>
      <c r="H794" s="116">
        <v>4.6399999999999997</v>
      </c>
      <c r="I794" s="113">
        <v>144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13298.278050000003</v>
      </c>
      <c r="G795" s="116">
        <v>13298.278050000003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39513.116850000006</v>
      </c>
      <c r="G796" s="116">
        <v>39513.116850000006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98.436999999999998</v>
      </c>
      <c r="G798" s="116">
        <v>98.905799999999999</v>
      </c>
      <c r="H798" s="116">
        <v>4.25</v>
      </c>
      <c r="I798" s="113">
        <v>1215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97.233000000000004</v>
      </c>
      <c r="G799" s="116">
        <v>97.466300000000004</v>
      </c>
      <c r="H799" s="116">
        <v>4.21</v>
      </c>
      <c r="I799" s="113">
        <v>872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100.4667</v>
      </c>
      <c r="H800" s="116">
        <v>14</v>
      </c>
      <c r="I800" s="113">
        <v>1878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100.57005018744812</v>
      </c>
      <c r="G801" s="116">
        <v>101.67005018744811</v>
      </c>
      <c r="H801" s="116">
        <v>17.309999999999999</v>
      </c>
      <c r="I801" s="113">
        <v>338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100.57005018744812</v>
      </c>
      <c r="G802" s="116">
        <v>101.67005018744811</v>
      </c>
      <c r="H802" s="116">
        <v>17.309999999999999</v>
      </c>
      <c r="I802" s="113">
        <v>338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3433.125</v>
      </c>
      <c r="G803" s="116">
        <v>3433.125</v>
      </c>
      <c r="H803" s="116">
        <v>0</v>
      </c>
      <c r="I803" s="113">
        <v>209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100.09439999999999</v>
      </c>
      <c r="H804" s="116">
        <v>4.24</v>
      </c>
      <c r="I804" s="113">
        <v>292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100.08750000000001</v>
      </c>
      <c r="H805" s="116">
        <v>0.35</v>
      </c>
      <c r="I805" s="113">
        <v>90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100.0836</v>
      </c>
      <c r="H806" s="116">
        <v>0.35</v>
      </c>
      <c r="I806" s="113">
        <v>274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100.0894</v>
      </c>
      <c r="H807" s="116">
        <v>0.35</v>
      </c>
      <c r="I807" s="113">
        <v>628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3091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101.0844</v>
      </c>
      <c r="H809" s="116">
        <v>6.08</v>
      </c>
      <c r="I809" s="113">
        <v>1706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105.95610000000001</v>
      </c>
      <c r="H810" s="116">
        <v>7.08</v>
      </c>
      <c r="I810" s="113">
        <v>2188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90.418579430395752</v>
      </c>
      <c r="G811" s="116">
        <v>92.491379430395753</v>
      </c>
      <c r="H811" s="116">
        <v>20.49</v>
      </c>
      <c r="I811" s="113">
        <v>3559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100.2542</v>
      </c>
      <c r="H812" s="116">
        <v>6.09</v>
      </c>
      <c r="I812" s="113">
        <v>2115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105.20189999999999</v>
      </c>
      <c r="H813" s="116">
        <v>6.09</v>
      </c>
      <c r="I813" s="113">
        <v>2543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105.20189999999999</v>
      </c>
      <c r="H814" s="116">
        <v>6.09</v>
      </c>
      <c r="I814" s="113">
        <v>2543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104.0667</v>
      </c>
      <c r="H815" s="116">
        <v>6.08</v>
      </c>
      <c r="I815" s="113">
        <v>2610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37548.079200000007</v>
      </c>
      <c r="G816" s="116">
        <v>37548.079200000007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99.138000000000005</v>
      </c>
      <c r="G818" s="116">
        <v>99.923400000000001</v>
      </c>
      <c r="H818" s="116">
        <v>4.41</v>
      </c>
      <c r="I818" s="113">
        <v>273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98.694999999999993</v>
      </c>
      <c r="G819" s="116">
        <v>100.0804</v>
      </c>
      <c r="H819" s="116">
        <v>4.0599999999999996</v>
      </c>
      <c r="I819" s="113">
        <v>1667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99.887</v>
      </c>
      <c r="G820" s="116">
        <v>101.72029999999999</v>
      </c>
      <c r="H820" s="116">
        <v>4.03</v>
      </c>
      <c r="I820" s="113">
        <v>1275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101.22</v>
      </c>
      <c r="G821" s="116">
        <v>102.795</v>
      </c>
      <c r="H821" s="116">
        <v>4.01</v>
      </c>
      <c r="I821" s="113">
        <v>954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85663.276050000015</v>
      </c>
      <c r="G822" s="116">
        <v>85663.276050000015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308596.93185000005</v>
      </c>
      <c r="G823" s="116">
        <v>308596.93185000005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95.714632710443226</v>
      </c>
      <c r="G825" s="116">
        <v>101.88133271044322</v>
      </c>
      <c r="H825" s="116">
        <v>31.8</v>
      </c>
      <c r="I825" s="113">
        <v>1636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73.222517720758788</v>
      </c>
      <c r="G826" s="116">
        <v>77.500317720758787</v>
      </c>
      <c r="H826" s="116">
        <v>29.95</v>
      </c>
      <c r="I826" s="113">
        <v>2083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70.50862266854341</v>
      </c>
      <c r="G827" s="116">
        <v>74.897522668543402</v>
      </c>
      <c r="H827" s="116">
        <v>29.9</v>
      </c>
      <c r="I827" s="113">
        <v>2801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237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98.681073418777132</v>
      </c>
      <c r="G836" s="116">
        <v>100.44327341877714</v>
      </c>
      <c r="H836" s="116">
        <v>4.18</v>
      </c>
      <c r="I836" s="113">
        <v>905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100.505</v>
      </c>
      <c r="G837" s="116">
        <v>102.12130000000001</v>
      </c>
      <c r="H837" s="116">
        <v>4.22</v>
      </c>
      <c r="I837" s="113">
        <v>1307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97.602000000000004</v>
      </c>
      <c r="G838" s="116">
        <v>97.782600000000002</v>
      </c>
      <c r="H838" s="116">
        <v>4.25</v>
      </c>
      <c r="I838" s="113">
        <v>514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98.843999999999994</v>
      </c>
      <c r="G839" s="116">
        <v>99.954400000000007</v>
      </c>
      <c r="H839" s="116">
        <v>4.28</v>
      </c>
      <c r="I839" s="113">
        <v>417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532.33165635000012</v>
      </c>
      <c r="G840" s="116">
        <v>532.33165635000012</v>
      </c>
      <c r="H840" s="116">
        <v>0</v>
      </c>
      <c r="I840" s="113">
        <v>591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47316.816300000006</v>
      </c>
      <c r="G841" s="116">
        <v>47316.816300000006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95.230937645347495</v>
      </c>
      <c r="G842" s="116">
        <v>96.862237645347491</v>
      </c>
      <c r="H842" s="116">
        <v>22.85</v>
      </c>
      <c r="I842" s="113">
        <v>871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461</v>
      </c>
      <c r="E843" s="115" t="s">
        <v>2018</v>
      </c>
      <c r="F843" s="116">
        <v>97.346862643559774</v>
      </c>
      <c r="G843" s="116">
        <v>98.571862643559783</v>
      </c>
      <c r="H843" s="116">
        <v>22.24</v>
      </c>
      <c r="I843" s="113">
        <v>1059</v>
      </c>
      <c r="J843" s="115" t="s">
        <v>271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100.425</v>
      </c>
      <c r="H844" s="116">
        <v>4.24</v>
      </c>
      <c r="I844" s="113">
        <v>264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101.54649999999999</v>
      </c>
      <c r="H845" s="116">
        <v>4.24</v>
      </c>
      <c r="I845" s="113">
        <v>529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100.0797</v>
      </c>
      <c r="H846" s="116">
        <v>0.35</v>
      </c>
      <c r="I846" s="113">
        <v>278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95.525585875614738</v>
      </c>
      <c r="G847" s="116">
        <v>100.32558587561473</v>
      </c>
      <c r="H847" s="116">
        <v>19.64</v>
      </c>
      <c r="I847" s="113">
        <v>200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3091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101.0844</v>
      </c>
      <c r="H849" s="116">
        <v>6.08</v>
      </c>
      <c r="I849" s="113">
        <v>1706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105.95610000000001</v>
      </c>
      <c r="H850" s="116">
        <v>7.08</v>
      </c>
      <c r="I850" s="113">
        <v>2188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100.2542</v>
      </c>
      <c r="H851" s="116">
        <v>6.09</v>
      </c>
      <c r="I851" s="113">
        <v>2115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105.20189999999999</v>
      </c>
      <c r="H852" s="116">
        <v>6.09</v>
      </c>
      <c r="I852" s="113">
        <v>2543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105.20189999999999</v>
      </c>
      <c r="H853" s="116">
        <v>6.09</v>
      </c>
      <c r="I853" s="113">
        <v>2543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104.0667</v>
      </c>
      <c r="H854" s="116">
        <v>6.08</v>
      </c>
      <c r="I854" s="113">
        <v>2610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91.599167751007286</v>
      </c>
      <c r="G857" s="116">
        <v>93.012367751007289</v>
      </c>
      <c r="H857" s="116">
        <v>20.94</v>
      </c>
      <c r="I857" s="113">
        <v>503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100.1283</v>
      </c>
      <c r="H858" s="116">
        <v>0.35</v>
      </c>
      <c r="I858" s="113">
        <v>48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100.08750000000001</v>
      </c>
      <c r="H859" s="116">
        <v>0.35</v>
      </c>
      <c r="I859" s="113">
        <v>90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100.0797</v>
      </c>
      <c r="H860" s="116">
        <v>0.35</v>
      </c>
      <c r="I860" s="113">
        <v>278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3091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101.0844</v>
      </c>
      <c r="H862" s="116">
        <v>6.08</v>
      </c>
      <c r="I862" s="113">
        <v>1706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105.95610000000001</v>
      </c>
      <c r="H863" s="116">
        <v>7.08</v>
      </c>
      <c r="I863" s="113">
        <v>2188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90.418579430395752</v>
      </c>
      <c r="G864" s="116">
        <v>92.491379430395753</v>
      </c>
      <c r="H864" s="116">
        <v>20.49</v>
      </c>
      <c r="I864" s="113">
        <v>3559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90.415510735485626</v>
      </c>
      <c r="G865" s="116">
        <v>91.881610735485623</v>
      </c>
      <c r="H865" s="116">
        <v>20.5</v>
      </c>
      <c r="I865" s="113">
        <v>3571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100.2542</v>
      </c>
      <c r="H866" s="116">
        <v>6.09</v>
      </c>
      <c r="I866" s="113">
        <v>2115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105.20189999999999</v>
      </c>
      <c r="H867" s="116">
        <v>6.09</v>
      </c>
      <c r="I867" s="113">
        <v>2543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104.0667</v>
      </c>
      <c r="H869" s="116">
        <v>6.08</v>
      </c>
      <c r="I869" s="113">
        <v>2610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87.042894455154666</v>
      </c>
      <c r="G870" s="116">
        <v>87.801194455154672</v>
      </c>
      <c r="H870" s="116">
        <v>18.8</v>
      </c>
      <c r="I870" s="113">
        <v>694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96.757000000000005</v>
      </c>
      <c r="G871" s="116">
        <v>97.429199999999994</v>
      </c>
      <c r="H871" s="116">
        <v>4.9000000000000004</v>
      </c>
      <c r="I871" s="113">
        <v>419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98.267704964122586</v>
      </c>
      <c r="G873" s="116">
        <v>101.03660496412259</v>
      </c>
      <c r="H873" s="116">
        <v>18.260000000000002</v>
      </c>
      <c r="I873" s="113">
        <v>91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94.977100291826886</v>
      </c>
      <c r="G874" s="116">
        <v>95.689600291826878</v>
      </c>
      <c r="H874" s="116">
        <v>30.13</v>
      </c>
      <c r="I874" s="113">
        <v>3231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347365.43115000008</v>
      </c>
      <c r="G875" s="116">
        <v>347365.43115000008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102.0765</v>
      </c>
      <c r="G877" s="116">
        <v>102.1348</v>
      </c>
      <c r="H877" s="116">
        <v>20</v>
      </c>
      <c r="I877" s="113">
        <v>989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101.56529999999999</v>
      </c>
      <c r="H878" s="116">
        <v>11.49</v>
      </c>
      <c r="I878" s="113">
        <v>2291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103.61109999999999</v>
      </c>
      <c r="H879" s="116">
        <v>12.98</v>
      </c>
      <c r="I879" s="113">
        <v>1160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102</v>
      </c>
      <c r="H880" s="116">
        <v>7.98</v>
      </c>
      <c r="I880" s="113">
        <v>450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102</v>
      </c>
      <c r="H881" s="116">
        <v>8</v>
      </c>
      <c r="I881" s="113">
        <v>2250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103</v>
      </c>
      <c r="H882" s="116">
        <v>7.98</v>
      </c>
      <c r="I882" s="113">
        <v>225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103</v>
      </c>
      <c r="H883" s="116">
        <v>7.98</v>
      </c>
      <c r="I883" s="113">
        <v>225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103</v>
      </c>
      <c r="H884" s="116">
        <v>7.99</v>
      </c>
      <c r="I884" s="113">
        <v>585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103</v>
      </c>
      <c r="H885" s="116">
        <v>7.99</v>
      </c>
      <c r="I885" s="113">
        <v>585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90.367726918472897</v>
      </c>
      <c r="G886" s="116">
        <v>90.91632691847289</v>
      </c>
      <c r="H886" s="116">
        <v>23.61</v>
      </c>
      <c r="I886" s="113">
        <v>1430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100.3188</v>
      </c>
      <c r="H887" s="116">
        <v>4.24</v>
      </c>
      <c r="I887" s="113">
        <v>273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100.0943</v>
      </c>
      <c r="H888" s="116">
        <v>0.35</v>
      </c>
      <c r="I888" s="113">
        <v>83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100.0797</v>
      </c>
      <c r="H889" s="116">
        <v>0.35</v>
      </c>
      <c r="I889" s="113">
        <v>278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100.10209999999999</v>
      </c>
      <c r="H890" s="116">
        <v>0.35</v>
      </c>
      <c r="I890" s="113">
        <v>615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100.014</v>
      </c>
      <c r="H891" s="116">
        <v>0.02</v>
      </c>
      <c r="I891" s="113">
        <v>3091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104.8319</v>
      </c>
      <c r="H892" s="116">
        <v>7.05</v>
      </c>
      <c r="I892" s="113">
        <v>2188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100.0039</v>
      </c>
      <c r="H893" s="116">
        <v>0.02</v>
      </c>
      <c r="I893" s="113">
        <v>3091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100.0044</v>
      </c>
      <c r="H894" s="116">
        <v>0.02</v>
      </c>
      <c r="I894" s="113">
        <v>3091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101.0844</v>
      </c>
      <c r="H895" s="116">
        <v>6.08</v>
      </c>
      <c r="I895" s="113">
        <v>1706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100.2542</v>
      </c>
      <c r="H896" s="116">
        <v>6.09</v>
      </c>
      <c r="I896" s="113">
        <v>2115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102.9992</v>
      </c>
      <c r="H897" s="116">
        <v>6.06</v>
      </c>
      <c r="I897" s="113">
        <v>2613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105.20189999999999</v>
      </c>
      <c r="H898" s="116">
        <v>6.09</v>
      </c>
      <c r="I898" s="113">
        <v>2543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105.20189999999999</v>
      </c>
      <c r="H899" s="116">
        <v>6.09</v>
      </c>
      <c r="I899" s="113">
        <v>2543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104.0667</v>
      </c>
      <c r="H900" s="116">
        <v>6.08</v>
      </c>
      <c r="I900" s="113">
        <v>2610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46733.487750000008</v>
      </c>
      <c r="G901" s="116">
        <v>46733.487750000008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94.542191758908913</v>
      </c>
      <c r="G902" s="116">
        <v>98.475791758908912</v>
      </c>
      <c r="H902" s="116">
        <v>20.73</v>
      </c>
      <c r="I902" s="113">
        <v>236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86.289275724600373</v>
      </c>
      <c r="G903" s="116">
        <v>87.297575724600364</v>
      </c>
      <c r="H903" s="116">
        <v>19.98</v>
      </c>
      <c r="I903" s="113">
        <v>685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27.264224176350226</v>
      </c>
      <c r="G904" s="116">
        <v>27.314224176350226</v>
      </c>
      <c r="H904" s="116">
        <v>19.440000000000001</v>
      </c>
      <c r="I904" s="113">
        <v>3231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66.436915215407936</v>
      </c>
      <c r="G905" s="116">
        <v>71.100815215407934</v>
      </c>
      <c r="H905" s="116">
        <v>19.52</v>
      </c>
      <c r="I905" s="113">
        <v>3274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66.539535694085899</v>
      </c>
      <c r="G906" s="116">
        <v>71.874235694085897</v>
      </c>
      <c r="H906" s="116">
        <v>19.52</v>
      </c>
      <c r="I906" s="113">
        <v>3253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105.873</v>
      </c>
      <c r="G909" s="116">
        <v>108.4782</v>
      </c>
      <c r="H909" s="116">
        <v>5.82</v>
      </c>
      <c r="I909" s="113">
        <v>1317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82.565027071901781</v>
      </c>
      <c r="G911" s="116">
        <v>84.690027071901781</v>
      </c>
      <c r="H911" s="116">
        <v>17.16</v>
      </c>
      <c r="I911" s="113">
        <v>995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9.4987579624567982</v>
      </c>
      <c r="G912" s="116">
        <v>9.5412579624567968</v>
      </c>
      <c r="H912" s="116">
        <v>16.68</v>
      </c>
      <c r="I912" s="113">
        <v>5462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26.4202355377478</v>
      </c>
      <c r="G913" s="116">
        <v>26.478835537747802</v>
      </c>
      <c r="H913" s="116">
        <v>17.37</v>
      </c>
      <c r="I913" s="113">
        <v>3029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26.4202355377478</v>
      </c>
      <c r="G914" s="116">
        <v>26.478835537747802</v>
      </c>
      <c r="H914" s="116">
        <v>17.37</v>
      </c>
      <c r="I914" s="113">
        <v>3029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4.6382785040292189</v>
      </c>
      <c r="G915" s="116">
        <v>4.6949785040292191</v>
      </c>
      <c r="H915" s="116">
        <v>16.84</v>
      </c>
      <c r="I915" s="113">
        <v>7262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9.4992557006439107</v>
      </c>
      <c r="G916" s="116">
        <v>9.5836557006439111</v>
      </c>
      <c r="H916" s="116">
        <v>15.94</v>
      </c>
      <c r="I916" s="113">
        <v>5462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26.566858055474409</v>
      </c>
      <c r="G917" s="116">
        <v>26.654058055474408</v>
      </c>
      <c r="H917" s="116">
        <v>16.350000000000001</v>
      </c>
      <c r="I917" s="113">
        <v>3016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26.487118063996849</v>
      </c>
      <c r="G918" s="116">
        <v>26.547418063996851</v>
      </c>
      <c r="H918" s="116">
        <v>17.37</v>
      </c>
      <c r="I918" s="113">
        <v>3023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26.4202355377478</v>
      </c>
      <c r="G919" s="116">
        <v>26.478835537747802</v>
      </c>
      <c r="H919" s="116">
        <v>17.37</v>
      </c>
      <c r="I919" s="113">
        <v>3029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26.487118063996849</v>
      </c>
      <c r="G920" s="116">
        <v>26.547418063996851</v>
      </c>
      <c r="H920" s="116">
        <v>17.37</v>
      </c>
      <c r="I920" s="113">
        <v>3023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97.419600761432932</v>
      </c>
      <c r="G921" s="116">
        <v>103.54460076143293</v>
      </c>
      <c r="H921" s="116">
        <v>17.440000000000001</v>
      </c>
      <c r="I921" s="113">
        <v>115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84.941220946813814</v>
      </c>
      <c r="G922" s="116">
        <v>85.941220946813814</v>
      </c>
      <c r="H922" s="116">
        <v>17.260000000000002</v>
      </c>
      <c r="I922" s="113">
        <v>672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185807.61615000005</v>
      </c>
      <c r="G924" s="116">
        <v>185807.61615000005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91.628500000000003</v>
      </c>
      <c r="G925" s="116">
        <v>94.078500000000005</v>
      </c>
      <c r="H925" s="116">
        <v>22</v>
      </c>
      <c r="I925" s="113">
        <v>1031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99.732839596100604</v>
      </c>
      <c r="G926" s="116">
        <v>99.843939596100611</v>
      </c>
      <c r="H926" s="116">
        <v>21.14</v>
      </c>
      <c r="I926" s="113">
        <v>88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99.739745085942332</v>
      </c>
      <c r="G927" s="116">
        <v>100.12864508594234</v>
      </c>
      <c r="H927" s="116">
        <v>21.14</v>
      </c>
      <c r="I927" s="113">
        <v>83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110622.74880000002</v>
      </c>
      <c r="G928" s="116">
        <v>110622.74880000002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15518.689950000004</v>
      </c>
      <c r="G929" s="116">
        <v>15518.689950000004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50910.872850000007</v>
      </c>
      <c r="G930" s="116">
        <v>50910.872850000007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21706.811250000002</v>
      </c>
      <c r="G932" s="116">
        <v>21706.811250000002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96.90625</v>
      </c>
      <c r="G933" s="116">
        <v>97.040450000000007</v>
      </c>
      <c r="H933" s="116">
        <v>3.98</v>
      </c>
      <c r="I933" s="113">
        <v>2727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98.953125</v>
      </c>
      <c r="G934" s="116">
        <v>99.101725000000002</v>
      </c>
      <c r="H934" s="116">
        <v>4.03</v>
      </c>
      <c r="I934" s="113">
        <v>2908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108.1015625</v>
      </c>
      <c r="G935" s="116">
        <v>108.3077625</v>
      </c>
      <c r="H935" s="116">
        <v>3.72</v>
      </c>
      <c r="I935" s="113">
        <v>1996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97.40625</v>
      </c>
      <c r="G936" s="116">
        <v>97.693950000000001</v>
      </c>
      <c r="H936" s="116">
        <v>3.75</v>
      </c>
      <c r="I936" s="113">
        <v>489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93.0546875</v>
      </c>
      <c r="G937" s="116">
        <v>93.280687499999999</v>
      </c>
      <c r="H937" s="116">
        <v>3.6</v>
      </c>
      <c r="I937" s="113">
        <v>1220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87.328125</v>
      </c>
      <c r="G938" s="116">
        <v>87.371324999999999</v>
      </c>
      <c r="H938" s="116">
        <v>3.71</v>
      </c>
      <c r="I938" s="113">
        <v>1996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99.296875</v>
      </c>
      <c r="G939" s="116">
        <v>99.343074999999999</v>
      </c>
      <c r="H939" s="116">
        <v>0.89</v>
      </c>
      <c r="I939" s="113">
        <v>504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100.00573486169351</v>
      </c>
      <c r="G940" s="116">
        <v>102.4989348616935</v>
      </c>
      <c r="H940" s="116">
        <v>3.89</v>
      </c>
      <c r="I940" s="113">
        <v>2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100.0708094804626</v>
      </c>
      <c r="G941" s="116">
        <v>102.1393094804626</v>
      </c>
      <c r="H941" s="116">
        <v>4.1399999999999997</v>
      </c>
      <c r="I941" s="113">
        <v>32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100.19140625</v>
      </c>
      <c r="G942" s="116">
        <v>101.39350625</v>
      </c>
      <c r="H942" s="116">
        <v>4.09</v>
      </c>
      <c r="I942" s="113">
        <v>93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102.296325</v>
      </c>
      <c r="H943" s="116">
        <v>3.81</v>
      </c>
      <c r="I943" s="113">
        <v>443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104.2109375</v>
      </c>
      <c r="G944" s="116">
        <v>105.3513375</v>
      </c>
      <c r="H944" s="116">
        <v>3.8</v>
      </c>
      <c r="I944" s="113">
        <v>2101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101.9375</v>
      </c>
      <c r="G945" s="116">
        <v>103.208</v>
      </c>
      <c r="H945" s="116">
        <v>4.1100000000000003</v>
      </c>
      <c r="I945" s="113">
        <v>3181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99.918302909829137</v>
      </c>
      <c r="G946" s="116">
        <v>99.918302909829137</v>
      </c>
      <c r="H946" s="116">
        <v>4.91</v>
      </c>
      <c r="I946" s="113">
        <v>5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99.593086164964191</v>
      </c>
      <c r="G947" s="116">
        <v>99.593086164964191</v>
      </c>
      <c r="H947" s="116">
        <v>4.33</v>
      </c>
      <c r="I947" s="113">
        <v>33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102.61479375</v>
      </c>
      <c r="H948" s="116">
        <v>4</v>
      </c>
      <c r="I948" s="113">
        <v>183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100.078125</v>
      </c>
      <c r="G949" s="116">
        <v>100.415825</v>
      </c>
      <c r="H949" s="116">
        <v>4.0599999999999996</v>
      </c>
      <c r="I949" s="113">
        <v>155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97.50390625</v>
      </c>
      <c r="G950" s="116">
        <v>98.042606250000006</v>
      </c>
      <c r="H950" s="116">
        <v>3.82</v>
      </c>
      <c r="I950" s="113">
        <v>428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99.359375</v>
      </c>
      <c r="G951" s="116">
        <v>100.73887499999999</v>
      </c>
      <c r="H951" s="116">
        <v>4.8</v>
      </c>
      <c r="I951" s="113">
        <v>6652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99.284161197764121</v>
      </c>
      <c r="G952" s="116">
        <v>99.284161197764121</v>
      </c>
      <c r="H952" s="116">
        <v>4.1900000000000004</v>
      </c>
      <c r="I952" s="113">
        <v>61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98.969970036841573</v>
      </c>
      <c r="G953" s="116">
        <v>98.969970036841573</v>
      </c>
      <c r="H953" s="116">
        <v>4.12</v>
      </c>
      <c r="I953" s="113">
        <v>89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98.686645229734282</v>
      </c>
      <c r="G954" s="116">
        <v>98.686645229734282</v>
      </c>
      <c r="H954" s="116">
        <v>4.03</v>
      </c>
      <c r="I954" s="113">
        <v>117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98.428506864157995</v>
      </c>
      <c r="G955" s="116">
        <v>98.428506864157995</v>
      </c>
      <c r="H955" s="116">
        <v>3.94</v>
      </c>
      <c r="I955" s="113">
        <v>143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98.148804493034149</v>
      </c>
      <c r="G956" s="116">
        <v>98.148804493034149</v>
      </c>
      <c r="H956" s="116">
        <v>3.9</v>
      </c>
      <c r="I956" s="113">
        <v>170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97.912403254347808</v>
      </c>
      <c r="G957" s="116">
        <v>97.912403254347808</v>
      </c>
      <c r="H957" s="116">
        <v>3.8</v>
      </c>
      <c r="I957" s="113">
        <v>200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100.50390625</v>
      </c>
      <c r="G958" s="116">
        <v>100.83160624999999</v>
      </c>
      <c r="H958" s="116">
        <v>3.76</v>
      </c>
      <c r="I958" s="113">
        <v>520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97.654652082994872</v>
      </c>
      <c r="G959" s="116">
        <v>97.654652082994872</v>
      </c>
      <c r="H959" s="116">
        <v>3.76</v>
      </c>
      <c r="I959" s="113">
        <v>227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97.400251996096415</v>
      </c>
      <c r="G960" s="116">
        <v>97.400251996096415</v>
      </c>
      <c r="H960" s="116">
        <v>3.72</v>
      </c>
      <c r="I960" s="113">
        <v>255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99.695609917663887</v>
      </c>
      <c r="G961" s="116">
        <v>99.695609917663887</v>
      </c>
      <c r="H961" s="116">
        <v>4.4000000000000004</v>
      </c>
      <c r="I961" s="113">
        <v>24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109.3046875</v>
      </c>
      <c r="G962" s="116">
        <v>109.5395875</v>
      </c>
      <c r="H962" s="116">
        <v>3.58</v>
      </c>
      <c r="I962" s="113">
        <v>1447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86.6171875</v>
      </c>
      <c r="G963" s="116">
        <v>86.871287499999994</v>
      </c>
      <c r="H963" s="116">
        <v>3.72</v>
      </c>
      <c r="I963" s="113">
        <v>1904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76.59375</v>
      </c>
      <c r="G964" s="116">
        <v>77.464950000000002</v>
      </c>
      <c r="H964" s="116">
        <v>4.8899999999999997</v>
      </c>
      <c r="I964" s="113">
        <v>7018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72.703125</v>
      </c>
      <c r="G965" s="116">
        <v>73.356525000000005</v>
      </c>
      <c r="H965" s="116">
        <v>4.7300000000000004</v>
      </c>
      <c r="I965" s="113">
        <v>5738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98.46484375</v>
      </c>
      <c r="G966" s="116">
        <v>98.494643749999994</v>
      </c>
      <c r="H966" s="116">
        <v>4.0599999999999996</v>
      </c>
      <c r="I966" s="113">
        <v>155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99.807313844565343</v>
      </c>
      <c r="G967" s="116">
        <v>100.80181384456534</v>
      </c>
      <c r="H967" s="116">
        <v>4.1100000000000003</v>
      </c>
      <c r="I967" s="113">
        <v>63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86.296875</v>
      </c>
      <c r="G968" s="116">
        <v>87.458475000000007</v>
      </c>
      <c r="H968" s="116">
        <v>4.92</v>
      </c>
      <c r="I968" s="113">
        <v>9940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98.1484375</v>
      </c>
      <c r="G969" s="116">
        <v>98.458737499999998</v>
      </c>
      <c r="H969" s="116">
        <v>3.98</v>
      </c>
      <c r="I969" s="113">
        <v>214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97.51953125</v>
      </c>
      <c r="G970" s="116">
        <v>97.663331249999999</v>
      </c>
      <c r="H970" s="116">
        <v>3.92</v>
      </c>
      <c r="I970" s="113">
        <v>305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99.995422812443451</v>
      </c>
      <c r="G971" s="116">
        <v>100.81732281244345</v>
      </c>
      <c r="H971" s="116">
        <v>4</v>
      </c>
      <c r="I971" s="113">
        <v>108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99.893756067925565</v>
      </c>
      <c r="G972" s="116">
        <v>101.13485606792555</v>
      </c>
      <c r="H972" s="116">
        <v>4.2</v>
      </c>
      <c r="I972" s="113">
        <v>32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99.987678960404708</v>
      </c>
      <c r="G973" s="116">
        <v>101.35887896040471</v>
      </c>
      <c r="H973" s="116">
        <v>4.99</v>
      </c>
      <c r="I973" s="113">
        <v>2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93.90625</v>
      </c>
      <c r="G974" s="116">
        <v>94.741150000000005</v>
      </c>
      <c r="H974" s="116">
        <v>3.92</v>
      </c>
      <c r="I974" s="113">
        <v>2451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100.15649999999999</v>
      </c>
      <c r="H975" s="116">
        <v>0.35</v>
      </c>
      <c r="I975" s="113">
        <v>319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100.1225</v>
      </c>
      <c r="H976" s="116">
        <v>0.35</v>
      </c>
      <c r="I976" s="113">
        <v>54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100.04179999999999</v>
      </c>
      <c r="H977" s="116">
        <v>0.35</v>
      </c>
      <c r="I977" s="113">
        <v>677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3091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90.415510735485626</v>
      </c>
      <c r="G979" s="116">
        <v>91.881610735485623</v>
      </c>
      <c r="H979" s="116">
        <v>20.5</v>
      </c>
      <c r="I979" s="113">
        <v>3571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99.307839431366503</v>
      </c>
      <c r="G982" s="116">
        <v>104.0891394313665</v>
      </c>
      <c r="H982" s="116">
        <v>20.58</v>
      </c>
      <c r="I982" s="113">
        <v>995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100.0894</v>
      </c>
      <c r="H983" s="116">
        <v>0.35</v>
      </c>
      <c r="I983" s="113">
        <v>628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100.0039</v>
      </c>
      <c r="H984" s="116">
        <v>0.02</v>
      </c>
      <c r="I984" s="113">
        <v>3091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100.0043</v>
      </c>
      <c r="H985" s="116">
        <v>0.02</v>
      </c>
      <c r="I985" s="113">
        <v>3091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101.0844</v>
      </c>
      <c r="H986" s="116">
        <v>6.08</v>
      </c>
      <c r="I986" s="113">
        <v>1706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105.95610000000001</v>
      </c>
      <c r="H987" s="116">
        <v>7.08</v>
      </c>
      <c r="I987" s="113">
        <v>2188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90.418579430395752</v>
      </c>
      <c r="G988" s="116">
        <v>92.491379430395753</v>
      </c>
      <c r="H988" s="116">
        <v>20.49</v>
      </c>
      <c r="I988" s="113">
        <v>3559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90.415510735485626</v>
      </c>
      <c r="G989" s="116">
        <v>91.881610735485623</v>
      </c>
      <c r="H989" s="116">
        <v>20.5</v>
      </c>
      <c r="I989" s="113">
        <v>3571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100.2542</v>
      </c>
      <c r="H990" s="116">
        <v>6.09</v>
      </c>
      <c r="I990" s="113">
        <v>2115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105.20189999999999</v>
      </c>
      <c r="H991" s="116">
        <v>6.09</v>
      </c>
      <c r="I991" s="113">
        <v>2543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105.20189999999999</v>
      </c>
      <c r="H992" s="116">
        <v>6.09</v>
      </c>
      <c r="I992" s="113">
        <v>2543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104.0667</v>
      </c>
      <c r="H993" s="116">
        <v>6.08</v>
      </c>
      <c r="I993" s="113">
        <v>2610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23577.763650000004</v>
      </c>
      <c r="G994" s="116">
        <v>23577.763650000004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43152.871950000008</v>
      </c>
      <c r="G995" s="116">
        <v>43152.871950000008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45849.086400000007</v>
      </c>
      <c r="G996" s="116">
        <v>45849.086400000007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60660.792900000008</v>
      </c>
      <c r="G997" s="116">
        <v>60660.792900000008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2816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2655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100.4722</v>
      </c>
      <c r="H1001" s="116">
        <v>4.24</v>
      </c>
      <c r="I1001" s="113">
        <v>260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100.08750000000001</v>
      </c>
      <c r="H1002" s="116">
        <v>0.35</v>
      </c>
      <c r="I1002" s="113">
        <v>90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100.0992</v>
      </c>
      <c r="H1003" s="116">
        <v>0.35</v>
      </c>
      <c r="I1003" s="113">
        <v>258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100.12739999999999</v>
      </c>
      <c r="H1004" s="116">
        <v>0.35</v>
      </c>
      <c r="I1004" s="113">
        <v>589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100.04179999999999</v>
      </c>
      <c r="H1005" s="116">
        <v>0.35</v>
      </c>
      <c r="I1005" s="113">
        <v>677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100.0039</v>
      </c>
      <c r="H1006" s="116">
        <v>0.02</v>
      </c>
      <c r="I1006" s="113">
        <v>3091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101.0844</v>
      </c>
      <c r="H1007" s="116">
        <v>6.08</v>
      </c>
      <c r="I1007" s="113">
        <v>1706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105.95610000000001</v>
      </c>
      <c r="H1008" s="116">
        <v>7.08</v>
      </c>
      <c r="I1008" s="113">
        <v>2188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90.418579430395752</v>
      </c>
      <c r="G1009" s="116">
        <v>92.491379430395753</v>
      </c>
      <c r="H1009" s="116">
        <v>20.49</v>
      </c>
      <c r="I1009" s="113">
        <v>3559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100.2542</v>
      </c>
      <c r="H1010" s="116">
        <v>6.09</v>
      </c>
      <c r="I1010" s="113">
        <v>2115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105.20189999999999</v>
      </c>
      <c r="H1011" s="116">
        <v>6.09</v>
      </c>
      <c r="I1011" s="113">
        <v>2543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105.20189999999999</v>
      </c>
      <c r="H1012" s="116">
        <v>6.09</v>
      </c>
      <c r="I1012" s="113">
        <v>2543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29.08.25</vt:lpstr>
      <vt:lpstr>Риск цены за 29.08.25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2025-09-02T10:13:09Z</dcterms:modified>
</cp:coreProperties>
</file>