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4C121A0C-E947-4999-95B0-830555733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7.08.25" sheetId="2" r:id="rId2"/>
    <sheet name="Риск цены за 07.08.25" sheetId="4" r:id="rId3"/>
  </sheets>
  <definedNames>
    <definedName name="_xlnm._FilterDatabase" localSheetId="1" hidden="1">'KASE за 07.08.25'!#REF!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1" l="1"/>
  <c r="O71" i="1"/>
  <c r="O59" i="1"/>
  <c r="D62" i="1"/>
  <c r="M67" i="1"/>
  <c r="L67" i="1"/>
  <c r="L68" i="1"/>
  <c r="M68" i="1" s="1"/>
  <c r="L69" i="1"/>
  <c r="M69" i="1" s="1"/>
  <c r="C71" i="1"/>
  <c r="I71" i="1"/>
  <c r="J71" i="1"/>
  <c r="B90" i="1"/>
  <c r="B89" i="1"/>
  <c r="B86" i="1"/>
  <c r="M66" i="1"/>
  <c r="L66" i="1"/>
  <c r="J14" i="1"/>
  <c r="I14" i="1"/>
  <c r="L71" i="1" l="1"/>
  <c r="M71" i="1"/>
  <c r="J15" i="1"/>
  <c r="I15" i="1"/>
  <c r="J25" i="1" l="1"/>
  <c r="I25" i="1"/>
  <c r="J24" i="1"/>
  <c r="I24" i="1"/>
  <c r="G7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<sst xmlns="http://schemas.openxmlformats.org/spreadsheetml/2006/main" count="6452" uniqueCount="2826">
  <si>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</si>
  <si>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</si>
  <si>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</si>
  <si>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</si>
  <si>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</si>
  <si>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</si>
  <si>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</si>
  <si>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</si>
  <si>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</si>
  <si>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</si>
  <si>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</si>
  <si>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</si>
  <si>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</si>
  <si>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</si>
  <si>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</si>
  <si>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</si>
  <si>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</si>
  <si>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</si>
  <si>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</si>
  <si>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</si>
  <si>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</si>
  <si>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</si>
  <si>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</si>
  <si>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</si>
  <si>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</si>
  <si>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</si>
  <si>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</si>
  <si>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</si>
  <si>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</si>
  <si>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</si>
  <si>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</si>
  <si>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</si>
  <si>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</si>
  <si>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</si>
  <si>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</si>
  <si>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</si>
  <si>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</si>
  <si>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</si>
  <si>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</si>
  <si>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</si>
  <si>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</si>
  <si>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</si>
  <si>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</si>
  <si>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</si>
  <si>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</si>
  <si>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</si>
  <si>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</si>
  <si>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</si>
  <si>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</si>
  <si>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</si>
  <si>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</si>
  <si>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</si>
  <si>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</si>
  <si>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</si>
  <si>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</si>
  <si>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</si>
  <si>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</si>
  <si>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</si>
  <si>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</si>
  <si>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</si>
  <si>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</si>
  <si>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</si>
  <si>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</si>
  <si>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</si>
  <si>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</si>
  <si>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</si>
  <si>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</si>
  <si>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</si>
  <si>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</si>
  <si>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</si>
  <si>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</si>
  <si>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</si>
  <si>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</si>
  <si>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</si>
  <si>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</si>
  <si>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</si>
  <si>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</si>
  <si>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</si>
  <si>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</si>
  <si>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</si>
  <si>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</si>
  <si>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</si>
  <si>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</si>
  <si>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</si>
  <si>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</si>
  <si>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</si>
  <si>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</si>
  <si>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</si>
  <si>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</si>
  <si>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</si>
  <si>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</si>
  <si>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</si>
  <si>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</si>
  <si>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</si>
  <si>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</si>
  <si>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</si>
  <si>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</si>
  <si>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</si>
  <si>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</si>
  <si>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</si>
  <si>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</si>
  <si>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</si>
  <si>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</si>
  <si>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</si>
  <si>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</si>
  <si>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</si>
  <si>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</si>
  <si>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</si>
  <si>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</si>
  <si>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</si>
  <si>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</si>
  <si>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</si>
  <si>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</si>
  <si>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</si>
  <si>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</si>
  <si>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</si>
  <si>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</si>
  <si>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</si>
  <si>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</si>
  <si>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</si>
  <si>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</si>
  <si>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</si>
  <si>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</si>
  <si>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</si>
  <si>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</si>
  <si>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</si>
  <si>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</si>
  <si>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</si>
  <si>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</si>
  <si>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</si>
  <si>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</si>
  <si>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</si>
  <si>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</si>
  <si>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</si>
  <si>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</si>
  <si>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</si>
  <si>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</si>
  <si>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</si>
  <si>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</si>
  <si>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</si>
  <si>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</si>
  <si>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</si>
  <si>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</si>
  <si>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</si>
  <si>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</si>
  <si>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</si>
  <si>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</si>
  <si>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</si>
  <si>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</si>
  <si>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</si>
  <si>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</si>
  <si>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</si>
  <si>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</si>
  <si>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</si>
  <si>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</si>
  <si>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</si>
  <si>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</si>
  <si>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</si>
  <si>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</si>
  <si>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</si>
  <si>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</si>
  <si>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</si>
  <si>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</si>
  <si>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</si>
  <si>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</si>
  <si>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</si>
  <si>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</si>
  <si>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</si>
  <si>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</si>
  <si>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</si>
  <si>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</si>
  <si>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</si>
  <si>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</si>
  <si>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</si>
  <si>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</si>
  <si>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</si>
  <si>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</si>
  <si>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</si>
  <si>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</si>
  <si>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</si>
  <si>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</si>
  <si>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</si>
  <si>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</si>
  <si>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</si>
  <si>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</si>
  <si>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</si>
  <si>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</si>
  <si>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</si>
  <si>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</si>
  <si>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</si>
  <si>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</si>
  <si>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</si>
  <si>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</si>
  <si>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</si>
  <si>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</si>
  <si>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</si>
  <si>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</si>
  <si>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</si>
  <si>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</si>
  <si>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</si>
  <si>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</si>
  <si>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</si>
  <si>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</si>
  <si>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</si>
  <si>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</si>
  <si>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</si>
  <si>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</si>
  <si>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</si>
  <si>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</si>
  <si>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</si>
  <si>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</si>
  <si>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</si>
  <si>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</si>
  <si>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</si>
  <si>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</si>
  <si>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</si>
  <si>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</si>
  <si>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</si>
  <si>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</si>
  <si>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</si>
  <si>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</si>
  <si>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</si>
  <si>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</si>
  <si>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</si>
  <si>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</si>
  <si>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</si>
  <si>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</si>
  <si>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</si>
  <si>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</si>
  <si>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</si>
  <si>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</si>
  <si>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</si>
  <si>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</si>
  <si>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</si>
  <si>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</si>
  <si>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</si>
  <si>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</si>
  <si>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</si>
  <si>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</si>
  <si>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</si>
  <si>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</si>
  <si>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</si>
  <si>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</si>
  <si>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</si>
  <si>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</si>
  <si>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</si>
  <si>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</si>
  <si>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</si>
  <si>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</si>
  <si>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</si>
  <si>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</si>
  <si>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</si>
  <si>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</si>
  <si>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</si>
  <si>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</si>
  <si>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</si>
  <si>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</si>
  <si>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</si>
  <si>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</si>
  <si>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</si>
  <si>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</si>
  <si>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</si>
  <si>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</si>
  <si>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</si>
  <si>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</si>
  <si>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</si>
  <si>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</si>
  <si>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</si>
  <si>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</si>
  <si>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</si>
  <si>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</si>
  <si>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</si>
  <si>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</si>
  <si>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</si>
  <si>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</si>
  <si>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</si>
  <si>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</si>
  <si>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</si>
  <si>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</si>
  <si>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</si>
  <si>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</si>
  <si>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</si>
  <si>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</si>
  <si>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</si>
  <si>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</si>
  <si>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</si>
  <si>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</si>
  <si>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</si>
  <si>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</si>
  <si>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</si>
  <si>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</si>
  <si>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</si>
  <si>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</si>
  <si>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</si>
  <si>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</si>
  <si>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</si>
  <si>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</si>
  <si>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</si>
  <si>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</si>
  <si>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</si>
  <si>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</si>
  <si>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</si>
  <si>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</si>
  <si>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</si>
  <si>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</si>
  <si>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</si>
  <si>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</si>
  <si>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</si>
  <si>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</si>
  <si>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</si>
  <si>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</si>
  <si>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</si>
  <si>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</si>
  <si>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</si>
  <si>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</si>
  <si>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</si>
  <si>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</si>
  <si>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</si>
  <si>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</si>
  <si>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</si>
  <si>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</si>
  <si>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</si>
  <si>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</si>
  <si>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</si>
  <si>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</si>
  <si>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</si>
  <si>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</si>
  <si>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</si>
  <si>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</si>
  <si>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</si>
  <si>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</si>
  <si>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</si>
  <si>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</si>
  <si>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</si>
  <si>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</si>
  <si>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</si>
  <si>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</si>
  <si>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</si>
  <si>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</si>
  <si>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</si>
  <si>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</si>
  <si>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</si>
  <si>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</si>
  <si>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</si>
  <si>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</si>
  <si>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</si>
  <si>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</si>
  <si>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</si>
  <si>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</si>
  <si>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</si>
  <si>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</si>
  <si>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</si>
  <si>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</si>
  <si>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</si>
  <si>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</si>
  <si>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</si>
  <si>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</si>
  <si>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</si>
  <si>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</si>
  <si>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</si>
  <si>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</si>
  <si>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</si>
  <si>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</si>
  <si>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</si>
  <si>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</si>
  <si>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</si>
  <si>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</si>
  <si>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</si>
  <si>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</si>
  <si>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</si>
  <si>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</si>
  <si>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</si>
  <si>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</si>
  <si>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</si>
  <si>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</si>
  <si>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</si>
  <si>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</si>
  <si>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</si>
  <si>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</si>
  <si>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</si>
  <si>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</si>
  <si>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</si>
  <si>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</si>
  <si>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</si>
  <si>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</si>
  <si>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</si>
  <si>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</si>
  <si>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</si>
  <si>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</si>
  <si>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</si>
  <si>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</si>
  <si>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</si>
  <si>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</si>
  <si>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</si>
  <si>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</si>
  <si>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</si>
  <si>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</si>
  <si>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</si>
  <si>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</si>
  <si>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</si>
  <si>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</si>
  <si>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</si>
  <si>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</si>
  <si>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</si>
  <si>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</si>
  <si>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</si>
  <si>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</si>
  <si>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</si>
  <si>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</si>
  <si>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</si>
  <si>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</si>
  <si>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</si>
  <si>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</si>
  <si>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</si>
  <si>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</si>
  <si>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</si>
  <si>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</si>
  <si>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</si>
  <si>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</si>
  <si>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</si>
  <si>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</si>
  <si>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</si>
  <si>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</si>
  <si>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</si>
  <si>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</si>
  <si>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</si>
  <si>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</si>
  <si>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</si>
  <si>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</si>
  <si>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</si>
  <si>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</si>
  <si>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</si>
  <si>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</si>
  <si>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</si>
  <si>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</si>
  <si>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</si>
  <si>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</si>
  <si>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</si>
  <si>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</si>
  <si>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</si>
  <si>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</si>
  <si>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</si>
  <si>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</si>
  <si>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</si>
  <si>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</si>
  <si>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</si>
  <si>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</si>
  <si>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</si>
  <si>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</si>
  <si>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</si>
  <si>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</si>
  <si>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</si>
  <si>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</si>
  <si>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</si>
  <si>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</si>
  <si>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</si>
  <si>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</si>
  <si>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</si>
  <si>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</si>
  <si>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</si>
  <si>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</si>
  <si>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</si>
  <si>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</si>
  <si>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</si>
  <si>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</si>
  <si>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</si>
  <si>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</si>
  <si>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</si>
  <si>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</si>
  <si>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</si>
  <si>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</si>
  <si>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</si>
  <si>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</si>
  <si>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</si>
  <si>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</si>
  <si>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</si>
  <si>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</si>
  <si>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</si>
  <si>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</si>
  <si>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</si>
  <si>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</si>
  <si>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</si>
  <si>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</si>
  <si>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</si>
  <si>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</si>
  <si>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</si>
  <si>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</si>
  <si>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</si>
  <si>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</si>
  <si>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</si>
  <si>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</si>
  <si>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</si>
  <si>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</si>
  <si>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</si>
  <si>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</si>
  <si>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</si>
  <si>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</si>
  <si>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</si>
  <si>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</si>
  <si>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</si>
  <si>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</si>
  <si>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</si>
  <si>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</si>
  <si>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</si>
  <si>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</si>
  <si>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</si>
  <si>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</si>
  <si>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</si>
  <si>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</si>
  <si>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</si>
  <si>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</si>
  <si>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</si>
  <si>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</si>
  <si>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</si>
  <si>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</si>
  <si>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</si>
  <si>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</si>
  <si>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</si>
  <si>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</si>
  <si>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</si>
  <si>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</si>
  <si>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</si>
  <si>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</si>
  <si>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</si>
  <si>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</si>
  <si>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</si>
  <si>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</si>
  <si>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</si>
  <si>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</si>
  <si>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</si>
  <si>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</si>
  <si>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</si>
  <si>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</si>
  <si>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</si>
  <si>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</si>
  <si>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</si>
  <si>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</si>
  <si>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</si>
  <si>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</si>
  <si>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</si>
  <si>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</si>
  <si>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</si>
  <si>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</si>
  <si>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</si>
  <si>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</si>
  <si>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</si>
  <si>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</si>
  <si>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</si>
  <si>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</si>
  <si>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</si>
  <si>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</si>
  <si>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</si>
  <si>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</si>
  <si>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</si>
  <si>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</si>
  <si>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</si>
  <si>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</si>
  <si>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</si>
  <si>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</si>
  <si>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</si>
  <si>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</si>
  <si>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</si>
  <si>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</si>
  <si>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</si>
  <si>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</si>
  <si>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</si>
  <si>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</si>
  <si>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</si>
  <si>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</si>
  <si>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</si>
  <si>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</si>
  <si>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</si>
  <si>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</si>
  <si>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</si>
  <si>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</si>
  <si>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</si>
  <si>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</si>
  <si>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</si>
  <si>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</si>
  <si>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</si>
  <si>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</si>
  <si>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</si>
  <si>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</si>
  <si>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</si>
  <si>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</si>
  <si>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</si>
  <si>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</si>
  <si>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</si>
  <si>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</si>
  <si>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</si>
  <si>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</si>
  <si>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</si>
  <si>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</si>
  <si>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</si>
  <si>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</si>
  <si>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</si>
  <si>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</si>
  <si>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</si>
  <si>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</si>
  <si>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</si>
  <si>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</si>
  <si>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</si>
  <si>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</si>
  <si>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</si>
  <si>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</si>
  <si>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</si>
  <si>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</si>
  <si>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</si>
  <si>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</si>
  <si>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</si>
  <si>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</si>
  <si>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</si>
  <si>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</si>
  <si>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</si>
  <si>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</si>
  <si>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</si>
  <si>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</si>
  <si>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</si>
  <si>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</si>
  <si>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</si>
  <si>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</si>
  <si>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</si>
  <si>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</si>
  <si>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</si>
  <si>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</si>
  <si>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</si>
  <si>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</si>
  <si>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</si>
  <si>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</si>
  <si>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</si>
  <si>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</si>
  <si>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</si>
  <si>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</si>
  <si>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</si>
  <si>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</si>
  <si>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</si>
  <si>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</si>
  <si>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</si>
  <si>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</si>
  <si>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</si>
  <si>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</si>
  <si>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</si>
  <si>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</si>
  <si>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</si>
  <si>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</si>
  <si>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</si>
  <si>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</si>
  <si>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</si>
  <si>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</si>
  <si>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</si>
  <si>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</si>
  <si>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</si>
  <si>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</si>
  <si>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</si>
  <si>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</si>
  <si>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</si>
  <si>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</si>
  <si>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</si>
  <si>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</si>
  <si>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</si>
  <si>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</si>
  <si>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</si>
  <si>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</si>
  <si>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</si>
  <si>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</si>
  <si>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</si>
  <si>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</si>
  <si>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</si>
  <si>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</si>
  <si>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</si>
  <si>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</si>
  <si>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</si>
  <si>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</si>
  <si>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</si>
  <si>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</si>
  <si>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</si>
  <si>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</si>
  <si>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</si>
  <si>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</si>
  <si>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</si>
  <si>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</si>
  <si>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</si>
  <si>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</si>
  <si>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</si>
  <si>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</si>
  <si>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</si>
  <si>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</si>
  <si>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</si>
  <si>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</si>
  <si>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</si>
  <si>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</si>
  <si>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</si>
  <si>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</si>
  <si>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</si>
  <si>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</si>
  <si>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</si>
  <si>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</si>
  <si>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</si>
  <si>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</si>
  <si>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</si>
  <si>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</si>
  <si>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</si>
  <si>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</si>
  <si>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</si>
  <si>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</si>
  <si>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</si>
  <si>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</si>
  <si>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</si>
  <si>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</si>
  <si>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</si>
  <si>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</si>
  <si>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</si>
  <si>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</si>
  <si>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</si>
  <si>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</si>
  <si>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</si>
  <si>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</si>
  <si>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</si>
  <si>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</si>
  <si>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</si>
  <si>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</si>
  <si>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</si>
  <si>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</si>
  <si>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</si>
  <si>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</si>
  <si>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</si>
  <si>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</si>
  <si>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</si>
  <si>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</si>
  <si>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</si>
  <si>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</si>
  <si>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</si>
  <si>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</si>
  <si>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</si>
  <si>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</si>
  <si>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</si>
  <si>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</si>
  <si>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</si>
  <si>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</si>
  <si>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</si>
  <si>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</si>
  <si>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</si>
  <si>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</si>
  <si>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</si>
  <si>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</si>
  <si>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</si>
  <si>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</si>
  <si>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</si>
  <si>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</si>
  <si>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</si>
  <si>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</si>
  <si>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</si>
  <si>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</si>
  <si>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</si>
  <si>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</si>
  <si>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</si>
  <si>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</si>
  <si>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</si>
  <si>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</si>
  <si>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</si>
  <si>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</si>
  <si>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</si>
  <si>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</si>
  <si>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</si>
  <si>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</si>
  <si>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</si>
  <si>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</si>
  <si>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</si>
  <si>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</si>
  <si>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</si>
  <si>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</si>
  <si>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</si>
  <si>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</si>
  <si>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</si>
  <si>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</si>
  <si>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</si>
  <si>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</si>
  <si>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</si>
  <si>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</si>
  <si>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</si>
  <si>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</si>
  <si>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</si>
  <si>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</si>
  <si>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</si>
  <si>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</si>
  <si>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</si>
  <si>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</si>
  <si>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</si>
  <si>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</si>
  <si>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</si>
  <si>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</si>
  <si>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</si>
  <si>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</si>
  <si>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</si>
  <si>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</si>
  <si>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</si>
  <si>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</si>
  <si>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</si>
  <si>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</si>
  <si>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</si>
  <si>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</si>
  <si>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</si>
  <si>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</si>
  <si>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</si>
  <si>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</si>
  <si>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</si>
  <si>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</si>
  <si>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</si>
  <si>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</si>
  <si>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</si>
  <si>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</si>
  <si>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</si>
  <si>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</si>
  <si>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</si>
  <si>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</si>
  <si>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</si>
  <si>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</si>
  <si>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</si>
  <si>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</si>
  <si>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</si>
  <si>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</si>
  <si>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</si>
  <si>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</si>
  <si>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</si>
  <si>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</si>
  <si>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</si>
  <si>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</si>
  <si>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</si>
  <si>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</si>
  <si>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</si>
  <si>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</si>
  <si>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</si>
  <si>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</si>
  <si>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</si>
  <si>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</si>
  <si>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</si>
  <si>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</si>
  <si>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</si>
  <si>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</si>
  <si>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</si>
  <si>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</si>
  <si>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</si>
  <si>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</si>
  <si>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</si>
  <si>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</si>
  <si>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</si>
  <si>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</si>
  <si>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</si>
  <si>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</si>
  <si>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</si>
  <si>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</si>
  <si>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</si>
  <si>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</si>
  <si>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</si>
  <si>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</si>
  <si>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</si>
  <si>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</si>
  <si>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</si>
  <si>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</si>
  <si>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</si>
  <si>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</si>
  <si>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</si>
  <si>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</si>
  <si>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</si>
  <si>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</si>
  <si>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</si>
  <si>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</si>
  <si>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</si>
  <si>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</si>
  <si>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</si>
  <si>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</si>
  <si>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</si>
  <si>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</si>
  <si>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</si>
  <si>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</si>
  <si>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</si>
  <si>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</si>
  <si>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</si>
  <si>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</si>
  <si>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</si>
  <si>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</si>
  <si>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</si>
  <si>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</si>
  <si>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</si>
  <si>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</si>
  <si>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</si>
  <si>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</si>
  <si>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</si>
  <si>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</si>
  <si>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</si>
  <si>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</si>
  <si>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</si>
  <si>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</si>
  <si>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</si>
  <si>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</si>
  <si>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</si>
  <si>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</si>
  <si>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</si>
  <si>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</si>
  <si>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</si>
  <si>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</si>
  <si>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</si>
  <si>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</si>
  <si>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</si>
  <si>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</si>
  <si>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</si>
  <si>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</si>
  <si>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</si>
  <si>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</si>
  <si>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</si>
  <si>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</si>
  <si>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</si>
  <si>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</si>
  <si>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</si>
  <si>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</si>
  <si>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</si>
  <si>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</si>
  <si>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</si>
  <si>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</si>
  <si>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</si>
  <si>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</si>
  <si>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</si>
  <si>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</si>
  <si>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</si>
  <si>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</si>
  <si>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</si>
  <si>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</si>
  <si>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</si>
  <si>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</si>
  <si>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</si>
  <si>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</si>
  <si>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</si>
  <si>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</si>
  <si>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</si>
  <si>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</si>
  <si>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</si>
  <si>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</si>
  <si>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</si>
  <si>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</si>
  <si>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</si>
  <si>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</si>
  <si>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</si>
  <si>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</si>
  <si>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</si>
  <si>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</si>
  <si>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</si>
  <si>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</si>
  <si>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</si>
  <si>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</si>
  <si>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</si>
  <si>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</si>
  <si>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</si>
  <si>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</si>
  <si>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</si>
  <si>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</si>
  <si>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</si>
  <si>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</si>
  <si>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</si>
  <si>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</si>
  <si>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</si>
  <si>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</si>
  <si>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</si>
  <si>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</si>
  <si>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</si>
  <si>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</si>
  <si>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</si>
  <si>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</si>
  <si>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</si>
  <si>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</si>
  <si>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</si>
  <si>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</si>
  <si>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</si>
  <si>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</si>
  <si>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</si>
  <si>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</si>
  <si>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</si>
  <si>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</si>
  <si>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</si>
  <si>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</si>
  <si>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</si>
  <si>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</si>
  <si>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</si>
  <si>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</si>
  <si>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</si>
  <si>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</si>
  <si>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</si>
  <si>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</si>
  <si>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</si>
  <si>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</si>
  <si>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</si>
  <si>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</si>
  <si>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</si>
  <si>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</si>
  <si>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</si>
  <si>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</si>
  <si>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</si>
  <si>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</si>
  <si>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</si>
  <si>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</si>
  <si>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</si>
  <si>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</si>
  <si>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</si>
  <si>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</si>
  <si>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</si>
  <si>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</si>
  <si>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</si>
  <si>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</si>
  <si>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</si>
  <si>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</si>
  <si>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</si>
  <si>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</si>
  <si>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</si>
  <si>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</si>
  <si>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</si>
  <si>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</si>
  <si>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</si>
  <si>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</si>
  <si>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</si>
  <si>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</si>
  <si>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</si>
  <si>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</si>
  <si>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</si>
  <si>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</si>
  <si>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</si>
  <si>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</si>
  <si>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</si>
  <si>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</si>
  <si>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</si>
  <si>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</si>
  <si>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</si>
  <si>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</si>
  <si>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</si>
  <si>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</si>
  <si>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</si>
  <si>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</si>
  <si>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</si>
  <si>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</si>
  <si>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</si>
  <si>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</si>
  <si>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</si>
  <si>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</si>
  <si>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</si>
  <si>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</si>
  <si>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</si>
  <si>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</si>
  <si>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</si>
  <si>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</si>
  <si>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</si>
  <si>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</si>
  <si>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</si>
  <si>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</si>
  <si>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</si>
  <si>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</si>
  <si>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</si>
  <si>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</si>
  <si>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</si>
  <si>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</si>
  <si>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</si>
  <si>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</si>
  <si>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</si>
  <si>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</si>
  <si>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</si>
  <si>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</si>
  <si>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</si>
  <si>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</si>
  <si>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</si>
  <si>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</si>
  <si>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</si>
  <si>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</si>
  <si>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</si>
  <si>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</si>
  <si>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</si>
  <si>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</si>
  <si>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</si>
  <si>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</si>
  <si>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</si>
  <si>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</si>
  <si>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</si>
  <si>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</si>
  <si>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</si>
  <si>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</si>
  <si>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</si>
  <si>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</si>
  <si>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</si>
  <si>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</si>
  <si>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</si>
  <si>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</si>
  <si>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</si>
  <si>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</si>
  <si>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</si>
  <si>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</si>
  <si>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</si>
  <si>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</si>
  <si>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</si>
  <si>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</si>
  <si>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</si>
  <si>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</si>
  <si>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</si>
  <si>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</si>
  <si>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</si>
  <si>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</si>
  <si>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</si>
  <si>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</si>
  <si>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</si>
  <si>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</si>
  <si>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</si>
  <si>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</si>
  <si>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</si>
  <si>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</si>
  <si>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</si>
  <si>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</si>
  <si>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</si>
  <si>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</si>
  <si>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</si>
  <si>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</si>
  <si>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</si>
  <si>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</si>
  <si>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</si>
  <si>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</si>
  <si>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</si>
  <si>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</si>
  <si>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</si>
  <si>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</si>
  <si>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</si>
  <si>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</si>
  <si>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</si>
  <si>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</si>
  <si>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</si>
  <si>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</si>
  <si>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</si>
  <si>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</si>
  <si>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</si>
  <si>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</si>
  <si>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</si>
  <si>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</si>
  <si>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</si>
  <si>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</si>
  <si>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</si>
  <si>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</si>
  <si>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</si>
  <si>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</si>
  <si>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</si>
  <si>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</si>
  <si>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</si>
  <si>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</si>
  <si>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</si>
  <si>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</si>
  <si>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</si>
  <si>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</si>
  <si>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</si>
  <si>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</si>
  <si>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</si>
  <si>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</si>
  <si>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</si>
  <si>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</si>
  <si>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</si>
  <si>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</si>
  <si>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</si>
  <si>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</si>
  <si>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</si>
  <si>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</si>
  <si>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</si>
  <si>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</si>
  <si>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</si>
  <si>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</si>
  <si>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</si>
  <si>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</si>
  <si>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</si>
  <si>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</si>
  <si>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</si>
  <si>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</si>
  <si>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</si>
  <si>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</si>
  <si>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</si>
  <si>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</si>
  <si>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</si>
  <si>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</si>
  <si>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</si>
  <si>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</si>
  <si>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</si>
  <si>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</si>
  <si>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</si>
  <si>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</si>
  <si>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</si>
  <si>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</si>
  <si>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</si>
  <si>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</si>
  <si>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</si>
  <si>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</si>
  <si>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</si>
  <si>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</si>
  <si>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</si>
  <si>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</si>
  <si>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</si>
  <si>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</si>
  <si>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</si>
  <si>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</si>
  <si>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</si>
  <si>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</si>
  <si>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</si>
  <si>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</si>
  <si>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</si>
  <si>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</si>
  <si>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</si>
  <si>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</si>
  <si>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</si>
  <si>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</si>
  <si>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</si>
  <si>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</si>
  <si>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</si>
  <si>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</si>
  <si>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</si>
  <si>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</si>
  <si>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</si>
  <si>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</si>
  <si>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</si>
  <si>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</si>
  <si>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</si>
  <si>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</si>
  <si>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</si>
  <si>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</si>
  <si>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</si>
  <si>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</si>
  <si>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</si>
  <si>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</si>
  <si>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</si>
  <si>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</si>
  <si>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</si>
  <si>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</si>
  <si>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</si>
  <si>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</si>
  <si>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</si>
  <si>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</si>
  <si>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</si>
  <si>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</si>
  <si>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</si>
  <si>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</si>
  <si>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</si>
  <si>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</si>
  <si>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</si>
  <si>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</si>
  <si>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</si>
  <si>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</si>
  <si>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</si>
  <si>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</si>
  <si>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</si>
  <si>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</si>
  <si>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</si>
  <si>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</si>
  <si>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</si>
  <si>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</si>
  <si>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</si>
  <si>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</si>
  <si>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</si>
  <si>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</si>
  <si>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</si>
  <si>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</si>
  <si>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</si>
  <si>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</si>
  <si>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</si>
  <si>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</si>
  <si>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</si>
  <si>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</si>
  <si>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</si>
  <si>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</si>
  <si>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</si>
  <si>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</si>
  <si>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</si>
  <si>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</si>
  <si>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</si>
  <si>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</si>
  <si>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</si>
  <si>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</si>
  <si>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</si>
  <si>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</si>
  <si>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</si>
  <si>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</si>
  <si>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</si>
  <si>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</si>
  <si>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</si>
  <si>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</si>
  <si>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</si>
  <si>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</si>
  <si>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</si>
  <si>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</si>
  <si>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</si>
  <si>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</si>
  <si>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</si>
  <si>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</si>
  <si>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</si>
  <si>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</si>
  <si>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</si>
  <si>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</si>
  <si>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</si>
  <si>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</si>
  <si>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</si>
  <si>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</si>
  <si>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</si>
  <si>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</si>
  <si>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</si>
  <si>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</si>
  <si>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</si>
  <si>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</si>
  <si>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</si>
  <si>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</si>
  <si>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</si>
  <si>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</si>
  <si>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</si>
  <si>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</si>
  <si>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</si>
  <si>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</si>
  <si>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</si>
  <si>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</si>
  <si>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</si>
  <si>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</si>
  <si>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</si>
  <si>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</si>
  <si>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</si>
  <si>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</si>
  <si>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</si>
  <si>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</si>
  <si>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</si>
  <si>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</si>
  <si>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</si>
  <si>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</si>
  <si>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</si>
  <si>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</si>
  <si>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</si>
  <si>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</si>
  <si>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</si>
  <si>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</si>
  <si>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</si>
  <si>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</si>
  <si>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</si>
  <si>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</si>
  <si>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</si>
  <si>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</si>
  <si>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</si>
  <si>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</si>
  <si>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</si>
  <si>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</si>
  <si>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</si>
  <si>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</si>
  <si>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</si>
  <si>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</si>
  <si>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</si>
  <si>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</si>
  <si>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</si>
  <si>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</si>
  <si>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</si>
  <si>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</si>
  <si>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</si>
  <si>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</si>
  <si>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</si>
  <si>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</si>
  <si>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</si>
  <si>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</si>
  <si>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</si>
  <si>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</si>
  <si>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</si>
  <si>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</si>
  <si>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</si>
  <si>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</si>
  <si>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</si>
  <si>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</si>
  <si>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</si>
  <si>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</si>
  <si>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</si>
  <si>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</si>
  <si>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</si>
  <si>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</si>
  <si>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</si>
  <si>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</si>
  <si>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</si>
  <si>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</si>
  <si>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</si>
  <si>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</si>
  <si>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</si>
  <si>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</si>
  <si>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</si>
  <si>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</si>
  <si>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</si>
  <si>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</si>
  <si>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</si>
  <si>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</si>
  <si>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</si>
  <si>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</si>
  <si>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</si>
  <si>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</si>
  <si>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</si>
  <si>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</si>
  <si>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</si>
  <si>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</si>
  <si>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</si>
  <si>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</si>
  <si>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</si>
  <si>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</si>
  <si>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</si>
  <si>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</si>
  <si>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</si>
  <si>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</si>
  <si>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</si>
  <si>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</si>
  <si>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</si>
  <si>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</si>
  <si>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</si>
  <si>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</si>
  <si>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</si>
  <si>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</si>
  <si>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</si>
  <si>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</si>
  <si>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</si>
  <si>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</si>
  <si>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</si>
  <si>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</si>
  <si>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</si>
  <si>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</si>
  <si>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</si>
  <si>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</si>
  <si>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</si>
  <si>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</si>
  <si>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</si>
  <si>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</si>
  <si>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</si>
  <si>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</si>
  <si>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</si>
  <si>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</si>
  <si>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</si>
  <si>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</si>
  <si>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</si>
  <si>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</si>
  <si>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</si>
  <si>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</si>
  <si>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</si>
  <si>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</si>
  <si>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</si>
  <si>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</si>
  <si>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</si>
  <si>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</si>
  <si>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</si>
  <si>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</si>
  <si>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</si>
  <si>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</si>
  <si>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</si>
  <si>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</si>
  <si>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</si>
  <si>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</si>
  <si>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</si>
  <si>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</si>
  <si>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</si>
  <si>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</si>
  <si>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</si>
  <si>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</si>
  <si>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</si>
  <si>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</si>
  <si>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</si>
  <si>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</si>
  <si>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</si>
  <si>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</si>
  <si>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</si>
  <si>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</si>
  <si>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</si>
  <si>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</si>
  <si>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</si>
  <si>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</si>
  <si>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</si>
  <si>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</si>
  <si>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</si>
  <si>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</si>
  <si>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</si>
  <si>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</si>
  <si>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</si>
  <si>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</si>
  <si>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</si>
  <si>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</si>
  <si>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</si>
  <si>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</si>
  <si>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</si>
  <si>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</si>
  <si>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</si>
  <si>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</si>
  <si>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</si>
  <si>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</si>
  <si>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</si>
  <si>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</si>
  <si>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</si>
  <si>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</si>
  <si>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</si>
  <si>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</si>
  <si>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</si>
  <si>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</si>
  <si>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</si>
  <si>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</si>
  <si>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</si>
  <si>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</si>
  <si>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</si>
  <si>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</si>
  <si>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</si>
  <si>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</si>
  <si>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</si>
  <si>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</si>
  <si>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</si>
  <si>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</si>
  <si>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</si>
  <si>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</si>
  <si>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</si>
  <si>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</si>
  <si>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</si>
  <si>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</si>
  <si>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</si>
  <si>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</si>
  <si>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</si>
  <si>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</si>
  <si>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</si>
  <si>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</si>
  <si>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</si>
  <si>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</si>
  <si>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</si>
  <si>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</si>
  <si>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</si>
  <si>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</si>
  <si>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</si>
  <si>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</si>
  <si>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</si>
  <si>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</si>
  <si>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</si>
  <si>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</si>
  <si>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</si>
  <si>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</si>
  <si>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</si>
  <si>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</si>
  <si>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</si>
  <si>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</si>
  <si>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</si>
  <si>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</si>
  <si>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</si>
  <si>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</si>
  <si>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</si>
  <si>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</si>
  <si>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</si>
  <si>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</si>
  <si>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</si>
  <si>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</si>
  <si>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</si>
  <si>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</si>
  <si>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</si>
  <si>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</si>
  <si>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</si>
  <si>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</si>
  <si>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</si>
  <si>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</si>
  <si>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</si>
  <si>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</si>
  <si>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</si>
  <si>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</si>
  <si>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</si>
  <si>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</si>
  <si>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</si>
  <si>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</si>
  <si>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</si>
  <si>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</si>
  <si>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</si>
  <si>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</si>
  <si>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</si>
  <si>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</si>
  <si>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</si>
  <si>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</si>
  <si>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</si>
  <si>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</si>
  <si>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</si>
  <si>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</si>
  <si>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</si>
  <si>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</si>
  <si>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</si>
  <si>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</si>
  <si>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</si>
  <si>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</si>
  <si>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</si>
  <si>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</si>
  <si>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</si>
  <si>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</si>
  <si>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</si>
  <si>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</si>
  <si>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</si>
  <si>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</si>
  <si>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</si>
  <si>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</si>
  <si>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</si>
  <si>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</si>
  <si>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</si>
  <si>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</si>
  <si>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</si>
  <si>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</si>
  <si>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</si>
  <si>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</si>
  <si>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</si>
  <si>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</si>
  <si>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</si>
  <si>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</si>
  <si>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</si>
  <si>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</si>
  <si>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</si>
  <si>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</si>
  <si>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</si>
  <si>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</si>
  <si>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</si>
  <si>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</si>
  <si>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</si>
  <si>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</si>
  <si>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</si>
  <si>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</si>
  <si>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</si>
  <si>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</si>
  <si>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</si>
  <si>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</si>
  <si>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</si>
  <si>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</si>
  <si>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</si>
  <si>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</si>
  <si>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</si>
  <si>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</si>
  <si>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</si>
  <si>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</si>
  <si>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</si>
  <si>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</si>
  <si>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</si>
  <si>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</si>
  <si>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</si>
  <si>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</si>
  <si>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</si>
  <si>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</si>
  <si>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</si>
  <si>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</si>
  <si>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</si>
  <si>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</si>
  <si>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</si>
  <si>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</si>
  <si>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</si>
  <si>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</si>
  <si>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</si>
  <si>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</si>
  <si>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</si>
  <si>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</si>
  <si>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</si>
  <si>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</si>
  <si>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</si>
  <si>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</si>
  <si>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</si>
  <si>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</si>
  <si>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</si>
  <si>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</si>
  <si>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</si>
  <si>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</si>
  <si>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</si>
  <si>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</si>
  <si>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</si>
  <si>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</si>
  <si>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</si>
  <si>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</si>
  <si>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</si>
  <si>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</si>
  <si>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</si>
  <si>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</si>
  <si>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</si>
  <si>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</si>
  <si>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</si>
  <si>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</si>
  <si>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</si>
  <si>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</si>
  <si>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</si>
  <si>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</si>
  <si>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</si>
  <si>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</si>
  <si>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</si>
  <si>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</si>
  <si>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</si>
  <si>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</si>
  <si>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</si>
  <si>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</si>
  <si>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</si>
  <si>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</si>
  <si>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</si>
  <si>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</si>
  <si>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</si>
  <si>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</si>
  <si>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</si>
  <si>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</si>
  <si>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</si>
  <si>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</si>
  <si>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</si>
  <si>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</si>
  <si>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</si>
  <si>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</si>
  <si>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</si>
  <si>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</si>
  <si>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</si>
  <si>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</si>
  <si>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</si>
  <si>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</si>
  <si>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</si>
  <si>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</si>
  <si>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</si>
  <si>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</si>
  <si>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</si>
  <si>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</si>
  <si>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</si>
  <si>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</si>
  <si>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</si>
  <si>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</si>
  <si>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</si>
  <si>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</si>
  <si>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</si>
  <si>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</si>
  <si>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</si>
  <si>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</si>
  <si>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</si>
  <si>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</si>
  <si>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</si>
  <si>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</si>
  <si>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</si>
  <si>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</si>
  <si>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</si>
  <si>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</si>
  <si>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</si>
  <si>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</si>
  <si>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</si>
  <si>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</si>
  <si>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</si>
  <si>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</si>
  <si>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</si>
  <si>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</si>
  <si>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</si>
  <si>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</si>
  <si>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</si>
  <si>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</si>
  <si>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</si>
  <si>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</si>
  <si>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</si>
  <si>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</si>
  <si>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</si>
  <si>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</si>
  <si>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</si>
  <si>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</si>
  <si>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</si>
  <si>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</si>
  <si>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</si>
  <si>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</si>
  <si>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</si>
  <si>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</si>
  <si>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</si>
  <si>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</si>
  <si>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</si>
  <si>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</si>
  <si>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</si>
  <si>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</si>
  <si>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</si>
  <si>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</si>
  <si>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</si>
  <si>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</si>
  <si>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</si>
  <si>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</si>
  <si>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</si>
  <si>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</si>
  <si>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</si>
  <si>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</si>
  <si>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</si>
  <si>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</si>
  <si>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</si>
  <si>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</si>
  <si>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</si>
  <si>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</si>
  <si>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</si>
  <si>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</si>
  <si>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</si>
  <si>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</si>
  <si>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</si>
  <si>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</si>
  <si>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</si>
  <si>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</si>
  <si>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</si>
  <si>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</si>
  <si>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</si>
  <si>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</si>
  <si>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</si>
  <si>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</si>
  <si>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</si>
  <si>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</si>
  <si>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</si>
  <si>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</si>
  <si>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</si>
  <si>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</si>
  <si>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</si>
  <si>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</si>
  <si>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</si>
  <si>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</si>
  <si>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</si>
  <si>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</si>
  <si>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</si>
  <si>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</si>
  <si>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</si>
  <si>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</si>
  <si>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</si>
  <si>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</si>
  <si>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</si>
  <si>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</si>
  <si>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</si>
  <si>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</si>
  <si>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</si>
  <si>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</si>
  <si>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</si>
  <si>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</si>
  <si>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</si>
  <si>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</si>
  <si>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</si>
  <si>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</si>
  <si>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</si>
  <si>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</si>
  <si>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</si>
  <si>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</si>
  <si>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</si>
  <si>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</si>
  <si>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</si>
  <si>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</si>
  <si>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</si>
  <si>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</si>
  <si>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</si>
  <si>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</si>
  <si>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</si>
  <si>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</si>
  <si>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</si>
  <si>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</si>
  <si>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</si>
  <si>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</si>
  <si>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</si>
  <si>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</si>
  <si>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</si>
  <si>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</si>
  <si>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</si>
  <si>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</si>
  <si>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</si>
  <si>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</si>
  <si>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</si>
  <si>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</si>
  <si>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</si>
  <si>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</si>
  <si>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</si>
  <si>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</si>
  <si>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</si>
  <si>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</si>
  <si>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</si>
  <si>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</si>
  <si>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</si>
  <si>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</si>
  <si>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</si>
  <si>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</si>
  <si>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</si>
  <si>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</si>
  <si>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</si>
  <si>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</si>
  <si>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</si>
  <si>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</si>
  <si>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</si>
  <si>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</si>
  <si>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</si>
  <si>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</si>
  <si>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</si>
  <si>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</si>
  <si>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</si>
  <si>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</si>
  <si>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</si>
  <si>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</si>
  <si>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</si>
  <si>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</si>
  <si>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</si>
  <si>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</si>
  <si>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</si>
  <si>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</si>
  <si>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</si>
  <si>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</si>
  <si>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</si>
  <si>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</si>
  <si>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</si>
  <si>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</si>
  <si>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</si>
  <si>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</si>
  <si>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</si>
  <si>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</si>
  <si>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</si>
  <si>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</si>
  <si>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</si>
  <si>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</si>
  <si>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</si>
  <si>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</si>
  <si>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</si>
  <si>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</si>
  <si>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</si>
  <si>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</si>
  <si>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</si>
  <si>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</si>
  <si>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</si>
  <si>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</si>
  <si>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</si>
  <si>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</si>
  <si>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</si>
  <si>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</si>
  <si>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</si>
  <si>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</si>
  <si>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</si>
  <si>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</si>
  <si>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</si>
  <si>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</si>
  <si>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</si>
  <si>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</si>
  <si>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</si>
  <si>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</si>
  <si>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</si>
  <si>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</si>
  <si>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</si>
  <si>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</si>
  <si>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</si>
  <si>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</si>
  <si>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</si>
  <si>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</si>
  <si>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</si>
  <si>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</si>
  <si>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</si>
  <si>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</si>
  <si>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</si>
  <si>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</si>
  <si>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</si>
  <si>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</si>
  <si>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</si>
  <si>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</si>
  <si>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</si>
  <si>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</si>
  <si>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</si>
  <si>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</si>
  <si>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</si>
  <si>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</si>
  <si>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</si>
  <si>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</si>
  <si>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</si>
  <si>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</si>
  <si>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</si>
  <si>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</si>
  <si>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</si>
  <si>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</si>
  <si>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</si>
  <si>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</si>
  <si>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</si>
  <si>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</si>
  <si>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</si>
  <si>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</si>
  <si>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</si>
  <si>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</si>
  <si>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</si>
  <si>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</si>
  <si>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</si>
  <si>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</si>
  <si>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</si>
  <si>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</si>
  <si>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</si>
  <si>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</si>
  <si>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</si>
  <si>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</si>
  <si>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</si>
  <si>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</si>
  <si>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</si>
  <si>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</si>
  <si>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</si>
  <si>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</si>
  <si>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</si>
  <si>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</si>
  <si>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</si>
  <si>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</si>
  <si>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</si>
  <si>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</si>
  <si>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</si>
  <si>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</si>
  <si>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</si>
  <si>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</si>
  <si>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</si>
  <si>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</si>
  <si>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</si>
  <si>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</si>
  <si>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</si>
  <si>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</si>
  <si>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</si>
  <si>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</si>
  <si>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</si>
  <si>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</si>
  <si>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</si>
  <si>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</si>
  <si>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</si>
  <si>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</si>
  <si>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</si>
  <si>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</si>
  <si>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</si>
  <si>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</si>
  <si>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</si>
  <si>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</si>
  <si>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</si>
  <si>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</si>
  <si>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</si>
  <si>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</si>
  <si>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</si>
  <si>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</si>
  <si>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</si>
  <si>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</si>
  <si>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</si>
  <si>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</si>
  <si>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</si>
  <si>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</si>
  <si>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</si>
  <si>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</si>
  <si>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</si>
  <si>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</si>
  <si>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</si>
  <si>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</si>
  <si>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</si>
  <si>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</si>
  <si>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</si>
  <si>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</si>
  <si>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</si>
  <si>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</si>
  <si>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</si>
  <si>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</si>
  <si>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</si>
  <si>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</si>
  <si>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</si>
  <si>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</si>
  <si>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</si>
  <si>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</si>
  <si>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</si>
  <si>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</si>
  <si>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</si>
  <si>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</si>
  <si>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</si>
  <si>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</si>
  <si>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</si>
  <si>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</si>
  <si>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</si>
  <si>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</si>
  <si>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</si>
  <si>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</si>
  <si>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</si>
  <si>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</si>
  <si>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</si>
  <si>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</si>
  <si>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</si>
  <si>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</si>
  <si>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</si>
  <si>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</si>
  <si>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</si>
  <si>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</si>
  <si>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</si>
  <si>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</si>
  <si>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</si>
  <si>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</si>
  <si>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</si>
  <si>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</si>
  <si>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</si>
  <si>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</si>
  <si>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</si>
  <si>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</si>
  <si>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</si>
  <si>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</si>
  <si>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</si>
  <si>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</si>
  <si>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</si>
  <si>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</si>
  <si>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</si>
  <si>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</si>
  <si>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</si>
  <si>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</si>
  <si>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</si>
  <si>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</si>
  <si>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</si>
  <si>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</si>
  <si>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</si>
  <si>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</si>
  <si>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</si>
  <si>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</si>
  <si>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</si>
  <si>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</si>
  <si>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</si>
  <si>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</si>
  <si>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</si>
  <si>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</si>
  <si>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</si>
  <si>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</si>
  <si>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</si>
  <si>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</si>
  <si>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</si>
  <si>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</si>
  <si>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</si>
  <si>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</si>
  <si>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</si>
  <si>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</si>
  <si>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</si>
  <si>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</si>
  <si>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</si>
  <si>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</si>
  <si>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</si>
  <si>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</si>
  <si>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</si>
  <si>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</si>
  <si>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</si>
  <si>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</si>
  <si>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</si>
  <si>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</si>
  <si>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</si>
  <si>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</si>
  <si>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</si>
  <si>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</si>
  <si>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</si>
  <si>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</si>
  <si>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</si>
  <si>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</si>
  <si>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</si>
  <si>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</si>
  <si>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</si>
  <si>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</si>
  <si>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</si>
  <si>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</si>
  <si>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</si>
  <si>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</si>
  <si>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</si>
  <si>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</si>
  <si>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</si>
  <si>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</si>
  <si>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</si>
  <si>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</si>
  <si>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</si>
  <si>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</si>
  <si>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</si>
  <si>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</si>
  <si>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</si>
  <si>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</si>
  <si>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</si>
  <si>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</si>
  <si>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</si>
  <si>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</si>
  <si>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</si>
  <si>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</si>
  <si>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</si>
  <si>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</si>
  <si>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</si>
  <si>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</si>
  <si>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</si>
  <si>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</si>
  <si>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</si>
  <si>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</si>
  <si>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</si>
  <si>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</si>
  <si>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</si>
  <si>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</si>
  <si>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</si>
  <si>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</si>
  <si>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</si>
  <si>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</si>
  <si>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</si>
  <si>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</si>
  <si>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</si>
  <si>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</si>
  <si>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</si>
  <si>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</si>
  <si>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</si>
  <si>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</si>
  <si>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</si>
  <si>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</si>
  <si>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</si>
  <si>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</si>
  <si>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</si>
  <si>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</si>
  <si>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</si>
  <si>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</si>
  <si>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</si>
  <si>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</si>
  <si>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</si>
  <si>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</si>
  <si>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</si>
  <si>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</si>
  <si>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</si>
  <si>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</si>
  <si>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</si>
  <si>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</si>
  <si>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</si>
  <si>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</si>
  <si>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</si>
  <si>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</si>
  <si>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</si>
  <si>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</si>
  <si>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</si>
  <si>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</si>
  <si>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</si>
  <si>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</si>
  <si>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</si>
  <si>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</si>
  <si>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</si>
  <si>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</si>
  <si>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</si>
  <si>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</si>
  <si>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</si>
  <si>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</si>
  <si>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</si>
  <si>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</si>
  <si>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</si>
  <si>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</si>
  <si>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</si>
  <si>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</si>
  <si>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</si>
  <si>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</si>
  <si>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</si>
  <si>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</si>
  <si>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</si>
  <si>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</si>
  <si>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</si>
  <si>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</si>
  <si>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</si>
  <si>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</si>
  <si>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</si>
  <si>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</si>
  <si>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</si>
  <si>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</si>
  <si>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</si>
  <si>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</si>
  <si>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</si>
  <si>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</si>
  <si>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</si>
  <si>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</si>
  <si>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</si>
  <si>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</si>
  <si>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</si>
  <si>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</si>
  <si>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</si>
  <si>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</si>
  <si>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</si>
  <si>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</si>
  <si>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</si>
  <si>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</si>
  <si>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</si>
  <si>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</si>
  <si>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</si>
  <si>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</si>
  <si>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</si>
  <si>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</si>
  <si>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</si>
  <si>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</si>
  <si>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</si>
  <si>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</si>
  <si>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</si>
  <si>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</si>
  <si>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</si>
  <si>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</si>
  <si>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</si>
  <si>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</si>
  <si>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</si>
  <si>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</si>
  <si>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</si>
  <si>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</si>
  <si>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</si>
  <si>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</si>
  <si>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</si>
  <si>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</si>
  <si>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</si>
  <si>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</si>
  <si>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</si>
  <si>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</si>
  <si>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</si>
  <si>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</si>
  <si>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</si>
  <si>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</si>
  <si>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</si>
  <si>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</si>
  <si>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</si>
  <si>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</si>
  <si>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</si>
  <si>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</si>
  <si>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</si>
  <si>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</si>
  <si>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</si>
  <si>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</si>
  <si>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</si>
  <si>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</si>
  <si>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</si>
  <si>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</si>
  <si>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</si>
  <si>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</si>
  <si>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</si>
  <si>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</si>
  <si>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</si>
  <si>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</si>
  <si>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</si>
  <si>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</si>
  <si>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</si>
  <si>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</si>
  <si>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</si>
  <si>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</si>
  <si>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</si>
  <si>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</si>
  <si>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</si>
  <si>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</si>
  <si>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</si>
  <si>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</si>
  <si>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</si>
  <si>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</si>
  <si>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</si>
  <si>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</si>
  <si>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</si>
  <si>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</si>
  <si>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</si>
  <si>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</si>
  <si>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</si>
  <si>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</si>
  <si>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</si>
  <si>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</si>
  <si>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</si>
  <si>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</si>
  <si>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</si>
  <si>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</si>
  <si>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</si>
  <si>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</si>
  <si>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</si>
  <si>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</si>
  <si>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</si>
  <si>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</si>
  <si>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</si>
  <si>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</si>
  <si>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</si>
  <si>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</si>
  <si>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</si>
  <si>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</si>
  <si>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</si>
  <si>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</si>
  <si>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</si>
  <si>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</si>
  <si>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</si>
  <si>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</si>
  <si>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</si>
  <si>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</si>
  <si>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</si>
  <si>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</si>
  <si>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</si>
  <si>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</si>
  <si>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</si>
  <si>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</si>
  <si>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</si>
  <si>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</si>
  <si>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</si>
  <si>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</si>
  <si>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</si>
  <si>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</si>
  <si>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</si>
  <si>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</si>
  <si>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</si>
  <si>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</si>
  <si>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</si>
  <si>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</si>
  <si>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</si>
  <si>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</si>
  <si>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</si>
  <si>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</si>
  <si>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</si>
  <si>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</si>
  <si>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</si>
  <si>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</si>
  <si>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</si>
  <si>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</si>
  <si>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</si>
  <si>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</si>
  <si>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</si>
  <si>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</si>
  <si>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</si>
  <si>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</si>
  <si>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</si>
  <si>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</si>
  <si>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</si>
  <si>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</si>
  <si>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</si>
  <si>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</si>
  <si>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</si>
  <si>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</si>
  <si>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</si>
  <si>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</si>
  <si>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</si>
  <si>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</si>
  <si>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</si>
  <si>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</si>
  <si>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</si>
  <si>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</si>
  <si>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</si>
  <si>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</si>
  <si>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</si>
  <si>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</si>
  <si>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</si>
  <si>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</si>
  <si>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</si>
  <si>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</si>
  <si>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</si>
  <si>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</si>
  <si>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</si>
  <si>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</si>
  <si>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</si>
  <si>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</si>
  <si>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</si>
  <si>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</si>
  <si>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</si>
  <si>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</si>
  <si>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</si>
  <si>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</si>
  <si>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</si>
  <si>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</si>
  <si>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</si>
  <si>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</si>
  <si>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</si>
  <si>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</si>
  <si>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</si>
  <si>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</si>
  <si>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</si>
  <si>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5BCCIbe</t>
  </si>
  <si>
    <t>6BCCIrb</t>
  </si>
  <si>
    <t>7BIGDb5</t>
  </si>
  <si>
    <t>8BRKZe18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</si>
  <si>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</si>
  <si>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</si>
  <si>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</si>
  <si>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</si>
  <si>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</si>
  <si>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</si>
  <si>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</si>
  <si>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</si>
  <si>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</si>
  <si>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16,69</t>
  </si>
  <si>
    <t>16,38</t>
  </si>
  <si>
    <t>16,82</t>
  </si>
  <si>
    <t>16,63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</si>
  <si>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</si>
  <si>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</si>
  <si>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</si>
  <si>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</si>
  <si>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</si>
  <si>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</si>
  <si>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</si>
  <si>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</si>
  <si>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</si>
  <si>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</si>
  <si>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</si>
  <si>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</si>
  <si>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</si>
  <si>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</si>
  <si>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</si>
  <si>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</si>
  <si>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</si>
  <si>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</si>
  <si>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</si>
  <si>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</si>
  <si>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МФО "Арнур Кредит"</t>
  </si>
  <si>
    <t>10,51</t>
  </si>
  <si>
    <t>11,55</t>
  </si>
  <si>
    <t>11,79</t>
  </si>
  <si>
    <t>22FPSTb5</t>
  </si>
  <si>
    <t>BASS Gold</t>
  </si>
  <si>
    <t>23HCBNb13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</si>
  <si>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</si>
  <si>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</si>
  <si>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</si>
  <si>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</si>
  <si>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</si>
  <si>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</si>
  <si>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</si>
  <si>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</si>
  <si>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</si>
  <si>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21,06</t>
  </si>
  <si>
    <t>11,73</t>
  </si>
  <si>
    <t>16,76</t>
  </si>
  <si>
    <t>16,59</t>
  </si>
  <si>
    <t>16,68</t>
  </si>
  <si>
    <t>16,62</t>
  </si>
  <si>
    <t>Alatau City Invest</t>
  </si>
  <si>
    <t>18,25</t>
  </si>
  <si>
    <t>33KMGZ</t>
  </si>
  <si>
    <t>34KMGZe12</t>
  </si>
  <si>
    <t>35KMGZe14</t>
  </si>
  <si>
    <t>36KMGZe15</t>
  </si>
  <si>
    <t>37KMGZe16</t>
  </si>
  <si>
    <t>5,46</t>
  </si>
  <si>
    <t>38KSPI</t>
  </si>
  <si>
    <t>39KSPId</t>
  </si>
  <si>
    <t>40KZAP</t>
  </si>
  <si>
    <t>41KZTCb3</t>
  </si>
  <si>
    <t>19,82</t>
  </si>
  <si>
    <t>42KZTK</t>
  </si>
  <si>
    <t>43KZTKp</t>
  </si>
  <si>
    <t>44KZTO</t>
  </si>
  <si>
    <t>45KZ_23_3504</t>
  </si>
  <si>
    <t>46MFACb3</t>
  </si>
  <si>
    <t>21,01</t>
  </si>
  <si>
    <t>52MFMOb28</t>
  </si>
  <si>
    <t>53MFOKb16</t>
  </si>
  <si>
    <t>54MFOKb18</t>
  </si>
  <si>
    <t>55MFOKb19</t>
  </si>
  <si>
    <t>56MFOKb20</t>
  </si>
  <si>
    <t>57MFOKb21</t>
  </si>
  <si>
    <t>58MFOKb22</t>
  </si>
  <si>
    <t>59MFOKb24</t>
  </si>
  <si>
    <t>60MFOKb25</t>
  </si>
  <si>
    <t>61MFOKb26</t>
  </si>
  <si>
    <t>62MFRFb12</t>
  </si>
  <si>
    <t>63MFRFb13</t>
  </si>
  <si>
    <t>64MFRFb14</t>
  </si>
  <si>
    <t>65MFRFb16</t>
  </si>
  <si>
    <t>66MFRFb18</t>
  </si>
  <si>
    <t>67MFRFb19</t>
  </si>
  <si>
    <t>68MFSCb4</t>
  </si>
  <si>
    <t>21,05</t>
  </si>
  <si>
    <t>69MFSCb5</t>
  </si>
  <si>
    <t>70MKM012_0159</t>
  </si>
  <si>
    <t>15,57</t>
  </si>
  <si>
    <t>71MKM012_0160</t>
  </si>
  <si>
    <t>16,34</t>
  </si>
  <si>
    <t>72MKM012_0161</t>
  </si>
  <si>
    <t>73MOM048_0052</t>
  </si>
  <si>
    <t>74MOM048_0053</t>
  </si>
  <si>
    <t>16,36</t>
  </si>
  <si>
    <t>318 (1)</t>
  </si>
  <si>
    <t>75MOM048_0054</t>
  </si>
  <si>
    <t>76MOM060_0052</t>
  </si>
  <si>
    <t>77MOM060_0054</t>
  </si>
  <si>
    <t>78MTC048_0001</t>
  </si>
  <si>
    <t>16,66</t>
  </si>
  <si>
    <t>79MTM048_0001</t>
  </si>
  <si>
    <t>16,94</t>
  </si>
  <si>
    <t>80MTM060_0001</t>
  </si>
  <si>
    <t>81MTM072_0001</t>
  </si>
  <si>
    <t>82MTM084_0001</t>
  </si>
  <si>
    <t>83MTM096_0001</t>
  </si>
  <si>
    <t>17,53</t>
  </si>
  <si>
    <t>84MUJ144_0005</t>
  </si>
  <si>
    <t>85MUJ156_0004</t>
  </si>
  <si>
    <t>86MUJ168_0004</t>
  </si>
  <si>
    <t>87MUJ168_0005</t>
  </si>
  <si>
    <t>88MUJ180_0007</t>
  </si>
  <si>
    <t>11,27</t>
  </si>
  <si>
    <t>82 (0)</t>
  </si>
  <si>
    <t>89MUJ180_0008</t>
  </si>
  <si>
    <t>90MUJ192_0002</t>
  </si>
  <si>
    <t>91MUJ192_0003</t>
  </si>
  <si>
    <t>11,66</t>
  </si>
  <si>
    <t>92MUJ192_0004</t>
  </si>
  <si>
    <t>93MUJ204_0001</t>
  </si>
  <si>
    <t>94MUJ204_0002</t>
  </si>
  <si>
    <t>95MUJ204_0003</t>
  </si>
  <si>
    <t>96MUJ204_0004</t>
  </si>
  <si>
    <t>713 (2)</t>
  </si>
  <si>
    <t>97MUJ204_0005</t>
  </si>
  <si>
    <t>98MUJ204_0006</t>
  </si>
  <si>
    <t>1 402 (4)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</si>
  <si>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</si>
  <si>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</si>
  <si>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</si>
  <si>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</si>
  <si>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</si>
  <si>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</si>
  <si>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</si>
  <si>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</si>
  <si>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107MUJ228_0004</t>
  </si>
  <si>
    <t>108MUJ228_0005</t>
  </si>
  <si>
    <t>109MUJ228_0006</t>
  </si>
  <si>
    <t>110MUJ240_0001</t>
  </si>
  <si>
    <t>111MUM072_0013</t>
  </si>
  <si>
    <t>16,84</t>
  </si>
  <si>
    <t>112MUM072_0014</t>
  </si>
  <si>
    <t>113MUM072_0015</t>
  </si>
  <si>
    <t>114MUM084_0018</t>
  </si>
  <si>
    <t>115MUM084_0019</t>
  </si>
  <si>
    <t>116MUM084_0020</t>
  </si>
  <si>
    <t>117MUM096_0011</t>
  </si>
  <si>
    <t>16,73</t>
  </si>
  <si>
    <t>118MUM096_0012</t>
  </si>
  <si>
    <t>119MUM096_0013</t>
  </si>
  <si>
    <t>16,70</t>
  </si>
  <si>
    <t>120MUM096_0014</t>
  </si>
  <si>
    <t>16,64</t>
  </si>
  <si>
    <t>121MUM096_0015</t>
  </si>
  <si>
    <t>122MUM108_0012</t>
  </si>
  <si>
    <t>123MUM108_0013</t>
  </si>
  <si>
    <t>124MUM108_0014</t>
  </si>
  <si>
    <t>125MUM108_0015</t>
  </si>
  <si>
    <t>16,61</t>
  </si>
  <si>
    <t>126MUM120_0017</t>
  </si>
  <si>
    <t>127MUM120_0018</t>
  </si>
  <si>
    <t>16,83</t>
  </si>
  <si>
    <t>128MUM120_0019</t>
  </si>
  <si>
    <t>129MUM120_0020</t>
  </si>
  <si>
    <t>130MUM132_0007</t>
  </si>
  <si>
    <t>131MUM144_0006</t>
  </si>
  <si>
    <t>132MUM144_0009</t>
  </si>
  <si>
    <t>133MUM156_0005</t>
  </si>
  <si>
    <t>134MUM156_0006</t>
  </si>
  <si>
    <t>135MUM156_0007</t>
  </si>
  <si>
    <t>136MUM156_0008</t>
  </si>
  <si>
    <t>16,60</t>
  </si>
  <si>
    <t>137MUM168_0001</t>
  </si>
  <si>
    <t>138MUM168_0002</t>
  </si>
  <si>
    <t>139MUM168_0003</t>
  </si>
  <si>
    <t>140MUM168_0005</t>
  </si>
  <si>
    <t>141MUM180_0003</t>
  </si>
  <si>
    <t>142MUM180_0004</t>
  </si>
  <si>
    <t>17,02</t>
  </si>
  <si>
    <t>143MUM180_0005</t>
  </si>
  <si>
    <t>144MUM180_0006</t>
  </si>
  <si>
    <t>16,86</t>
  </si>
  <si>
    <t>145MUM180_0007</t>
  </si>
  <si>
    <t>146MUM180_0008</t>
  </si>
  <si>
    <t>147MUM180_0009</t>
  </si>
  <si>
    <t>16,72</t>
  </si>
  <si>
    <t>148MUM180_0011</t>
  </si>
  <si>
    <t>149MUM180_0012</t>
  </si>
  <si>
    <t>150MUM180_0013</t>
  </si>
  <si>
    <t>151MUM180_0014</t>
  </si>
  <si>
    <t>152MUM180_0015</t>
  </si>
  <si>
    <t>153MUM180_0016</t>
  </si>
  <si>
    <t>154MUM192_0001</t>
  </si>
  <si>
    <t>155MUM192_0002</t>
  </si>
  <si>
    <t>156MUM192_0003</t>
  </si>
  <si>
    <t>157MUM216_0001</t>
  </si>
  <si>
    <t>158MUM216_0002</t>
  </si>
  <si>
    <t>159MUM240_0001</t>
  </si>
  <si>
    <t>160MUM240_0002</t>
  </si>
  <si>
    <t>161MUM240_0004</t>
  </si>
  <si>
    <t>162MUM300_0001</t>
  </si>
  <si>
    <t>163MUM300_0002</t>
  </si>
  <si>
    <t>16,58</t>
  </si>
  <si>
    <t>164MUM300_0003</t>
  </si>
  <si>
    <t>165MUM360_0001</t>
  </si>
  <si>
    <t>166MUX072_0003</t>
  </si>
  <si>
    <t>232 (1)</t>
  </si>
  <si>
    <t>АО "Alatau City Invest"</t>
  </si>
  <si>
    <t>859 (2)</t>
  </si>
  <si>
    <t>18,88</t>
  </si>
  <si>
    <t>652 (2)</t>
  </si>
  <si>
    <t>5,27</t>
  </si>
  <si>
    <t>1 680 (5)</t>
  </si>
  <si>
    <t>6,27</t>
  </si>
  <si>
    <t>226 (1)</t>
  </si>
  <si>
    <t>991 (3)</t>
  </si>
  <si>
    <t>223 (1)</t>
  </si>
  <si>
    <t>932 (3)</t>
  </si>
  <si>
    <t>963 (3)</t>
  </si>
  <si>
    <t>22,60</t>
  </si>
  <si>
    <t>387 (1)</t>
  </si>
  <si>
    <t>920 (3)</t>
  </si>
  <si>
    <t>6,79</t>
  </si>
  <si>
    <t>7 812 (22)</t>
  </si>
  <si>
    <t>4,99</t>
  </si>
  <si>
    <t>1 697 (5)</t>
  </si>
  <si>
    <t>6,89</t>
  </si>
  <si>
    <t>8 357 (23)</t>
  </si>
  <si>
    <t>2 767 (8)</t>
  </si>
  <si>
    <t>940 (3)</t>
  </si>
  <si>
    <t>3 482 (10)</t>
  </si>
  <si>
    <t>47MFMCb2</t>
  </si>
  <si>
    <t>457 (1)</t>
  </si>
  <si>
    <t>48MFMOb10</t>
  </si>
  <si>
    <t>34,47</t>
  </si>
  <si>
    <t>455 (1)</t>
  </si>
  <si>
    <t>49MFMOb17</t>
  </si>
  <si>
    <t>66,00</t>
  </si>
  <si>
    <t>194 (1)</t>
  </si>
  <si>
    <t>50MFMOb23</t>
  </si>
  <si>
    <t>639 (2)</t>
  </si>
  <si>
    <t>51MFMOb26</t>
  </si>
  <si>
    <t>11,69</t>
  </si>
  <si>
    <t>673 (2)</t>
  </si>
  <si>
    <t>21,20</t>
  </si>
  <si>
    <t>97 (0)</t>
  </si>
  <si>
    <t>20,96</t>
  </si>
  <si>
    <t>259 (1)</t>
  </si>
  <si>
    <t>10,38</t>
  </si>
  <si>
    <t>581 (2)</t>
  </si>
  <si>
    <t>21,85</t>
  </si>
  <si>
    <t>728 (2)</t>
  </si>
  <si>
    <t>20,10</t>
  </si>
  <si>
    <t>891 (2)</t>
  </si>
  <si>
    <t>22,59</t>
  </si>
  <si>
    <t>434 (1)</t>
  </si>
  <si>
    <t>20,29</t>
  </si>
  <si>
    <t>935 (3)</t>
  </si>
  <si>
    <t>954 (3)</t>
  </si>
  <si>
    <t>24,75</t>
  </si>
  <si>
    <t>1 033 (3)</t>
  </si>
  <si>
    <t>158,77</t>
  </si>
  <si>
    <t>72 (0)</t>
  </si>
  <si>
    <t>33,29</t>
  </si>
  <si>
    <t>688 (2)</t>
  </si>
  <si>
    <t>46,42</t>
  </si>
  <si>
    <t>443 (1)</t>
  </si>
  <si>
    <t>22,31</t>
  </si>
  <si>
    <t>951 (3)</t>
  </si>
  <si>
    <t>23,47</t>
  </si>
  <si>
    <t>705 (2)</t>
  </si>
  <si>
    <t>22,30</t>
  </si>
  <si>
    <t>1 039 (3)</t>
  </si>
  <si>
    <t>618 (2)</t>
  </si>
  <si>
    <t>78 (0)</t>
  </si>
  <si>
    <t>183 (1)</t>
  </si>
  <si>
    <t>16,75</t>
  </si>
  <si>
    <t>281 (1)</t>
  </si>
  <si>
    <t>164 (0)</t>
  </si>
  <si>
    <t>16,35</t>
  </si>
  <si>
    <t>317 (1)</t>
  </si>
  <si>
    <t>399 (1)</t>
  </si>
  <si>
    <t>357 (1)</t>
  </si>
  <si>
    <t>16,15</t>
  </si>
  <si>
    <t>821 (2)</t>
  </si>
  <si>
    <t>1 453 (4)</t>
  </si>
  <si>
    <t>392 (1)</t>
  </si>
  <si>
    <t>17,10</t>
  </si>
  <si>
    <t>787 (2)</t>
  </si>
  <si>
    <t>17,31</t>
  </si>
  <si>
    <t>1 181 (3)</t>
  </si>
  <si>
    <t>17,43</t>
  </si>
  <si>
    <t>1 646 (5)</t>
  </si>
  <si>
    <t>1 956 (5)</t>
  </si>
  <si>
    <t>11,32</t>
  </si>
  <si>
    <t>110 (0)</t>
  </si>
  <si>
    <t>413 (1)</t>
  </si>
  <si>
    <t>381 (1)</t>
  </si>
  <si>
    <t>81 (0)</t>
  </si>
  <si>
    <t>1 206 (3)</t>
  </si>
  <si>
    <t>291 (1)</t>
  </si>
  <si>
    <t>1 637 (5)</t>
  </si>
  <si>
    <t>353 (1)</t>
  </si>
  <si>
    <t>622 (2)</t>
  </si>
  <si>
    <t>712 (2)</t>
  </si>
  <si>
    <t>1 281 (4)</t>
  </si>
  <si>
    <t>1 401 (4)</t>
  </si>
  <si>
    <t>682 (2)</t>
  </si>
  <si>
    <t>829 (2)</t>
  </si>
  <si>
    <t>918 (3)</t>
  </si>
  <si>
    <t>1 460 (4)</t>
  </si>
  <si>
    <t>1 733 (5)</t>
  </si>
  <si>
    <t>1 100 (3)</t>
  </si>
  <si>
    <t>1 223 (3)</t>
  </si>
  <si>
    <t>1 611 (4)</t>
  </si>
  <si>
    <t>1 852 (5)</t>
  </si>
  <si>
    <t>2 210 (6)</t>
  </si>
  <si>
    <t>2 302 (6)</t>
  </si>
  <si>
    <t>642 (2)</t>
  </si>
  <si>
    <t>1 286 (4)</t>
  </si>
  <si>
    <t>1 650 (5)</t>
  </si>
  <si>
    <t>965 (3)</t>
  </si>
  <si>
    <t>1 995 (6)</t>
  </si>
  <si>
    <t>2 369 (7)</t>
  </si>
  <si>
    <t>1 160 (3)</t>
  </si>
  <si>
    <t>1 431 (4)</t>
  </si>
  <si>
    <t>1 617 (4)</t>
  </si>
  <si>
    <t>2 075 (6)</t>
  </si>
  <si>
    <t>2 818 (8)</t>
  </si>
  <si>
    <t>326 (1)</t>
  </si>
  <si>
    <t>1 314 (4)</t>
  </si>
  <si>
    <t>2 442 (7)</t>
  </si>
  <si>
    <t>3 089 (9)</t>
  </si>
  <si>
    <t>569 (2)</t>
  </si>
  <si>
    <t>686 (2)</t>
  </si>
  <si>
    <t>2 020 (6)</t>
  </si>
  <si>
    <t>3 426 (10)</t>
  </si>
  <si>
    <t>2 509 (7)</t>
  </si>
  <si>
    <t>15,43</t>
  </si>
  <si>
    <t>8 (0)</t>
  </si>
  <si>
    <t>2 896 (8)</t>
  </si>
  <si>
    <t>2 073 (6)</t>
  </si>
  <si>
    <t>3 070 (9)</t>
  </si>
  <si>
    <t>4 605 (13)</t>
  </si>
  <si>
    <t>16,43</t>
  </si>
  <si>
    <t>56 (0)</t>
  </si>
  <si>
    <t>99 (0)</t>
  </si>
  <si>
    <t>2 409 (7)</t>
  </si>
  <si>
    <t>3 453 (10)</t>
  </si>
  <si>
    <t>16,85</t>
  </si>
  <si>
    <t>107 (0)</t>
  </si>
  <si>
    <t>17,01</t>
  </si>
  <si>
    <t>371 (1)</t>
  </si>
  <si>
    <t>16,97</t>
  </si>
  <si>
    <t>466 (1)</t>
  </si>
  <si>
    <t>590 (2)</t>
  </si>
  <si>
    <t>16,81</t>
  </si>
  <si>
    <t>761 (2)</t>
  </si>
  <si>
    <t>16,79</t>
  </si>
  <si>
    <t>797 (2)</t>
  </si>
  <si>
    <t>1 203 (3)</t>
  </si>
  <si>
    <t>1 446 (4)</t>
  </si>
  <si>
    <t>2 757 (8)</t>
  </si>
  <si>
    <t>2 776 (8)</t>
  </si>
  <si>
    <t>3 978 (11)</t>
  </si>
  <si>
    <t>4 131 (11)</t>
  </si>
  <si>
    <t>792 (2)</t>
  </si>
  <si>
    <t>971 (3)</t>
  </si>
  <si>
    <t>1 123 (3)</t>
  </si>
  <si>
    <t>3 953 (11)</t>
  </si>
  <si>
    <t>4 144 (12)</t>
  </si>
  <si>
    <t>2 417 (7)</t>
  </si>
  <si>
    <t>3 155 (9)</t>
  </si>
  <si>
    <t>3 412 (9)</t>
  </si>
  <si>
    <t>4 813 (13)</t>
  </si>
  <si>
    <t>5 028 (14)</t>
  </si>
  <si>
    <t>5 239 (15)</t>
  </si>
  <si>
    <t>6 889 (19)</t>
  </si>
  <si>
    <t>2 034 (6)</t>
  </si>
  <si>
    <t>167NCOMb6</t>
  </si>
  <si>
    <t>Fincraft Group</t>
  </si>
  <si>
    <t>11,00</t>
  </si>
  <si>
    <t>284 (1)</t>
  </si>
  <si>
    <t>168NTK028_2865</t>
  </si>
  <si>
    <t>14,67</t>
  </si>
  <si>
    <t>13 (0)</t>
  </si>
  <si>
    <t>169PRKRe1</t>
  </si>
  <si>
    <t>231 (1)</t>
  </si>
  <si>
    <t>170SKKZe1</t>
  </si>
  <si>
    <t>5,07</t>
  </si>
  <si>
    <t>441 (1)</t>
  </si>
  <si>
    <t>SCLBb2</t>
  </si>
  <si>
    <t>KZ2P00014798</t>
  </si>
  <si>
    <t>Расчетная цена на 07.08.25</t>
  </si>
  <si>
    <t>Расчетная грязная цена на 07.08.25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</si>
</sst>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61" activePane="bottomLeft" state="frozen"/>
      <selection pane="bottomLeft" activeCell="D80" sqref="D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45876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2824</v>
      </c>
      <c r="J5" s="2" t="s">
        <v>2825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07.08.25'!$C$5:$F$162,4,0)</f>
        <v>84.724900000000005</v>
      </c>
      <c r="J6" s="32">
        <f>VLOOKUP(B6,'KASE за 07.08.25'!$C$5:$G$162,5,0)</f>
        <v>86.707400000000007</v>
      </c>
      <c r="K6" s="64">
        <v>34693750</v>
      </c>
      <c r="L6" s="29">
        <f>D6*I6/100+K6</f>
        <v>1517379500</v>
      </c>
      <c r="M6" s="33">
        <f t="shared" ref="M6:M49" si="0">L6/$L$59</f>
        <v>5.9179174171290289E-2</v>
      </c>
      <c r="N6" s="13">
        <f>D6*E6%/360</f>
        <v>266875.00000000006</v>
      </c>
      <c r="O6" s="12">
        <f>K6+N6</f>
        <v>34960625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07.08.25'!$C$5:$F$162,4,0)</f>
        <v>86.933199999999999</v>
      </c>
      <c r="J7" s="32">
        <f>VLOOKUP(B7,'KASE за 07.08.25'!$C$5:$G$162,5,0)</f>
        <v>90.255399999999995</v>
      </c>
      <c r="K7" s="64">
        <v>64783333.33333344</v>
      </c>
      <c r="L7" s="29">
        <f>D7*I7/100+K7</f>
        <v>1759980733.3333335</v>
      </c>
      <c r="M7" s="33">
        <f t="shared" si="0"/>
        <v>6.8640841896208921E-2</v>
      </c>
      <c r="N7" s="13">
        <f t="shared" ref="N7:N15" si="1">D7*E7%/360</f>
        <v>563333.33333333337</v>
      </c>
      <c r="O7" s="12">
        <f t="shared" ref="O7:O41" si="2">K7+N7</f>
        <v>65346666.666666776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07.08.25'!$C$5:$F$162,4,0)</f>
        <v>85.108999999999995</v>
      </c>
      <c r="J8" s="32">
        <f>VLOOKUP(B8,'KASE за 07.08.25'!$C$5:$G$162,5,0)</f>
        <v>88.989599999999996</v>
      </c>
      <c r="K8" s="64">
        <v>53487637.5</v>
      </c>
      <c r="L8" s="29">
        <f>D8*I8/100+K8</f>
        <v>1226587539</v>
      </c>
      <c r="M8" s="33">
        <f t="shared" si="0"/>
        <v>4.7838024440698797E-2</v>
      </c>
      <c r="N8" s="13">
        <f>D8*E8%/360</f>
        <v>421162.5</v>
      </c>
      <c r="O8" s="12">
        <f t="shared" si="2"/>
        <v>53908800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07.08.25'!$C$5:$F$162,4,0)</f>
        <v>83.147400000000005</v>
      </c>
      <c r="J9" s="32">
        <f>VLOOKUP(B9,'KASE за 07.08.25'!$C$5:$G$162,5,0)</f>
        <v>83.411199999999994</v>
      </c>
      <c r="K9" s="64">
        <v>2220775</v>
      </c>
      <c r="L9" s="29">
        <f>D9*I9/100+K9</f>
        <v>702321883</v>
      </c>
      <c r="M9" s="33">
        <f t="shared" si="0"/>
        <v>2.7391189243274709E-2</v>
      </c>
      <c r="N9" s="13">
        <f>D9*E9%/360</f>
        <v>246752.77777777781</v>
      </c>
      <c r="O9" s="12">
        <f>K9+N9</f>
        <v>2467527.777777778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07.08.25'!$C$5:$F$162,4,0)</f>
        <v>77.803700000000006</v>
      </c>
      <c r="J10" s="32">
        <f>VLOOKUP(B10,'KASE за 07.08.25'!$C$5:$G$162,5,0)</f>
        <v>81.809299999999993</v>
      </c>
      <c r="K10" s="64">
        <v>58080555.555555649</v>
      </c>
      <c r="L10" s="29">
        <f t="shared" ref="L10:L15" si="3">D10*I10/100+K10</f>
        <v>1186234205.5555558</v>
      </c>
      <c r="M10" s="33">
        <f t="shared" si="0"/>
        <v>4.6264207904821698E-2</v>
      </c>
      <c r="N10" s="13">
        <f>D10*E10%/360</f>
        <v>414861.11111111112</v>
      </c>
      <c r="O10" s="12">
        <f t="shared" si="2"/>
        <v>58495416.666666761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07.08.25'!$C$5:$F$162,4,0)</f>
        <v>68.267899999999997</v>
      </c>
      <c r="J11" s="32">
        <f>VLOOKUP(B11,'KASE за 07.08.25'!$C$5:$G$162,5,0)</f>
        <v>70.8733</v>
      </c>
      <c r="K11" s="64">
        <v>50805625.000000052</v>
      </c>
      <c r="L11" s="29">
        <f t="shared" si="3"/>
        <v>1382029675</v>
      </c>
      <c r="M11" s="33">
        <f t="shared" si="0"/>
        <v>5.3900408465197211E-2</v>
      </c>
      <c r="N11" s="13">
        <f t="shared" si="1"/>
        <v>457708.33333333326</v>
      </c>
      <c r="O11" s="12">
        <f t="shared" si="2"/>
        <v>51263333.333333388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07.08.25'!$C$5:$F$162,4,0)</f>
        <v>76.362300000000005</v>
      </c>
      <c r="J12" s="32">
        <f>VLOOKUP(B12,'KASE за 07.08.25'!$C$5:$G$162,5,0)</f>
        <v>76.687700000000007</v>
      </c>
      <c r="K12" s="64">
        <v>3195591.666666667</v>
      </c>
      <c r="L12" s="29">
        <f>D12*I12/100+K12</f>
        <v>753073377.66666663</v>
      </c>
      <c r="M12" s="33">
        <f t="shared" si="0"/>
        <v>2.9370543480189058E-2</v>
      </c>
      <c r="N12" s="13">
        <f>D12*E12%/360</f>
        <v>290508.33333333331</v>
      </c>
      <c r="O12" s="12">
        <f t="shared" si="2"/>
        <v>3486100.0000000005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07.08.25'!$C$5:$F$162,4,0)</f>
        <v>76.362300000000005</v>
      </c>
      <c r="J13" s="32">
        <f>VLOOKUP(B13,'KASE за 07.08.25'!$C$5:$G$162,5,0)</f>
        <v>76.687700000000007</v>
      </c>
      <c r="K13" s="64">
        <v>813541.66666666674</v>
      </c>
      <c r="L13" s="29">
        <f>D13*I13/100+K13</f>
        <v>191719291.66666666</v>
      </c>
      <c r="M13" s="33">
        <f t="shared" si="0"/>
        <v>7.4772259369116746E-3</v>
      </c>
      <c r="N13" s="13">
        <f>D13*E13%/360</f>
        <v>73958.333333333328</v>
      </c>
      <c r="O13" s="12">
        <f t="shared" ref="O13" si="4">K13+N13</f>
        <v>887500.00000000012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07.08.25'!$C$5:$F$173,4,0)</f>
        <v>61.884700000000002</v>
      </c>
      <c r="J14" s="32">
        <f>VLOOKUP(B14,'KASE за 07.08.25'!$C$5:$G$173,5,0)</f>
        <v>63.790100000000002</v>
      </c>
      <c r="K14" s="64">
        <v>37155625.000000007</v>
      </c>
      <c r="L14" s="29">
        <f t="shared" si="3"/>
        <v>1243907275</v>
      </c>
      <c r="M14" s="33">
        <f t="shared" si="0"/>
        <v>4.8513509824114592E-2</v>
      </c>
      <c r="N14" s="13">
        <f t="shared" si="1"/>
        <v>437125.00000000006</v>
      </c>
      <c r="O14" s="12">
        <f t="shared" si="2"/>
        <v>37592750.000000007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07.08.25'!$C$5:$F$173,4,0)</f>
        <v>60.431800000000003</v>
      </c>
      <c r="J15" s="32">
        <f>VLOOKUP(B15,'KASE за 07.08.25'!$C$5:$G$173,5,0)</f>
        <v>64.646100000000004</v>
      </c>
      <c r="K15" s="64">
        <v>82179500</v>
      </c>
      <c r="L15" s="29">
        <f t="shared" si="3"/>
        <v>1260599600</v>
      </c>
      <c r="M15" s="33">
        <f t="shared" si="0"/>
        <v>4.916452561054032E-2</v>
      </c>
      <c r="N15" s="13">
        <f t="shared" si="1"/>
        <v>437125.00000000006</v>
      </c>
      <c r="O15" s="12">
        <f t="shared" si="2"/>
        <v>82616625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07.08.25'!$C$5:$F$165,4,0)</f>
        <v>56.856400000000001</v>
      </c>
      <c r="J16" s="32">
        <f>VLOOKUP(B16,'KASE за 07.08.25'!$C$5:$G$165,5,0)</f>
        <v>58.43</v>
      </c>
      <c r="K16" s="64">
        <v>4909650.9305555625</v>
      </c>
      <c r="L16" s="29">
        <f t="shared" ref="L16:L30" si="6">D16*I16/100+K16</f>
        <v>182301050.36655554</v>
      </c>
      <c r="M16" s="33">
        <f t="shared" si="0"/>
        <v>7.1099059999502785E-3</v>
      </c>
      <c r="N16" s="13">
        <f>D16*E16%/360</f>
        <v>47666.513888888891</v>
      </c>
      <c r="O16" s="12">
        <f t="shared" si="2"/>
        <v>4957317.4444444515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07.08.25'!$C$5:$F$165,4,0)</f>
        <v>56.856400000000001</v>
      </c>
      <c r="J17" s="32">
        <f>VLOOKUP(B17,'KASE за 07.08.25'!$C$5:$G$165,5,0)</f>
        <v>58.43</v>
      </c>
      <c r="K17" s="64">
        <v>7868055.5555555644</v>
      </c>
      <c r="L17" s="29">
        <f t="shared" si="6"/>
        <v>292150055.55555558</v>
      </c>
      <c r="M17" s="33">
        <f t="shared" si="0"/>
        <v>1.1394116647730088E-2</v>
      </c>
      <c r="N17" s="13">
        <f t="shared" ref="N17:N27" si="7">D17*E17%/360</f>
        <v>76388.888888888891</v>
      </c>
      <c r="O17" s="12">
        <f t="shared" si="2"/>
        <v>7944444.4444444533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07.08.25'!$C$5:$F$165,4,0)</f>
        <v>56.856400000000001</v>
      </c>
      <c r="J18" s="32">
        <f>VLOOKUP(B18,'KASE за 07.08.25'!$C$5:$G$165,5,0)</f>
        <v>58.43</v>
      </c>
      <c r="K18" s="64">
        <v>7868055.5555555644</v>
      </c>
      <c r="L18" s="29">
        <f t="shared" ref="L18" si="8">D18*I18/100+K18</f>
        <v>292150055.55555558</v>
      </c>
      <c r="M18" s="33">
        <f t="shared" si="0"/>
        <v>1.1394116647730088E-2</v>
      </c>
      <c r="N18" s="13">
        <f t="shared" ref="N18" si="9">D18*E18%/360</f>
        <v>76388.888888888891</v>
      </c>
      <c r="O18" s="12">
        <f t="shared" si="2"/>
        <v>7944444.4444444533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07.08.25'!$C$5:$F$165,4,0)</f>
        <v>56.856400000000001</v>
      </c>
      <c r="J19" s="32">
        <f>VLOOKUP(B19,'KASE за 07.08.25'!$C$5:$G$165,5,0)</f>
        <v>58.43</v>
      </c>
      <c r="K19" s="64">
        <v>4720833.3333333358</v>
      </c>
      <c r="L19" s="29">
        <f t="shared" ref="L19" si="11">D19*I19/100+K19</f>
        <v>175290033.33333334</v>
      </c>
      <c r="M19" s="33">
        <f t="shared" si="0"/>
        <v>6.8364699886380529E-3</v>
      </c>
      <c r="N19" s="13">
        <f>D19*E19%/360</f>
        <v>45833.333333333336</v>
      </c>
      <c r="O19" s="12">
        <f t="shared" si="2"/>
        <v>4766666.6666666688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07.08.25'!$C$5:$F$165,4,0)</f>
        <v>56.856400000000001</v>
      </c>
      <c r="J20" s="32">
        <f>VLOOKUP(B20,'KASE за 07.08.25'!$C$5:$G$165,5,0)</f>
        <v>58.43</v>
      </c>
      <c r="K20" s="64">
        <v>4720833.3333333358</v>
      </c>
      <c r="L20" s="29">
        <f t="shared" ref="L20" si="13">D20*I20/100+K20</f>
        <v>175290033.33333334</v>
      </c>
      <c r="M20" s="33">
        <f t="shared" si="0"/>
        <v>6.8364699886380529E-3</v>
      </c>
      <c r="N20" s="13">
        <f>D20*E20%/360</f>
        <v>45833.333333333336</v>
      </c>
      <c r="O20" s="12">
        <f t="shared" si="2"/>
        <v>4766666.6666666688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07.08.25'!$C$5:$F$162,4,0)</f>
        <v>83.147400000000005</v>
      </c>
      <c r="J21" s="32">
        <f>VLOOKUP(B21,'KASE за 07.08.25'!$C$5:$G$162,5,0)</f>
        <v>83.411199999999994</v>
      </c>
      <c r="K21" s="64">
        <v>1318750</v>
      </c>
      <c r="L21" s="29">
        <f t="shared" si="6"/>
        <v>417055750</v>
      </c>
      <c r="M21" s="33">
        <f t="shared" si="0"/>
        <v>1.6265551807170254E-2</v>
      </c>
      <c r="N21" s="13">
        <f>D21*E21%/360</f>
        <v>146527.77777777781</v>
      </c>
      <c r="O21" s="12">
        <f t="shared" si="2"/>
        <v>1465277.7777777778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07.08.25'!$C$5:$F$162,4,0)</f>
        <v>83.147400000000005</v>
      </c>
      <c r="J22" s="32">
        <f>VLOOKUP(B22,'KASE за 07.08.25'!$C$5:$G$162,5,0)</f>
        <v>83.411199999999994</v>
      </c>
      <c r="K22" s="64">
        <v>1459671.625</v>
      </c>
      <c r="L22" s="29">
        <f t="shared" si="6"/>
        <v>461622327.44499999</v>
      </c>
      <c r="M22" s="33">
        <f t="shared" si="0"/>
        <v>1.800368867328447E-2</v>
      </c>
      <c r="N22" s="13">
        <f t="shared" si="7"/>
        <v>162185.73611111112</v>
      </c>
      <c r="O22" s="12">
        <f t="shared" si="2"/>
        <v>1621857.361111111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07.08.25'!$C$5:$F$162,4,0)</f>
        <v>75.972099999999998</v>
      </c>
      <c r="J23" s="32">
        <f>VLOOKUP(B23,'KASE за 07.08.25'!$C$5:$G$162,5,0)</f>
        <v>77.486000000000004</v>
      </c>
      <c r="K23" s="64">
        <v>9629165.9722222053</v>
      </c>
      <c r="L23" s="29">
        <f t="shared" si="6"/>
        <v>492853506.62722218</v>
      </c>
      <c r="M23" s="33">
        <f t="shared" si="0"/>
        <v>1.9221732934723023E-2</v>
      </c>
      <c r="N23" s="13">
        <f t="shared" si="7"/>
        <v>88340.972222222219</v>
      </c>
      <c r="O23" s="12">
        <f t="shared" si="2"/>
        <v>9717506.9444444273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07.08.25'!$C$5:$F$173,4,0)</f>
        <v>56.160299999999999</v>
      </c>
      <c r="J24" s="32">
        <f>VLOOKUP(B24,'KASE за 07.08.25'!$C$5:$G$173,5,0)</f>
        <v>56.438600000000001</v>
      </c>
      <c r="K24" s="64">
        <v>1992663.4833333327</v>
      </c>
      <c r="L24" s="29">
        <f t="shared" si="6"/>
        <v>404059414.46433336</v>
      </c>
      <c r="M24" s="33">
        <f t="shared" si="0"/>
        <v>1.5758682955802655E-2</v>
      </c>
      <c r="N24" s="13">
        <f t="shared" si="7"/>
        <v>166055.29027777776</v>
      </c>
      <c r="O24" s="12">
        <f t="shared" si="2"/>
        <v>2158718.7736111106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07.08.25'!$C$5:$F$173,4,0)</f>
        <v>56.160299999999999</v>
      </c>
      <c r="J25" s="32">
        <f>VLOOKUP(B25,'KASE за 07.08.25'!$C$5:$G$173,5,0)</f>
        <v>56.438600000000001</v>
      </c>
      <c r="K25" s="64">
        <v>790669.85</v>
      </c>
      <c r="L25" s="29">
        <f>D25*I25/100+K25</f>
        <v>160326918.86899999</v>
      </c>
      <c r="M25" s="33">
        <f t="shared" si="0"/>
        <v>6.2528949785435198E-3</v>
      </c>
      <c r="N25" s="13">
        <f t="shared" ref="N25" si="16">D25*E25%/360</f>
        <v>65889.15416666666</v>
      </c>
      <c r="O25" s="12">
        <f t="shared" si="2"/>
        <v>856559.00416666665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07.08.25'!$C$5:$F$162,4,0)</f>
        <v>72.871300000000005</v>
      </c>
      <c r="J26" s="32">
        <f>VLOOKUP(B26,'KASE за 07.08.25'!$C$5:$G$162,5,0)</f>
        <v>76.775300000000001</v>
      </c>
      <c r="K26" s="64">
        <v>19519999.999999616</v>
      </c>
      <c r="L26" s="29">
        <f t="shared" si="6"/>
        <v>383876499.99999964</v>
      </c>
      <c r="M26" s="33">
        <f t="shared" si="0"/>
        <v>1.4971531020265725E-2</v>
      </c>
      <c r="N26" s="13">
        <f t="shared" si="7"/>
        <v>106666.66666666667</v>
      </c>
      <c r="O26" s="12">
        <f t="shared" si="2"/>
        <v>19626666.666666284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07.08.25'!$C$5:$F$162,4,0)</f>
        <v>72.871300000000005</v>
      </c>
      <c r="J27" s="32">
        <f>VLOOKUP(B27,'KASE за 07.08.25'!$C$5:$G$162,5,0)</f>
        <v>76.775300000000001</v>
      </c>
      <c r="K27" s="64">
        <v>19519999.999999616</v>
      </c>
      <c r="L27" s="29">
        <f t="shared" si="6"/>
        <v>383876499.99999964</v>
      </c>
      <c r="M27" s="33">
        <f t="shared" si="0"/>
        <v>1.4971531020265725E-2</v>
      </c>
      <c r="N27" s="13">
        <f t="shared" si="7"/>
        <v>106666.66666666667</v>
      </c>
      <c r="O27" s="12">
        <f t="shared" si="2"/>
        <v>19626666.666666284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07.08.25'!$C$5:$F$162,4,0)</f>
        <v>72.871300000000005</v>
      </c>
      <c r="J28" s="32">
        <f>VLOOKUP(B28,'KASE за 07.08.25'!$C$5:$G$162,5,0)</f>
        <v>76.775300000000001</v>
      </c>
      <c r="K28" s="64">
        <v>19519999.999999616</v>
      </c>
      <c r="L28" s="29">
        <f t="shared" ref="L28" si="18">D28*I28/100+K28</f>
        <v>383876499.99999964</v>
      </c>
      <c r="M28" s="33">
        <f t="shared" si="0"/>
        <v>1.4971531020265725E-2</v>
      </c>
      <c r="N28" s="13">
        <f t="shared" ref="N28" si="19">D28*E28%/360</f>
        <v>106666.66666666667</v>
      </c>
      <c r="O28" s="12">
        <f t="shared" si="2"/>
        <v>19626666.666666284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07.08.25'!$C$4:$G$963,4,0)</f>
        <v>93.519746367564593</v>
      </c>
      <c r="J29" s="32">
        <f>VLOOKUP(B29,'Риск цены за 07.08.25'!$C$4:$G$963,5,0)</f>
        <v>106.7869463675646</v>
      </c>
      <c r="K29" s="64">
        <v>225542777.77778295</v>
      </c>
      <c r="L29" s="29">
        <f>D29*I29/100+K29</f>
        <v>1815378466.026381</v>
      </c>
      <c r="M29" s="33">
        <f t="shared" si="0"/>
        <v>7.0801403622353529E-2</v>
      </c>
      <c r="N29" s="13">
        <f t="shared" ref="N29:N35" si="20">D29*E29%/360</f>
        <v>675277.77777777787</v>
      </c>
      <c r="O29" s="12">
        <f t="shared" si="2"/>
        <v>226218055.55556074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07.08.25'!$C$5:$F$162,4,0)</f>
        <v>83.702299999999994</v>
      </c>
      <c r="J30" s="32">
        <f>VLOOKUP(B30,'KASE за 07.08.25'!$C$5:$G$162,5,0)</f>
        <v>89.202299999999994</v>
      </c>
      <c r="K30" s="64">
        <v>27499999.999999736</v>
      </c>
      <c r="L30" s="29">
        <f t="shared" si="6"/>
        <v>446011499.99999976</v>
      </c>
      <c r="M30" s="33">
        <f t="shared" si="0"/>
        <v>1.7394852270574648E-2</v>
      </c>
      <c r="N30" s="13">
        <f t="shared" si="20"/>
        <v>166666.66666666666</v>
      </c>
      <c r="O30" s="12">
        <f t="shared" si="2"/>
        <v>27666666.666666403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07.08.25'!$C$5:$F$162,4,0)</f>
        <v>85.615099999999998</v>
      </c>
      <c r="J31" s="32">
        <f>VLOOKUP(B31,'KASE за 07.08.25'!$C$5:$G$162,5,0)</f>
        <v>90.615099999999998</v>
      </c>
      <c r="K31" s="64">
        <v>15000000</v>
      </c>
      <c r="L31" s="29">
        <f t="shared" ref="L31" si="22">D31*I31/100+K31</f>
        <v>271845300</v>
      </c>
      <c r="M31" s="33">
        <f t="shared" si="0"/>
        <v>1.0602212799333759E-2</v>
      </c>
      <c r="N31" s="13">
        <f t="shared" si="20"/>
        <v>100000</v>
      </c>
      <c r="O31" s="12">
        <f t="shared" si="2"/>
        <v>15100000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07.08.25'!$C$5:$F$162,4,0)</f>
        <v>85.615099999999998</v>
      </c>
      <c r="J32" s="32">
        <f>VLOOKUP(B32,'KASE за 07.08.25'!$C$5:$G$162,5,0)</f>
        <v>90.615099999999998</v>
      </c>
      <c r="K32" s="64">
        <v>14428950</v>
      </c>
      <c r="L32" s="29">
        <f t="shared" ref="L32" si="24">D32*I32/100+K32</f>
        <v>261496149.42899999</v>
      </c>
      <c r="M32" s="33">
        <f t="shared" si="0"/>
        <v>1.0198586558063123E-2</v>
      </c>
      <c r="N32" s="13">
        <f t="shared" si="20"/>
        <v>96193</v>
      </c>
      <c r="O32" s="12">
        <f t="shared" si="2"/>
        <v>14525143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07.08.25'!$C$4:$G$963,4,0)</f>
        <v>97.812198261309831</v>
      </c>
      <c r="J33" s="32">
        <f>VLOOKUP(B33,'Риск цены за 07.08.25'!$C$4:$G$963,5,0)</f>
        <v>100.47449826130983</v>
      </c>
      <c r="K33" s="64">
        <v>7986750</v>
      </c>
      <c r="L33" s="29">
        <f>D33*I33/100+K33</f>
        <v>301423344.78392947</v>
      </c>
      <c r="M33" s="33">
        <f t="shared" si="0"/>
        <v>1.1755783322669803E-2</v>
      </c>
      <c r="N33" s="13">
        <f t="shared" si="20"/>
        <v>115750</v>
      </c>
      <c r="O33" s="12">
        <f t="shared" si="2"/>
        <v>8102500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07.08.25'!$C$5:$F$162,4,0)</f>
        <v>70.950500000000005</v>
      </c>
      <c r="J34" s="32">
        <f>VLOOKUP(B34,'KASE за 07.08.25'!$C$5:$G$162,5,0)</f>
        <v>72.990200000000002</v>
      </c>
      <c r="K34" s="64">
        <v>142776.66666666666</v>
      </c>
      <c r="L34" s="29">
        <f>D34*I34/100+K34</f>
        <v>5109311.6666666679</v>
      </c>
      <c r="M34" s="33">
        <f t="shared" si="0"/>
        <v>1.9926778041819609E-4</v>
      </c>
      <c r="N34" s="13">
        <f t="shared" si="20"/>
        <v>1641.1111111111109</v>
      </c>
      <c r="O34" s="12">
        <f t="shared" si="2"/>
        <v>144417.77777777778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07.08.25'!$C$5:$F$162,4,0)</f>
        <v>89.588200000000001</v>
      </c>
      <c r="J35" s="32">
        <f>VLOOKUP(B35,'KASE за 07.08.25'!$C$5:$G$162,5,0)</f>
        <v>92.621499999999997</v>
      </c>
      <c r="K35" s="64">
        <v>303333.33333333279</v>
      </c>
      <c r="L35" s="29">
        <f t="shared" ref="L35" si="26">D35*I35/100+K35</f>
        <v>9262153.3333333321</v>
      </c>
      <c r="M35" s="33">
        <f t="shared" si="0"/>
        <v>3.6123236495189906E-4</v>
      </c>
      <c r="N35" s="13">
        <f t="shared" si="20"/>
        <v>3888.8888888888896</v>
      </c>
      <c r="O35" s="12">
        <f t="shared" si="2"/>
        <v>307222.22222222167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07.08.25'!$C$5:$F$165,4,0)</f>
        <v>60.346800000000002</v>
      </c>
      <c r="J36" s="32">
        <f>VLOOKUP(B36,'KASE за 07.08.25'!$C$5:$G$165,5,0)</f>
        <v>64.600099999999998</v>
      </c>
      <c r="K36" s="64">
        <v>12760000</v>
      </c>
      <c r="L36" s="29">
        <f t="shared" ref="L36" si="28">D36*I36/100+K36</f>
        <v>193800400</v>
      </c>
      <c r="M36" s="33">
        <f t="shared" si="0"/>
        <v>7.5583910459220824E-3</v>
      </c>
      <c r="N36" s="13">
        <f>D36*E36%/360</f>
        <v>72500</v>
      </c>
      <c r="O36" s="12">
        <f t="shared" si="2"/>
        <v>12832500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07.08.25'!$C$5:$F$165,4,0)</f>
        <v>60.346800000000002</v>
      </c>
      <c r="J37" s="32">
        <f>VLOOKUP(B37,'KASE за 07.08.25'!$C$5:$G$165,5,0)</f>
        <v>64.600099999999998</v>
      </c>
      <c r="K37" s="64">
        <v>8506666.6666662991</v>
      </c>
      <c r="L37" s="29">
        <f t="shared" ref="L37" si="30">D37*I37/100+K37</f>
        <v>129200266.6666663</v>
      </c>
      <c r="M37" s="33">
        <f t="shared" si="0"/>
        <v>5.0389273639480404E-3</v>
      </c>
      <c r="N37" s="13">
        <f>D37*E37%/360</f>
        <v>48333.333333333336</v>
      </c>
      <c r="O37" s="12">
        <f t="shared" si="2"/>
        <v>8554999.9999996331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07.08.25'!$C$5:$F$162,4,0)</f>
        <v>82.736099999999993</v>
      </c>
      <c r="J38" s="32">
        <f>VLOOKUP(B38,'KASE за 07.08.25'!$C$5:$G$162,5,0)</f>
        <v>88.327799999999996</v>
      </c>
      <c r="K38" s="64">
        <v>14706083.333333516</v>
      </c>
      <c r="L38" s="29">
        <f t="shared" ref="L38" si="32">D38*I38/100+K38</f>
        <v>232302026.33333352</v>
      </c>
      <c r="M38" s="33">
        <f t="shared" si="0"/>
        <v>9.0599893281305081E-3</v>
      </c>
      <c r="N38" s="13">
        <f>D38*E38%/360</f>
        <v>80361.111111111109</v>
      </c>
      <c r="O38" s="12">
        <f t="shared" si="2"/>
        <v>14786444.444444628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07.08.25'!$C$5:$F$162,4,0)</f>
        <v>96.160799999999995</v>
      </c>
      <c r="J39" s="32">
        <f>VLOOKUP(B39,'KASE за 07.08.25'!$C$5:$G$162,5,0)</f>
        <v>102.7058</v>
      </c>
      <c r="K39" s="64">
        <v>22318450</v>
      </c>
      <c r="L39" s="29">
        <f t="shared" ref="L39" si="34">D39*I39/100+K39</f>
        <v>350226778</v>
      </c>
      <c r="M39" s="33">
        <f t="shared" si="0"/>
        <v>1.3659161399446755E-2</v>
      </c>
      <c r="N39" s="13">
        <f t="shared" ref="N39" si="35">D39*E39%/360</f>
        <v>144925</v>
      </c>
      <c r="O39" s="12">
        <f t="shared" si="2"/>
        <v>22463375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07.08.25'!$C$5:$F$162,4,0)</f>
        <v>85.195099999999996</v>
      </c>
      <c r="J40" s="32">
        <f>VLOOKUP(B40,'KASE за 07.08.25'!$C$5:$G$162,5,0)</f>
        <v>93.338399999999993</v>
      </c>
      <c r="K40" s="64">
        <v>6736735.3666666886</v>
      </c>
      <c r="L40" s="29">
        <f>D40*I40/100+K40</f>
        <v>77216085.743666694</v>
      </c>
      <c r="M40" s="33">
        <f t="shared" si="0"/>
        <v>3.0114972470958886E-3</v>
      </c>
      <c r="N40" s="13">
        <f t="shared" ref="N40:N43" si="37">D40*E40%/360</f>
        <v>24059.769166666669</v>
      </c>
      <c r="O40" s="12">
        <f t="shared" si="2"/>
        <v>6760795.1358333556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07.08.25'!$C$5:$F$162,4,0)</f>
        <v>75.073599999999999</v>
      </c>
      <c r="J41" s="32">
        <f>VLOOKUP(B41,'KASE за 07.08.25'!$C$5:$G$162,5,0)</f>
        <v>82.625600000000006</v>
      </c>
      <c r="K41" s="64">
        <v>17180800.000000428</v>
      </c>
      <c r="L41" s="29">
        <f>D41*I41/100+K41</f>
        <v>187973240.00000042</v>
      </c>
      <c r="M41" s="33">
        <f t="shared" si="0"/>
        <v>7.3311265306416585E-3</v>
      </c>
      <c r="N41" s="13">
        <f t="shared" si="37"/>
        <v>48533.333333333336</v>
      </c>
      <c r="O41" s="12">
        <f t="shared" si="2"/>
        <v>17229333.33333376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07.08.25'!$C$5:$F$162,4,0)</f>
        <v>76.958299999999994</v>
      </c>
      <c r="J42" s="32">
        <f>VLOOKUP(B42,'KASE за 07.08.25'!$C$5:$G$162,5,0)</f>
        <v>81.711500000000001</v>
      </c>
      <c r="K42" s="64">
        <v>23765833.333322123</v>
      </c>
      <c r="L42" s="29">
        <f t="shared" ref="L42" si="39">D42*I42/100+K42</f>
        <v>408557333.33332211</v>
      </c>
      <c r="M42" s="33">
        <f t="shared" si="0"/>
        <v>1.5934105863622497E-2</v>
      </c>
      <c r="N42" s="13">
        <f t="shared" si="37"/>
        <v>100277.77777777778</v>
      </c>
      <c r="O42" s="12">
        <f>K42+N42</f>
        <v>23866111.111099899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07.08.25'!$C$5:$F$162,4,0)</f>
        <v>96.160799999999995</v>
      </c>
      <c r="J43" s="32">
        <f>VLOOKUP(B43,'KASE за 07.08.25'!$C$5:$G$162,5,0)</f>
        <v>102.7058</v>
      </c>
      <c r="K43" s="64">
        <v>16951550</v>
      </c>
      <c r="L43" s="29">
        <f>D43*I43/100+K43</f>
        <v>266008022</v>
      </c>
      <c r="M43" s="33">
        <f t="shared" si="0"/>
        <v>1.0374553672893576E-2</v>
      </c>
      <c r="N43" s="13">
        <f t="shared" si="37"/>
        <v>110075</v>
      </c>
      <c r="O43" s="12">
        <f>K43+N43</f>
        <v>17061625</v>
      </c>
      <c r="Q43" s="8"/>
      <c r="R43" s="12"/>
    </row>
    <row r="44" spans="1:19" x14ac:dyDescent="0.25">
      <c r="A44" s="27" t="s">
        <v>393</v>
      </c>
      <c r="B44" s="28" t="s">
        <v>2149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07.08.25'!$C$4:$G$963,4,0)</f>
        <v>99.320933063663716</v>
      </c>
      <c r="J44" s="32">
        <f>VLOOKUP(B44,'Риск цены за 07.08.25'!$C$4:$G$963,5,0)</f>
        <v>104.74843306366373</v>
      </c>
      <c r="K44" s="64">
        <v>10855000.000000019</v>
      </c>
      <c r="L44" s="29">
        <f>D44*I44/100+K44</f>
        <v>209496866.12732744</v>
      </c>
      <c r="M44" s="33">
        <f t="shared" si="0"/>
        <v>8.1705674347706658E-3</v>
      </c>
      <c r="N44" s="13">
        <f>D44*E44%/360</f>
        <v>92777.777777777766</v>
      </c>
      <c r="O44" s="12">
        <f>K44+N44</f>
        <v>10947777.777777797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07.08.25'!$C$5:$F$162,4,0)</f>
        <v>80.141099999999994</v>
      </c>
      <c r="J45" s="86">
        <f>VLOOKUP(B45,'KASE за 07.08.25'!$C$5:$G$162,5,0)</f>
        <v>84.381100000000004</v>
      </c>
      <c r="K45" s="113">
        <v>21200000.000000127</v>
      </c>
      <c r="L45" s="29">
        <f t="shared" ref="L45" si="41">D45*I45/100+K45</f>
        <v>421905500.00000012</v>
      </c>
      <c r="M45" s="87">
        <f t="shared" si="0"/>
        <v>1.6454696447609395E-2</v>
      </c>
      <c r="N45" s="13">
        <f>D45*E45%/360</f>
        <v>73611.111111111109</v>
      </c>
      <c r="O45" s="12">
        <f>K45+N45</f>
        <v>21273611.111111239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07.08.25'!$C$5:$F$162,4,0)</f>
        <v>82.736099999999993</v>
      </c>
      <c r="J46" s="86">
        <f>VLOOKUP(B46,'KASE за 07.08.25'!$C$5:$G$162,5,0)</f>
        <v>88.327799999999996</v>
      </c>
      <c r="K46" s="113">
        <v>41210583.333333418</v>
      </c>
      <c r="L46" s="76">
        <f>D46*I46/100+K46</f>
        <v>650975640.33333325</v>
      </c>
      <c r="M46" s="87">
        <f t="shared" si="0"/>
        <v>2.5388639295939843E-2</v>
      </c>
      <c r="N46" s="13">
        <f>D46*E46%/360</f>
        <v>225194.44444444444</v>
      </c>
      <c r="O46" s="12">
        <f>K46+N46</f>
        <v>41435777.777777866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07.08.25'!$C$5:$F$162,4,0)</f>
        <v>77.803700000000006</v>
      </c>
      <c r="J47" s="86">
        <f>VLOOKUP(B47,'KASE за 07.08.25'!$C$5:$G$162,5,0)</f>
        <v>81.809299999999993</v>
      </c>
      <c r="K47" s="64">
        <v>240333.33333333291</v>
      </c>
      <c r="L47" s="76">
        <f t="shared" ref="L47:L56" si="42">D47*I47/100+K47</f>
        <v>4908555.333333334</v>
      </c>
      <c r="M47" s="87">
        <f t="shared" si="0"/>
        <v>1.9143810167512426E-4</v>
      </c>
      <c r="N47" s="13">
        <f t="shared" ref="N47" si="43">D47*E47%/360</f>
        <v>1716.6666666666667</v>
      </c>
      <c r="O47" s="12">
        <f t="shared" ref="O47" si="44">K47+N47</f>
        <v>242049.99999999956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07.08.25'!$C$5:$F$162,4,0)</f>
        <v>77.803700000000006</v>
      </c>
      <c r="J48" s="86">
        <f>VLOOKUP(B48,'KASE за 07.08.25'!$C$5:$G$162,5,0)</f>
        <v>81.809299999999993</v>
      </c>
      <c r="K48" s="113">
        <v>240333.33333333291</v>
      </c>
      <c r="L48" s="76">
        <f t="shared" si="42"/>
        <v>4908555.333333334</v>
      </c>
      <c r="M48" s="87">
        <f t="shared" si="0"/>
        <v>1.9143810167512426E-4</v>
      </c>
      <c r="N48" s="13">
        <f>D48*E48%/360</f>
        <v>1716.6666666666667</v>
      </c>
      <c r="O48" s="12">
        <f>K48+N48</f>
        <v>242049.99999999956</v>
      </c>
      <c r="Q48" s="8"/>
      <c r="R48" s="12"/>
    </row>
    <row r="49" spans="1:18" x14ac:dyDescent="0.25">
      <c r="A49" s="55" t="s">
        <v>29</v>
      </c>
      <c r="B49" s="56" t="s">
        <v>2172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21722222.222222265</v>
      </c>
      <c r="L49" s="76">
        <f t="shared" si="42"/>
        <v>521722222.22222227</v>
      </c>
      <c r="M49" s="87">
        <f t="shared" si="0"/>
        <v>2.034763897754089E-2</v>
      </c>
      <c r="N49" s="13">
        <f>D49*E49%/360</f>
        <v>236111.11111111112</v>
      </c>
      <c r="O49" s="12">
        <f>K49+N49</f>
        <v>21958333.333333377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07.08.25'!$C$5:$F$165,4,0)</f>
        <v>70.950500000000005</v>
      </c>
      <c r="J50" s="86">
        <f>VLOOKUP(B50,'KASE за 07.08.25'!$C$5:$G$165,5,0)</f>
        <v>72.990200000000002</v>
      </c>
      <c r="K50" s="115">
        <v>10198333.333333323</v>
      </c>
      <c r="L50" s="76">
        <f t="shared" si="42"/>
        <v>364950833.33333331</v>
      </c>
      <c r="M50" s="87">
        <f t="shared" ref="M50:M58" si="46">L50/$L$59</f>
        <v>1.4233412887014003E-2</v>
      </c>
      <c r="N50" s="13">
        <f>D50*E50%/360</f>
        <v>117222.2222222222</v>
      </c>
      <c r="O50" s="12">
        <f>K50+N50</f>
        <v>10315555.555555545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07.08.25'!$C$5:$F$165,4,0)</f>
        <v>75.073599999999999</v>
      </c>
      <c r="J51" s="86">
        <f>VLOOKUP(B51,'KASE за 07.08.25'!$C$5:$G$165,5,0)</f>
        <v>82.625600000000006</v>
      </c>
      <c r="K51" s="114">
        <v>37759999.999999933</v>
      </c>
      <c r="L51" s="76">
        <f t="shared" si="42"/>
        <v>413127999.99999994</v>
      </c>
      <c r="M51" s="87">
        <f t="shared" si="46"/>
        <v>1.6112366001410201E-2</v>
      </c>
      <c r="N51" s="13">
        <f t="shared" ref="N51:N52" si="47">D51*E51%/360</f>
        <v>106666.66666666667</v>
      </c>
      <c r="O51" s="12">
        <f t="shared" ref="O51" si="48">K51+N51</f>
        <v>37866666.666666597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07.08.25'!$C$5:$F$165,4,0)</f>
        <v>75.972099999999998</v>
      </c>
      <c r="J52" s="86">
        <f>VLOOKUP(B52,'KASE за 07.08.25'!$C$5:$G$165,5,0)</f>
        <v>77.486000000000004</v>
      </c>
      <c r="K52" s="115">
        <v>7569444.4444444245</v>
      </c>
      <c r="L52" s="76">
        <f t="shared" si="42"/>
        <v>387429944.44444442</v>
      </c>
      <c r="M52" s="87">
        <f t="shared" si="46"/>
        <v>1.5110118570503355E-2</v>
      </c>
      <c r="N52" s="13">
        <f t="shared" si="47"/>
        <v>69444.444444444438</v>
      </c>
      <c r="O52" s="12">
        <f>K52+N52</f>
        <v>7638888.8888888685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07.08.25'!$C$5:$F$165,4,0)</f>
        <v>83.147400000000005</v>
      </c>
      <c r="J53" s="86">
        <f>VLOOKUP(B53,'KASE за 07.08.25'!$C$5:$G$165,5,0)</f>
        <v>83.411199999999994</v>
      </c>
      <c r="K53" s="115">
        <v>527500.00000000012</v>
      </c>
      <c r="L53" s="76">
        <f t="shared" si="42"/>
        <v>166822300</v>
      </c>
      <c r="M53" s="87">
        <f t="shared" si="46"/>
        <v>6.5062207228681022E-3</v>
      </c>
      <c r="N53" s="13">
        <f t="shared" ref="N53" si="50">D53*E53%/360</f>
        <v>58611.111111111124</v>
      </c>
      <c r="O53" s="12">
        <f>K53+N53</f>
        <v>586111.11111111124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07.08.25'!$C$5:$F$165,4,0)</f>
        <v>85.615099999999998</v>
      </c>
      <c r="J54" s="86">
        <f>VLOOKUP(B54,'KASE за 07.08.25'!$C$5:$G$165,5,0)</f>
        <v>90.615099999999998</v>
      </c>
      <c r="K54" s="115">
        <v>25000000.000000052</v>
      </c>
      <c r="L54" s="76">
        <f>D54*I54/100+K54</f>
        <v>453075500.00000006</v>
      </c>
      <c r="M54" s="87">
        <f t="shared" si="46"/>
        <v>1.7670354665556266E-2</v>
      </c>
      <c r="N54" s="13">
        <f t="shared" ref="N54:N56" si="51">D54*E54%/360</f>
        <v>166666.66666666666</v>
      </c>
      <c r="O54" s="12">
        <f t="shared" ref="O54:O56" si="52">K54+N54</f>
        <v>25166666.66666672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07.08.25'!$C$5:$F$165,4,0)</f>
        <v>85.615099999999998</v>
      </c>
      <c r="J55" s="86">
        <f>VLOOKUP(B55,'KASE за 07.08.25'!$C$5:$G$165,5,0)</f>
        <v>90.615099999999998</v>
      </c>
      <c r="K55" s="115">
        <v>25000000.000000052</v>
      </c>
      <c r="L55" s="76">
        <f t="shared" si="42"/>
        <v>453075500.00000006</v>
      </c>
      <c r="M55" s="87">
        <f t="shared" si="46"/>
        <v>1.7670354665556266E-2</v>
      </c>
      <c r="N55" s="13">
        <f t="shared" si="51"/>
        <v>166666.66666666666</v>
      </c>
      <c r="O55" s="12">
        <f t="shared" si="52"/>
        <v>25166666.66666672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07.08.25'!$C$5:$F$165,4,0)</f>
        <v>85.615099999999998</v>
      </c>
      <c r="J56" s="32">
        <f>VLOOKUP(B56,'KASE за 07.08.25'!$C$5:$G$165,5,0)</f>
        <v>90.615099999999998</v>
      </c>
      <c r="K56" s="114">
        <v>20571049.999999978</v>
      </c>
      <c r="L56" s="29">
        <f t="shared" si="42"/>
        <v>372809550.57099998</v>
      </c>
      <c r="M56" s="87">
        <f t="shared" si="46"/>
        <v>1.4539909973715646E-2</v>
      </c>
      <c r="N56" s="13">
        <f t="shared" si="51"/>
        <v>137140.33333333334</v>
      </c>
      <c r="O56" s="12">
        <f t="shared" si="52"/>
        <v>20708190.33333331</v>
      </c>
      <c r="Q56" s="3"/>
      <c r="R56" s="12"/>
    </row>
    <row r="57" spans="1:18" x14ac:dyDescent="0.25">
      <c r="A57" s="55" t="s">
        <v>402</v>
      </c>
      <c r="B57" s="56" t="s">
        <v>2256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07.08.25'!$C$5:$F$165,4,0)</f>
        <v>90.691100000000006</v>
      </c>
      <c r="J57" s="32">
        <f>VLOOKUP(B57,'KASE за 07.08.25'!$C$5:$G$165,5,0)</f>
        <v>93.179699999999997</v>
      </c>
      <c r="K57" s="114">
        <v>12443055.555555545</v>
      </c>
      <c r="L57" s="29">
        <f>D57*I57/100+K57</f>
        <v>465898555.55555552</v>
      </c>
      <c r="M57" s="87">
        <f t="shared" si="46"/>
        <v>1.8170465440830581E-2</v>
      </c>
      <c r="N57" s="13">
        <f>D57*E57%/360</f>
        <v>200694.44444444444</v>
      </c>
      <c r="O57" s="12">
        <f t="shared" ref="O57" si="53">K57+N57</f>
        <v>12643749.999999989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07.08.25'!$C$5:$F$165,4,0)</f>
        <v>70.950500000000005</v>
      </c>
      <c r="J58" s="32">
        <f>VLOOKUP(B58,'KASE за 07.08.25'!$C$5:$G$165,5,0)</f>
        <v>72.990200000000002</v>
      </c>
      <c r="K58" s="114">
        <v>10198333.33333333</v>
      </c>
      <c r="L58" s="29">
        <f>D58*I58/100+K58</f>
        <v>364950833.33333331</v>
      </c>
      <c r="M58" s="87">
        <f t="shared" si="46"/>
        <v>1.4233412887014003E-2</v>
      </c>
      <c r="N58" s="13">
        <f>D58*E58%/360</f>
        <v>117222.2222222222</v>
      </c>
      <c r="O58" s="12">
        <f t="shared" ref="O58" si="54">K58+N58</f>
        <v>10315555.555555552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1149821179.727771</v>
      </c>
      <c r="L59" s="66">
        <f>SUM(L6:L58)</f>
        <v>25640430459.675617</v>
      </c>
      <c r="M59" s="65">
        <f>SUM(M6:M58)</f>
        <v>1.0000000000000002</v>
      </c>
      <c r="N59" s="13">
        <v>25640430459.675629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801094.88</v>
      </c>
      <c r="C62" s="8">
        <v>801094.88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5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5" s="17" customFormat="1" ht="15" customHeight="1" x14ac:dyDescent="0.25">
      <c r="A66" s="55" t="s">
        <v>402</v>
      </c>
      <c r="B66" s="56" t="s">
        <v>1277</v>
      </c>
      <c r="C66" s="57">
        <v>3360955</v>
      </c>
      <c r="D66" s="58" t="s">
        <v>242</v>
      </c>
      <c r="E66" s="46">
        <v>45875</v>
      </c>
      <c r="F66" s="46">
        <v>45876</v>
      </c>
      <c r="G66" s="59">
        <v>530.51819999970201</v>
      </c>
      <c r="H66" s="59">
        <v>530.74436208756094</v>
      </c>
      <c r="I66" s="57">
        <v>1783047796.8800001</v>
      </c>
      <c r="J66" s="57">
        <v>1783807917.48</v>
      </c>
      <c r="K66" s="60">
        <v>15.5600999303258</v>
      </c>
      <c r="L66" s="18">
        <f t="shared" ref="L66:L69" si="55">IF(($B$1-E66)=0,0,(J66-I66)/(F66-E66)*($B$1-E66))</f>
        <v>760120.59999990463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5" t="s">
        <v>402</v>
      </c>
      <c r="B67" s="56" t="s">
        <v>1277</v>
      </c>
      <c r="C67" s="57">
        <v>22620</v>
      </c>
      <c r="D67" s="58" t="s">
        <v>242</v>
      </c>
      <c r="E67" s="46">
        <v>45875</v>
      </c>
      <c r="F67" s="46">
        <v>45876</v>
      </c>
      <c r="G67" s="59">
        <v>530.51819982316499</v>
      </c>
      <c r="H67" s="59">
        <v>530.74436206896598</v>
      </c>
      <c r="I67" s="57">
        <v>12000321.68</v>
      </c>
      <c r="J67" s="57">
        <v>12005437.470000001</v>
      </c>
      <c r="K67" s="60">
        <v>15.5601108019631</v>
      </c>
      <c r="L67" s="18">
        <f t="shared" si="55"/>
        <v>5115.7900000009686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402</v>
      </c>
      <c r="B68" s="56" t="s">
        <v>192</v>
      </c>
      <c r="C68" s="57">
        <v>2183616</v>
      </c>
      <c r="D68" s="58" t="s">
        <v>242</v>
      </c>
      <c r="E68" s="46">
        <v>45876</v>
      </c>
      <c r="F68" s="46">
        <v>45877</v>
      </c>
      <c r="G68" s="59">
        <v>817.11500000000001</v>
      </c>
      <c r="H68" s="59">
        <v>817.46288950987696</v>
      </c>
      <c r="I68" s="57">
        <v>1784265387.8399999</v>
      </c>
      <c r="J68" s="57">
        <v>1785025044.9400001</v>
      </c>
      <c r="K68" s="60">
        <v>15.5400000128716</v>
      </c>
      <c r="L68" s="18">
        <f t="shared" si="55"/>
        <v>0</v>
      </c>
      <c r="M68" s="18">
        <f t="shared" si="56"/>
        <v>1784265387.8399999</v>
      </c>
      <c r="N68" s="16"/>
    </row>
    <row r="69" spans="1:15" s="17" customFormat="1" ht="15" customHeight="1" x14ac:dyDescent="0.25">
      <c r="A69" s="55" t="s">
        <v>402</v>
      </c>
      <c r="B69" s="56" t="s">
        <v>192</v>
      </c>
      <c r="C69" s="57">
        <v>13464</v>
      </c>
      <c r="D69" s="58" t="s">
        <v>242</v>
      </c>
      <c r="E69" s="46">
        <v>45876</v>
      </c>
      <c r="F69" s="46">
        <v>45877</v>
      </c>
      <c r="G69" s="59">
        <v>817.11500000000001</v>
      </c>
      <c r="H69" s="59">
        <v>817.46288918597702</v>
      </c>
      <c r="I69" s="57">
        <v>11001636.359999999</v>
      </c>
      <c r="J69" s="57">
        <v>11006320.34</v>
      </c>
      <c r="K69" s="60">
        <v>15.5399855444777</v>
      </c>
      <c r="L69" s="18">
        <f t="shared" si="55"/>
        <v>0</v>
      </c>
      <c r="M69" s="18">
        <f t="shared" si="56"/>
        <v>11001636.359999999</v>
      </c>
      <c r="N69" s="16"/>
    </row>
    <row r="70" spans="1:15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5" ht="15.75" thickBot="1" x14ac:dyDescent="0.3">
      <c r="A71" s="83" t="s">
        <v>14</v>
      </c>
      <c r="B71" s="72"/>
      <c r="C71" s="71">
        <f>SUM(C66:C69)</f>
        <v>5580655</v>
      </c>
      <c r="D71" s="82"/>
      <c r="E71" s="81"/>
      <c r="F71" s="82"/>
      <c r="G71" s="80"/>
      <c r="H71" s="82"/>
      <c r="I71" s="71">
        <f>SUM(I66:I69)</f>
        <v>3590315142.7600002</v>
      </c>
      <c r="J71" s="71">
        <f>SUM(J66:J69)</f>
        <v>3591844720.2300005</v>
      </c>
      <c r="K71" s="79"/>
      <c r="L71" s="71">
        <f>SUM(L66:L69)</f>
        <v>765236.3899999056</v>
      </c>
      <c r="M71" s="71">
        <f>SUM(M66:M69)</f>
        <v>1795267024.1999998</v>
      </c>
      <c r="N71" s="127">
        <v>1795267024.1999998</v>
      </c>
      <c r="O71" s="8">
        <f>M71-N71</f>
        <v>0</v>
      </c>
    </row>
    <row r="72" spans="1:15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5" ht="15.75" thickBot="1" x14ac:dyDescent="0.3">
      <c r="A74" s="5" t="s">
        <v>383</v>
      </c>
      <c r="L74" s="10"/>
      <c r="M74" s="11"/>
    </row>
    <row r="75" spans="1:15" ht="22.5" x14ac:dyDescent="0.25">
      <c r="A75" s="110" t="s">
        <v>16</v>
      </c>
      <c r="B75" s="110" t="s">
        <v>253</v>
      </c>
      <c r="C75" s="110" t="s">
        <v>247</v>
      </c>
      <c r="D75" s="110" t="s">
        <v>254</v>
      </c>
      <c r="E75" s="110" t="s">
        <v>246</v>
      </c>
      <c r="F75" s="110" t="s">
        <v>255</v>
      </c>
      <c r="G75" s="110" t="s">
        <v>256</v>
      </c>
      <c r="L75" s="10"/>
      <c r="M75" s="11"/>
    </row>
    <row r="76" spans="1:15" x14ac:dyDescent="0.25">
      <c r="A76" s="28"/>
      <c r="B76" s="28"/>
      <c r="C76" s="109"/>
      <c r="D76" s="31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111"/>
      <c r="C77" s="111"/>
      <c r="D77" s="111"/>
      <c r="E77" s="111"/>
      <c r="F77" s="111"/>
      <c r="G77" s="112">
        <f>SUM(G76:G76)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257</v>
      </c>
      <c r="B79" s="35">
        <f>L59+B62+M71+G77</f>
        <v>27436498578.755619</v>
      </c>
      <c r="C79" s="127">
        <v>27436498578.75563</v>
      </c>
      <c r="D79" s="3">
        <f>B79-C79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7"/>
    </row>
    <row r="83" spans="1:14" x14ac:dyDescent="0.25">
      <c r="A83" s="6" t="s">
        <v>381</v>
      </c>
      <c r="L83" s="13"/>
      <c r="N83"/>
    </row>
    <row r="84" spans="1:14" ht="15.75" x14ac:dyDescent="0.25">
      <c r="A84" s="20" t="s">
        <v>258</v>
      </c>
      <c r="B84" s="21">
        <v>4020961.36</v>
      </c>
      <c r="K84" s="13"/>
      <c r="N84"/>
    </row>
    <row r="85" spans="1:14" ht="15.75" x14ac:dyDescent="0.25">
      <c r="A85" s="20" t="s">
        <v>259</v>
      </c>
      <c r="B85" s="22"/>
      <c r="K85" s="13"/>
      <c r="N85"/>
    </row>
    <row r="86" spans="1:14" ht="15.75" x14ac:dyDescent="0.25">
      <c r="A86" s="20" t="s">
        <v>260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</f>
        <v>486960.78999999992</v>
      </c>
      <c r="C86" s="8"/>
      <c r="F86" s="8"/>
      <c r="K86" s="13"/>
      <c r="N86"/>
    </row>
    <row r="87" spans="1:14" ht="15.75" x14ac:dyDescent="0.25">
      <c r="A87" s="20" t="s">
        <v>261</v>
      </c>
      <c r="B87" s="22"/>
      <c r="K87" s="13"/>
      <c r="N87"/>
    </row>
    <row r="88" spans="1:14" ht="15.75" x14ac:dyDescent="0.25">
      <c r="A88" s="24" t="s">
        <v>384</v>
      </c>
      <c r="B88" s="21">
        <v>365447.82</v>
      </c>
      <c r="C88" s="8"/>
      <c r="D88" s="8"/>
      <c r="K88" s="13"/>
      <c r="N88"/>
    </row>
    <row r="89" spans="1:14" ht="15.75" x14ac:dyDescent="0.25">
      <c r="A89" s="20" t="s">
        <v>262</v>
      </c>
      <c r="B89" s="23">
        <f>4083.63+3230.48+3265.02+12872.21+3281.52+3247.37+2574.32+7640.52+2575.08+2576.75+2575.88+2577.32+7662+2583.06+2582.99+2585.09+2053.2+6452.61+2743.63+2707.86+2708.65+2708.58+8059.51+2714.35+2877.07+2713.89+2715.72</f>
        <v>104368.31</v>
      </c>
      <c r="K89" s="13"/>
      <c r="N89"/>
    </row>
    <row r="90" spans="1:14" ht="15.75" x14ac:dyDescent="0.25">
      <c r="A90" s="20" t="s">
        <v>263</v>
      </c>
      <c r="B90" s="23">
        <f>1606.55+1607.59+1608.19+6436.1+1611.94+1612.29+46613.68+3820.27+1275.38+1275.47+1276.53+1276.5+3831+1278.62+1279.34+1280.38+36800.38+3224.64+1340.74+1341.77+1342.17+1342.88+4029.76+1345.03+1345.6+1346.29+1346.45</f>
        <v>132495.54</v>
      </c>
      <c r="K90" s="13"/>
      <c r="N90"/>
    </row>
    <row r="91" spans="1:14" ht="15.75" x14ac:dyDescent="0.25">
      <c r="A91" s="20" t="s">
        <v>264</v>
      </c>
      <c r="B91" s="22"/>
      <c r="K91" s="13"/>
      <c r="N91"/>
    </row>
    <row r="92" spans="1:14" ht="17.25" customHeight="1" x14ac:dyDescent="0.25">
      <c r="A92" s="24" t="s">
        <v>265</v>
      </c>
      <c r="B92" s="22"/>
      <c r="K92" s="13"/>
      <c r="N92"/>
    </row>
    <row r="93" spans="1:14" ht="15.75" x14ac:dyDescent="0.25">
      <c r="A93" s="24" t="s">
        <v>266</v>
      </c>
      <c r="B93" s="22"/>
      <c r="K93" s="13"/>
      <c r="N93"/>
    </row>
    <row r="94" spans="1:14" ht="15.75" x14ac:dyDescent="0.25">
      <c r="A94" s="26" t="s">
        <v>382</v>
      </c>
      <c r="B94" s="25">
        <f>SUM(B84:B93)</f>
        <v>5110233.8199999994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45876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346</v>
      </c>
      <c r="C3" s="125" t="s">
        <v>0</v>
      </c>
      <c r="D3" s="125" t="s">
        <v>17</v>
      </c>
      <c r="E3" s="125" t="s">
        <v>341</v>
      </c>
      <c r="F3" s="125" t="s">
        <v>342</v>
      </c>
      <c r="G3" s="125" t="s">
        <v>343</v>
      </c>
      <c r="H3" s="125" t="s">
        <v>2118</v>
      </c>
      <c r="I3" s="125" t="s">
        <v>344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2285</v>
      </c>
      <c r="C5" s="62" t="s">
        <v>21</v>
      </c>
      <c r="D5" s="62" t="s">
        <v>19</v>
      </c>
      <c r="E5" s="62" t="s">
        <v>2372</v>
      </c>
      <c r="F5" s="62">
        <v>740.72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2330</v>
      </c>
      <c r="C6" s="62" t="s">
        <v>529</v>
      </c>
      <c r="D6" s="62" t="s">
        <v>2373</v>
      </c>
      <c r="E6" s="62" t="s">
        <v>2372</v>
      </c>
      <c r="F6" s="62">
        <v>5.61</v>
      </c>
      <c r="G6" s="62" t="s">
        <v>345</v>
      </c>
      <c r="H6" s="62" t="s">
        <v>345</v>
      </c>
      <c r="I6" s="62" t="s">
        <v>345</v>
      </c>
      <c r="J6" s="62" t="s">
        <v>2019</v>
      </c>
    </row>
    <row r="7" spans="1:10" ht="15" x14ac:dyDescent="0.25">
      <c r="A7" s="40">
        <v>3</v>
      </c>
      <c r="B7" s="62" t="s">
        <v>2331</v>
      </c>
      <c r="C7" s="62" t="s">
        <v>24</v>
      </c>
      <c r="D7" s="62" t="s">
        <v>19</v>
      </c>
      <c r="E7" s="62" t="s">
        <v>2374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2332</v>
      </c>
      <c r="C8" s="62" t="s">
        <v>439</v>
      </c>
      <c r="D8" s="62" t="s">
        <v>2375</v>
      </c>
      <c r="E8" s="62" t="s">
        <v>2376</v>
      </c>
      <c r="F8" s="62">
        <v>100.02249999999999</v>
      </c>
      <c r="G8" s="62">
        <v>100.9336</v>
      </c>
      <c r="H8" s="62" t="s">
        <v>2370</v>
      </c>
      <c r="I8" s="62" t="s">
        <v>2639</v>
      </c>
      <c r="J8" s="62" t="s">
        <v>273</v>
      </c>
    </row>
    <row r="9" spans="1:10" ht="15" x14ac:dyDescent="0.25">
      <c r="A9" s="40">
        <v>5</v>
      </c>
      <c r="B9" s="62" t="s">
        <v>2420</v>
      </c>
      <c r="C9" s="62" t="s">
        <v>27</v>
      </c>
      <c r="D9" s="62" t="s">
        <v>2377</v>
      </c>
      <c r="E9" s="62" t="s">
        <v>2378</v>
      </c>
      <c r="F9" s="63">
        <v>1455.09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2421</v>
      </c>
      <c r="C10" s="62" t="s">
        <v>747</v>
      </c>
      <c r="D10" s="62" t="s">
        <v>2377</v>
      </c>
      <c r="E10" s="62" t="s">
        <v>2378</v>
      </c>
      <c r="F10" s="62">
        <v>6.77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2422</v>
      </c>
      <c r="C11" s="62" t="s">
        <v>2241</v>
      </c>
      <c r="D11" s="62" t="s">
        <v>2375</v>
      </c>
      <c r="E11" s="62" t="s">
        <v>2254</v>
      </c>
      <c r="F11" s="62">
        <v>100.8085</v>
      </c>
      <c r="G11" s="62">
        <v>104.4918</v>
      </c>
      <c r="H11" s="62" t="s">
        <v>2640</v>
      </c>
      <c r="I11" s="62" t="s">
        <v>2641</v>
      </c>
      <c r="J11" s="62" t="s">
        <v>273</v>
      </c>
    </row>
    <row r="12" spans="1:10" ht="15" x14ac:dyDescent="0.25">
      <c r="A12" s="40">
        <v>8</v>
      </c>
      <c r="B12" s="62" t="s">
        <v>2423</v>
      </c>
      <c r="C12" s="62" t="s">
        <v>2151</v>
      </c>
      <c r="D12" s="62" t="s">
        <v>2375</v>
      </c>
      <c r="E12" s="62" t="s">
        <v>2379</v>
      </c>
      <c r="F12" s="62">
        <v>101.4645</v>
      </c>
      <c r="G12" s="62">
        <v>103.3395</v>
      </c>
      <c r="H12" s="62" t="s">
        <v>2642</v>
      </c>
      <c r="I12" s="62" t="s">
        <v>2643</v>
      </c>
      <c r="J12" s="62" t="s">
        <v>273</v>
      </c>
    </row>
    <row r="13" spans="1:10" ht="15.75" customHeight="1" x14ac:dyDescent="0.25">
      <c r="A13" s="40">
        <v>9</v>
      </c>
      <c r="B13" s="62" t="s">
        <v>2453</v>
      </c>
      <c r="C13" s="62" t="s">
        <v>31</v>
      </c>
      <c r="D13" s="62" t="s">
        <v>2375</v>
      </c>
      <c r="E13" s="62" t="s">
        <v>2379</v>
      </c>
      <c r="F13" s="62">
        <v>99.828100000000006</v>
      </c>
      <c r="G13" s="62">
        <v>102.06140000000001</v>
      </c>
      <c r="H13" s="62" t="s">
        <v>2644</v>
      </c>
      <c r="I13" s="62" t="s">
        <v>2645</v>
      </c>
      <c r="J13" s="62" t="s">
        <v>273</v>
      </c>
    </row>
    <row r="14" spans="1:10" ht="15.75" customHeight="1" x14ac:dyDescent="0.25">
      <c r="A14" s="40">
        <v>10</v>
      </c>
      <c r="B14" s="62" t="s">
        <v>2454</v>
      </c>
      <c r="C14" s="62" t="s">
        <v>2220</v>
      </c>
      <c r="D14" s="62" t="s">
        <v>2375</v>
      </c>
      <c r="E14" s="62" t="s">
        <v>2380</v>
      </c>
      <c r="F14" s="62">
        <v>101.17659999999999</v>
      </c>
      <c r="G14" s="62">
        <v>102.524</v>
      </c>
      <c r="H14" s="62" t="s">
        <v>2371</v>
      </c>
      <c r="I14" s="62" t="s">
        <v>2646</v>
      </c>
      <c r="J14" s="62" t="s">
        <v>273</v>
      </c>
    </row>
    <row r="15" spans="1:10" ht="15.75" customHeight="1" x14ac:dyDescent="0.25">
      <c r="A15" s="40">
        <v>11</v>
      </c>
      <c r="B15" s="62" t="s">
        <v>2455</v>
      </c>
      <c r="C15" s="62" t="s">
        <v>33</v>
      </c>
      <c r="D15" s="62" t="s">
        <v>19</v>
      </c>
      <c r="E15" s="62" t="s">
        <v>2381</v>
      </c>
      <c r="F15" s="63">
        <v>3697.3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2456</v>
      </c>
      <c r="C16" s="62" t="s">
        <v>36</v>
      </c>
      <c r="D16" s="62" t="s">
        <v>19</v>
      </c>
      <c r="E16" s="62" t="s">
        <v>2381</v>
      </c>
      <c r="F16" s="63">
        <v>5430.25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2424</v>
      </c>
      <c r="C17" s="62" t="s">
        <v>38</v>
      </c>
      <c r="D17" s="62" t="s">
        <v>2377</v>
      </c>
      <c r="E17" s="62" t="s">
        <v>239</v>
      </c>
      <c r="F17" s="63">
        <v>5928926.5700000003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2425</v>
      </c>
      <c r="C18" s="62" t="s">
        <v>41</v>
      </c>
      <c r="D18" s="62" t="s">
        <v>2377</v>
      </c>
      <c r="E18" s="62" t="s">
        <v>239</v>
      </c>
      <c r="F18" s="63">
        <v>1718841.4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2426</v>
      </c>
      <c r="C19" s="62" t="s">
        <v>44</v>
      </c>
      <c r="D19" s="62" t="s">
        <v>2382</v>
      </c>
      <c r="E19" s="62" t="s">
        <v>42</v>
      </c>
      <c r="F19" s="62">
        <v>99.676599999999993</v>
      </c>
      <c r="G19" s="62">
        <v>101.85339999999999</v>
      </c>
      <c r="H19" s="62" t="s">
        <v>2346</v>
      </c>
      <c r="I19" s="62" t="s">
        <v>2647</v>
      </c>
      <c r="J19" s="62" t="s">
        <v>273</v>
      </c>
    </row>
    <row r="20" spans="1:10" ht="15" x14ac:dyDescent="0.25">
      <c r="A20" s="40">
        <v>16</v>
      </c>
      <c r="B20" s="62" t="s">
        <v>2427</v>
      </c>
      <c r="C20" s="62" t="s">
        <v>2064</v>
      </c>
      <c r="D20" s="62" t="s">
        <v>2382</v>
      </c>
      <c r="E20" s="62" t="s">
        <v>42</v>
      </c>
      <c r="F20" s="62">
        <v>100</v>
      </c>
      <c r="G20" s="62">
        <v>107.2568</v>
      </c>
      <c r="H20" s="62" t="s">
        <v>2409</v>
      </c>
      <c r="I20" s="62" t="s">
        <v>2648</v>
      </c>
      <c r="J20" s="62" t="s">
        <v>273</v>
      </c>
    </row>
    <row r="21" spans="1:10" ht="15" x14ac:dyDescent="0.25">
      <c r="A21" s="40">
        <v>17</v>
      </c>
      <c r="B21" s="62" t="s">
        <v>2428</v>
      </c>
      <c r="C21" s="62" t="s">
        <v>2115</v>
      </c>
      <c r="D21" s="62" t="s">
        <v>2382</v>
      </c>
      <c r="E21" s="62" t="s">
        <v>42</v>
      </c>
      <c r="F21" s="62">
        <v>100</v>
      </c>
      <c r="G21" s="62">
        <v>106.3767</v>
      </c>
      <c r="H21" s="62" t="s">
        <v>2312</v>
      </c>
      <c r="I21" s="62" t="s">
        <v>2649</v>
      </c>
      <c r="J21" s="62" t="s">
        <v>273</v>
      </c>
    </row>
    <row r="22" spans="1:10" ht="15" x14ac:dyDescent="0.25">
      <c r="A22" s="40">
        <v>18</v>
      </c>
      <c r="B22" s="62" t="s">
        <v>2429</v>
      </c>
      <c r="C22" s="62" t="s">
        <v>49</v>
      </c>
      <c r="D22" s="62" t="s">
        <v>2377</v>
      </c>
      <c r="E22" s="62" t="s">
        <v>2383</v>
      </c>
      <c r="F22" s="63">
        <v>89325.7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2430</v>
      </c>
      <c r="C23" s="62" t="s">
        <v>46</v>
      </c>
      <c r="D23" s="62" t="s">
        <v>2377</v>
      </c>
      <c r="E23" s="62" t="s">
        <v>2383</v>
      </c>
      <c r="F23" s="63">
        <v>5370.98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2431</v>
      </c>
      <c r="C24" s="62" t="s">
        <v>1000</v>
      </c>
      <c r="D24" s="62" t="s">
        <v>2377</v>
      </c>
      <c r="E24" s="62" t="s">
        <v>2479</v>
      </c>
      <c r="F24" s="63">
        <v>1017.55</v>
      </c>
      <c r="G24" s="62" t="s">
        <v>345</v>
      </c>
      <c r="H24" s="62" t="s">
        <v>345</v>
      </c>
      <c r="I24" s="62" t="s">
        <v>345</v>
      </c>
      <c r="J24" s="62" t="s">
        <v>2019</v>
      </c>
    </row>
    <row r="25" spans="1:10" ht="15" x14ac:dyDescent="0.25">
      <c r="A25" s="40">
        <v>21</v>
      </c>
      <c r="B25" s="62" t="s">
        <v>2432</v>
      </c>
      <c r="C25" s="62" t="s">
        <v>1006</v>
      </c>
      <c r="D25" s="62" t="s">
        <v>2377</v>
      </c>
      <c r="E25" s="62" t="s">
        <v>2479</v>
      </c>
      <c r="F25" s="63">
        <v>1159.1300000000001</v>
      </c>
      <c r="G25" s="62" t="s">
        <v>345</v>
      </c>
      <c r="H25" s="62" t="s">
        <v>345</v>
      </c>
      <c r="I25" s="62" t="s">
        <v>345</v>
      </c>
      <c r="J25" s="62" t="s">
        <v>2019</v>
      </c>
    </row>
    <row r="26" spans="1:10" ht="15" x14ac:dyDescent="0.25">
      <c r="A26" s="40">
        <v>22</v>
      </c>
      <c r="B26" s="62" t="s">
        <v>2461</v>
      </c>
      <c r="C26" s="62" t="s">
        <v>1022</v>
      </c>
      <c r="D26" s="62" t="s">
        <v>2375</v>
      </c>
      <c r="E26" s="62" t="s">
        <v>2462</v>
      </c>
      <c r="F26" s="62">
        <v>89.406199999999998</v>
      </c>
      <c r="G26" s="62">
        <v>94.081199999999995</v>
      </c>
      <c r="H26" s="62" t="s">
        <v>2650</v>
      </c>
      <c r="I26" s="62" t="s">
        <v>2651</v>
      </c>
      <c r="J26" s="62" t="s">
        <v>273</v>
      </c>
    </row>
    <row r="27" spans="1:10" ht="15" x14ac:dyDescent="0.25">
      <c r="A27" s="40">
        <v>23</v>
      </c>
      <c r="B27" s="62" t="s">
        <v>2463</v>
      </c>
      <c r="C27" s="62" t="s">
        <v>2072</v>
      </c>
      <c r="D27" s="62" t="s">
        <v>2375</v>
      </c>
      <c r="E27" s="62" t="s">
        <v>2384</v>
      </c>
      <c r="F27" s="62">
        <v>99.762500000000003</v>
      </c>
      <c r="G27" s="62">
        <v>107.8292</v>
      </c>
      <c r="H27" s="62" t="s">
        <v>2480</v>
      </c>
      <c r="I27" s="62" t="s">
        <v>2652</v>
      </c>
      <c r="J27" s="62" t="s">
        <v>273</v>
      </c>
    </row>
    <row r="28" spans="1:10" ht="15" x14ac:dyDescent="0.25">
      <c r="A28" s="40">
        <v>24</v>
      </c>
      <c r="B28" s="62" t="s">
        <v>2464</v>
      </c>
      <c r="C28" s="62" t="s">
        <v>56</v>
      </c>
      <c r="D28" s="62" t="s">
        <v>2377</v>
      </c>
      <c r="E28" s="62" t="s">
        <v>2385</v>
      </c>
      <c r="F28" s="63">
        <v>53357.87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2465</v>
      </c>
      <c r="C29" s="62" t="s">
        <v>58</v>
      </c>
      <c r="D29" s="62" t="s">
        <v>2377</v>
      </c>
      <c r="E29" s="62" t="s">
        <v>2385</v>
      </c>
      <c r="F29" s="63">
        <v>73742.740000000005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2466</v>
      </c>
      <c r="C30" s="62" t="s">
        <v>60</v>
      </c>
      <c r="D30" s="62" t="s">
        <v>2377</v>
      </c>
      <c r="E30" s="62" t="s">
        <v>2385</v>
      </c>
      <c r="F30" s="63">
        <v>72902.149999999994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2467</v>
      </c>
      <c r="C31" s="62" t="s">
        <v>62</v>
      </c>
      <c r="D31" s="62" t="s">
        <v>2377</v>
      </c>
      <c r="E31" s="62" t="s">
        <v>2385</v>
      </c>
      <c r="F31" s="63">
        <v>580696.53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2468</v>
      </c>
      <c r="C32" s="62" t="s">
        <v>64</v>
      </c>
      <c r="D32" s="62" t="s">
        <v>19</v>
      </c>
      <c r="E32" s="62" t="s">
        <v>2386</v>
      </c>
      <c r="F32" s="62">
        <v>334.25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2469</v>
      </c>
      <c r="C33" s="62" t="s">
        <v>372</v>
      </c>
      <c r="D33" s="62" t="s">
        <v>2373</v>
      </c>
      <c r="E33" s="62" t="s">
        <v>2386</v>
      </c>
      <c r="F33" s="62">
        <v>24.81</v>
      </c>
      <c r="G33" s="62" t="s">
        <v>345</v>
      </c>
      <c r="H33" s="62" t="s">
        <v>345</v>
      </c>
      <c r="I33" s="62" t="s">
        <v>345</v>
      </c>
      <c r="J33" s="62" t="s">
        <v>2019</v>
      </c>
    </row>
    <row r="34" spans="1:10" ht="15" x14ac:dyDescent="0.25">
      <c r="A34" s="40">
        <v>30</v>
      </c>
      <c r="B34" s="62" t="s">
        <v>2470</v>
      </c>
      <c r="C34" s="62" t="s">
        <v>67</v>
      </c>
      <c r="D34" s="62" t="s">
        <v>19</v>
      </c>
      <c r="E34" s="62" t="s">
        <v>2387</v>
      </c>
      <c r="F34" s="63">
        <v>9455.19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2471</v>
      </c>
      <c r="C35" s="62" t="s">
        <v>80</v>
      </c>
      <c r="D35" s="62" t="s">
        <v>19</v>
      </c>
      <c r="E35" s="62" t="s">
        <v>2388</v>
      </c>
      <c r="F35" s="63">
        <v>3392.89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2472</v>
      </c>
      <c r="C36" s="62" t="s">
        <v>83</v>
      </c>
      <c r="D36" s="62" t="s">
        <v>19</v>
      </c>
      <c r="E36" s="62" t="s">
        <v>2389</v>
      </c>
      <c r="F36" s="63">
        <v>1445.8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2481</v>
      </c>
      <c r="C37" s="62" t="s">
        <v>86</v>
      </c>
      <c r="D37" s="62" t="s">
        <v>19</v>
      </c>
      <c r="E37" s="62" t="s">
        <v>2390</v>
      </c>
      <c r="F37" s="63">
        <v>20034.87</v>
      </c>
      <c r="G37" s="62" t="s">
        <v>345</v>
      </c>
      <c r="H37" s="62" t="s">
        <v>345</v>
      </c>
      <c r="I37" s="62" t="s">
        <v>345</v>
      </c>
      <c r="J37" s="62" t="s">
        <v>242</v>
      </c>
    </row>
    <row r="38" spans="1:10" ht="15" x14ac:dyDescent="0.25">
      <c r="A38" s="40">
        <v>34</v>
      </c>
      <c r="B38" s="62" t="s">
        <v>2482</v>
      </c>
      <c r="C38" s="62" t="s">
        <v>89</v>
      </c>
      <c r="D38" s="62" t="s">
        <v>2375</v>
      </c>
      <c r="E38" s="62" t="s">
        <v>2390</v>
      </c>
      <c r="F38" s="62">
        <v>88.275099999999995</v>
      </c>
      <c r="G38" s="62">
        <v>90.000100000000003</v>
      </c>
      <c r="H38" s="62" t="s">
        <v>2653</v>
      </c>
      <c r="I38" s="62" t="s">
        <v>2654</v>
      </c>
      <c r="J38" s="62" t="s">
        <v>273</v>
      </c>
    </row>
    <row r="39" spans="1:10" ht="15" x14ac:dyDescent="0.25">
      <c r="A39" s="40">
        <v>35</v>
      </c>
      <c r="B39" s="62" t="s">
        <v>2483</v>
      </c>
      <c r="C39" s="62" t="s">
        <v>91</v>
      </c>
      <c r="D39" s="62" t="s">
        <v>2375</v>
      </c>
      <c r="E39" s="62" t="s">
        <v>2390</v>
      </c>
      <c r="F39" s="62">
        <v>101.6075</v>
      </c>
      <c r="G39" s="62">
        <v>103.14530000000001</v>
      </c>
      <c r="H39" s="62" t="s">
        <v>2655</v>
      </c>
      <c r="I39" s="62" t="s">
        <v>2656</v>
      </c>
      <c r="J39" s="62" t="s">
        <v>273</v>
      </c>
    </row>
    <row r="40" spans="1:10" ht="15" x14ac:dyDescent="0.25">
      <c r="A40" s="40">
        <v>36</v>
      </c>
      <c r="B40" s="62" t="s">
        <v>2484</v>
      </c>
      <c r="C40" s="62" t="s">
        <v>93</v>
      </c>
      <c r="D40" s="62" t="s">
        <v>2375</v>
      </c>
      <c r="E40" s="62" t="s">
        <v>2390</v>
      </c>
      <c r="F40" s="62">
        <v>94.121600000000001</v>
      </c>
      <c r="G40" s="62">
        <v>95.945599999999999</v>
      </c>
      <c r="H40" s="62" t="s">
        <v>2657</v>
      </c>
      <c r="I40" s="62" t="s">
        <v>2658</v>
      </c>
      <c r="J40" s="62" t="s">
        <v>273</v>
      </c>
    </row>
    <row r="41" spans="1:10" ht="15" x14ac:dyDescent="0.25">
      <c r="A41" s="40">
        <v>37</v>
      </c>
      <c r="B41" s="62" t="s">
        <v>2485</v>
      </c>
      <c r="C41" s="62" t="s">
        <v>95</v>
      </c>
      <c r="D41" s="62" t="s">
        <v>2375</v>
      </c>
      <c r="E41" s="62" t="s">
        <v>2390</v>
      </c>
      <c r="F41" s="62">
        <v>87.832599999999999</v>
      </c>
      <c r="G41" s="62">
        <v>88.931200000000004</v>
      </c>
      <c r="H41" s="62" t="s">
        <v>2486</v>
      </c>
      <c r="I41" s="62" t="s">
        <v>2659</v>
      </c>
      <c r="J41" s="62" t="s">
        <v>273</v>
      </c>
    </row>
    <row r="42" spans="1:10" ht="15" x14ac:dyDescent="0.25">
      <c r="A42" s="40">
        <v>38</v>
      </c>
      <c r="B42" s="62" t="s">
        <v>2487</v>
      </c>
      <c r="C42" s="62" t="s">
        <v>97</v>
      </c>
      <c r="D42" s="62" t="s">
        <v>19</v>
      </c>
      <c r="E42" s="62" t="s">
        <v>2391</v>
      </c>
      <c r="F42" s="63">
        <v>48221.69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2488</v>
      </c>
      <c r="C43" s="62" t="s">
        <v>100</v>
      </c>
      <c r="D43" s="62" t="s">
        <v>2373</v>
      </c>
      <c r="E43" s="62" t="s">
        <v>2391</v>
      </c>
      <c r="F43" s="62">
        <v>84.67</v>
      </c>
      <c r="G43" s="62" t="s">
        <v>345</v>
      </c>
      <c r="H43" s="62" t="s">
        <v>345</v>
      </c>
      <c r="I43" s="62" t="s">
        <v>345</v>
      </c>
      <c r="J43" s="62" t="s">
        <v>2019</v>
      </c>
    </row>
    <row r="44" spans="1:10" ht="15" x14ac:dyDescent="0.25">
      <c r="A44" s="40">
        <v>40</v>
      </c>
      <c r="B44" s="62" t="s">
        <v>2489</v>
      </c>
      <c r="C44" s="62" t="s">
        <v>102</v>
      </c>
      <c r="D44" s="62" t="s">
        <v>19</v>
      </c>
      <c r="E44" s="62" t="s">
        <v>2392</v>
      </c>
      <c r="F44" s="63">
        <v>22972.51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2490</v>
      </c>
      <c r="C45" s="62" t="s">
        <v>2098</v>
      </c>
      <c r="D45" s="62" t="s">
        <v>2375</v>
      </c>
      <c r="E45" s="62" t="s">
        <v>2393</v>
      </c>
      <c r="F45" s="62">
        <v>104.1934</v>
      </c>
      <c r="G45" s="62">
        <v>112.749</v>
      </c>
      <c r="H45" s="62" t="s">
        <v>2491</v>
      </c>
      <c r="I45" s="62" t="s">
        <v>2660</v>
      </c>
      <c r="J45" s="62" t="s">
        <v>273</v>
      </c>
    </row>
    <row r="46" spans="1:10" ht="15" x14ac:dyDescent="0.25">
      <c r="A46" s="40">
        <v>42</v>
      </c>
      <c r="B46" s="62" t="s">
        <v>2492</v>
      </c>
      <c r="C46" s="62" t="s">
        <v>104</v>
      </c>
      <c r="D46" s="62" t="s">
        <v>19</v>
      </c>
      <c r="E46" s="62" t="s">
        <v>2394</v>
      </c>
      <c r="F46" s="63">
        <v>40970.83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2493</v>
      </c>
      <c r="C47" s="62" t="s">
        <v>107</v>
      </c>
      <c r="D47" s="62" t="s">
        <v>19</v>
      </c>
      <c r="E47" s="62" t="s">
        <v>2394</v>
      </c>
      <c r="F47" s="63">
        <v>33371.49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2494</v>
      </c>
      <c r="C48" s="62" t="s">
        <v>109</v>
      </c>
      <c r="D48" s="62" t="s">
        <v>19</v>
      </c>
      <c r="E48" s="62" t="s">
        <v>2395</v>
      </c>
      <c r="F48" s="62">
        <v>809.16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2495</v>
      </c>
      <c r="C49" s="62" t="s">
        <v>1277</v>
      </c>
      <c r="D49" s="62" t="s">
        <v>2396</v>
      </c>
      <c r="E49" s="62" t="s">
        <v>2397</v>
      </c>
      <c r="F49" s="62">
        <v>97.5</v>
      </c>
      <c r="G49" s="62">
        <v>99.045100000000005</v>
      </c>
      <c r="H49" s="62" t="s">
        <v>2317</v>
      </c>
      <c r="I49" s="62" t="s">
        <v>2661</v>
      </c>
      <c r="J49" s="62" t="s">
        <v>273</v>
      </c>
    </row>
    <row r="50" spans="1:10" ht="15" x14ac:dyDescent="0.25">
      <c r="A50" s="40">
        <v>46</v>
      </c>
      <c r="B50" s="62" t="s">
        <v>2496</v>
      </c>
      <c r="C50" s="62" t="s">
        <v>2444</v>
      </c>
      <c r="D50" s="62" t="s">
        <v>2375</v>
      </c>
      <c r="E50" s="62" t="s">
        <v>2457</v>
      </c>
      <c r="F50" s="62">
        <v>98.379499999999993</v>
      </c>
      <c r="G50" s="62">
        <v>98.7684</v>
      </c>
      <c r="H50" s="62" t="s">
        <v>2497</v>
      </c>
      <c r="I50" s="62" t="s">
        <v>2554</v>
      </c>
      <c r="J50" s="62" t="s">
        <v>273</v>
      </c>
    </row>
    <row r="51" spans="1:10" ht="15" x14ac:dyDescent="0.25">
      <c r="A51" s="40">
        <v>47</v>
      </c>
      <c r="B51" s="62" t="s">
        <v>2662</v>
      </c>
      <c r="C51" s="62" t="s">
        <v>1408</v>
      </c>
      <c r="D51" s="62" t="s">
        <v>2375</v>
      </c>
      <c r="E51" s="62" t="s">
        <v>2410</v>
      </c>
      <c r="F51" s="62">
        <v>98.818100000000001</v>
      </c>
      <c r="G51" s="62">
        <v>102.8528</v>
      </c>
      <c r="H51" s="62" t="s">
        <v>2411</v>
      </c>
      <c r="I51" s="62" t="s">
        <v>2663</v>
      </c>
      <c r="J51" s="62" t="s">
        <v>273</v>
      </c>
    </row>
    <row r="52" spans="1:10" ht="15" x14ac:dyDescent="0.25">
      <c r="A52" s="40">
        <v>48</v>
      </c>
      <c r="B52" s="62" t="s">
        <v>2664</v>
      </c>
      <c r="C52" s="62" t="s">
        <v>429</v>
      </c>
      <c r="D52" s="62" t="s">
        <v>2375</v>
      </c>
      <c r="E52" s="62" t="s">
        <v>2398</v>
      </c>
      <c r="F52" s="62">
        <v>77.724999999999994</v>
      </c>
      <c r="G52" s="62">
        <v>80.558300000000003</v>
      </c>
      <c r="H52" s="62" t="s">
        <v>2665</v>
      </c>
      <c r="I52" s="62" t="s">
        <v>2666</v>
      </c>
      <c r="J52" s="62" t="s">
        <v>273</v>
      </c>
    </row>
    <row r="53" spans="1:10" ht="15" x14ac:dyDescent="0.25">
      <c r="A53" s="40">
        <v>49</v>
      </c>
      <c r="B53" s="62" t="s">
        <v>2667</v>
      </c>
      <c r="C53" s="62" t="s">
        <v>2056</v>
      </c>
      <c r="D53" s="62" t="s">
        <v>2375</v>
      </c>
      <c r="E53" s="62" t="s">
        <v>2398</v>
      </c>
      <c r="F53" s="62">
        <v>76.05</v>
      </c>
      <c r="G53" s="62">
        <v>76.583299999999994</v>
      </c>
      <c r="H53" s="62" t="s">
        <v>2668</v>
      </c>
      <c r="I53" s="62" t="s">
        <v>2669</v>
      </c>
      <c r="J53" s="62" t="s">
        <v>273</v>
      </c>
    </row>
    <row r="54" spans="1:10" ht="15" x14ac:dyDescent="0.25">
      <c r="A54" s="40">
        <v>50</v>
      </c>
      <c r="B54" s="62" t="s">
        <v>2670</v>
      </c>
      <c r="C54" s="62" t="s">
        <v>2200</v>
      </c>
      <c r="D54" s="62" t="s">
        <v>2375</v>
      </c>
      <c r="E54" s="62" t="s">
        <v>2398</v>
      </c>
      <c r="F54" s="62">
        <v>99.998900000000006</v>
      </c>
      <c r="G54" s="62">
        <v>101.2822</v>
      </c>
      <c r="H54" s="62" t="s">
        <v>2303</v>
      </c>
      <c r="I54" s="62" t="s">
        <v>2671</v>
      </c>
      <c r="J54" s="62" t="s">
        <v>273</v>
      </c>
    </row>
    <row r="55" spans="1:10" ht="15" x14ac:dyDescent="0.25">
      <c r="A55" s="40">
        <v>51</v>
      </c>
      <c r="B55" s="62" t="s">
        <v>2672</v>
      </c>
      <c r="C55" s="62" t="s">
        <v>2202</v>
      </c>
      <c r="D55" s="62" t="s">
        <v>2375</v>
      </c>
      <c r="E55" s="62" t="s">
        <v>2398</v>
      </c>
      <c r="F55" s="62">
        <v>100.5</v>
      </c>
      <c r="G55" s="62">
        <v>101.2</v>
      </c>
      <c r="H55" s="62" t="s">
        <v>2673</v>
      </c>
      <c r="I55" s="62" t="s">
        <v>2671</v>
      </c>
      <c r="J55" s="62" t="s">
        <v>273</v>
      </c>
    </row>
    <row r="56" spans="1:10" ht="15" x14ac:dyDescent="0.25">
      <c r="A56" s="40">
        <v>52</v>
      </c>
      <c r="B56" s="62" t="s">
        <v>2498</v>
      </c>
      <c r="C56" s="62" t="s">
        <v>2267</v>
      </c>
      <c r="D56" s="62" t="s">
        <v>2375</v>
      </c>
      <c r="E56" s="62" t="s">
        <v>2398</v>
      </c>
      <c r="F56" s="62">
        <v>99.989900000000006</v>
      </c>
      <c r="G56" s="62">
        <v>100.5566</v>
      </c>
      <c r="H56" s="62" t="s">
        <v>2399</v>
      </c>
      <c r="I56" s="62" t="s">
        <v>2674</v>
      </c>
      <c r="J56" s="62" t="s">
        <v>273</v>
      </c>
    </row>
    <row r="57" spans="1:10" ht="15" x14ac:dyDescent="0.25">
      <c r="A57" s="40">
        <v>53</v>
      </c>
      <c r="B57" s="62" t="s">
        <v>2499</v>
      </c>
      <c r="C57" s="62" t="s">
        <v>114</v>
      </c>
      <c r="D57" s="62" t="s">
        <v>2375</v>
      </c>
      <c r="E57" s="62" t="s">
        <v>2400</v>
      </c>
      <c r="F57" s="62">
        <v>100.3049</v>
      </c>
      <c r="G57" s="62">
        <v>101.7347</v>
      </c>
      <c r="H57" s="62" t="s">
        <v>2675</v>
      </c>
      <c r="I57" s="62" t="s">
        <v>2676</v>
      </c>
      <c r="J57" s="62" t="s">
        <v>273</v>
      </c>
    </row>
    <row r="58" spans="1:10" ht="15" x14ac:dyDescent="0.25">
      <c r="A58" s="40">
        <v>54</v>
      </c>
      <c r="B58" s="62" t="s">
        <v>2500</v>
      </c>
      <c r="C58" s="62" t="s">
        <v>116</v>
      </c>
      <c r="D58" s="62" t="s">
        <v>2375</v>
      </c>
      <c r="E58" s="62" t="s">
        <v>2400</v>
      </c>
      <c r="F58" s="62">
        <v>99.363200000000006</v>
      </c>
      <c r="G58" s="62">
        <v>99.974299999999999</v>
      </c>
      <c r="H58" s="62" t="s">
        <v>2677</v>
      </c>
      <c r="I58" s="62" t="s">
        <v>2678</v>
      </c>
      <c r="J58" s="62" t="s">
        <v>273</v>
      </c>
    </row>
    <row r="59" spans="1:10" ht="15" x14ac:dyDescent="0.25">
      <c r="A59" s="40">
        <v>55</v>
      </c>
      <c r="B59" s="62" t="s">
        <v>2501</v>
      </c>
      <c r="C59" s="62" t="s">
        <v>1423</v>
      </c>
      <c r="D59" s="62" t="s">
        <v>2375</v>
      </c>
      <c r="E59" s="62" t="s">
        <v>2400</v>
      </c>
      <c r="F59" s="62">
        <v>99.444599999999994</v>
      </c>
      <c r="G59" s="62">
        <v>99.972399999999993</v>
      </c>
      <c r="H59" s="62" t="s">
        <v>2679</v>
      </c>
      <c r="I59" s="62" t="s">
        <v>2680</v>
      </c>
      <c r="J59" s="62" t="s">
        <v>273</v>
      </c>
    </row>
    <row r="60" spans="1:10" ht="15" x14ac:dyDescent="0.25">
      <c r="A60" s="40">
        <v>56</v>
      </c>
      <c r="B60" s="62" t="s">
        <v>2502</v>
      </c>
      <c r="C60" s="62" t="s">
        <v>359</v>
      </c>
      <c r="D60" s="62" t="s">
        <v>2375</v>
      </c>
      <c r="E60" s="62" t="s">
        <v>2400</v>
      </c>
      <c r="F60" s="62">
        <v>99.719700000000003</v>
      </c>
      <c r="G60" s="62">
        <v>101.0446</v>
      </c>
      <c r="H60" s="62" t="s">
        <v>2681</v>
      </c>
      <c r="I60" s="62" t="s">
        <v>2682</v>
      </c>
      <c r="J60" s="62" t="s">
        <v>273</v>
      </c>
    </row>
    <row r="61" spans="1:10" ht="15" x14ac:dyDescent="0.25">
      <c r="A61" s="40">
        <v>57</v>
      </c>
      <c r="B61" s="62" t="s">
        <v>2503</v>
      </c>
      <c r="C61" s="62" t="s">
        <v>1425</v>
      </c>
      <c r="D61" s="62" t="s">
        <v>2375</v>
      </c>
      <c r="E61" s="62" t="s">
        <v>2400</v>
      </c>
      <c r="F61" s="62">
        <v>97.872299999999996</v>
      </c>
      <c r="G61" s="62">
        <v>98.347300000000004</v>
      </c>
      <c r="H61" s="62" t="s">
        <v>2683</v>
      </c>
      <c r="I61" s="62" t="s">
        <v>2684</v>
      </c>
      <c r="J61" s="62" t="s">
        <v>273</v>
      </c>
    </row>
    <row r="62" spans="1:10" ht="15" x14ac:dyDescent="0.25">
      <c r="A62" s="40">
        <v>58</v>
      </c>
      <c r="B62" s="62" t="s">
        <v>2504</v>
      </c>
      <c r="C62" s="62" t="s">
        <v>392</v>
      </c>
      <c r="D62" s="62" t="s">
        <v>2375</v>
      </c>
      <c r="E62" s="62" t="s">
        <v>2400</v>
      </c>
      <c r="F62" s="62">
        <v>96.243099999999998</v>
      </c>
      <c r="G62" s="62">
        <v>97.087500000000006</v>
      </c>
      <c r="H62" s="62" t="s">
        <v>2685</v>
      </c>
      <c r="I62" s="62" t="s">
        <v>2686</v>
      </c>
      <c r="J62" s="62" t="s">
        <v>273</v>
      </c>
    </row>
    <row r="63" spans="1:10" ht="15" x14ac:dyDescent="0.25">
      <c r="A63" s="40">
        <v>59</v>
      </c>
      <c r="B63" s="62" t="s">
        <v>2505</v>
      </c>
      <c r="C63" s="62" t="s">
        <v>2086</v>
      </c>
      <c r="D63" s="62" t="s">
        <v>2375</v>
      </c>
      <c r="E63" s="62" t="s">
        <v>2400</v>
      </c>
      <c r="F63" s="62">
        <v>101.4269</v>
      </c>
      <c r="G63" s="62">
        <v>102.8852</v>
      </c>
      <c r="H63" s="62" t="s">
        <v>2687</v>
      </c>
      <c r="I63" s="62" t="s">
        <v>2688</v>
      </c>
      <c r="J63" s="62" t="s">
        <v>273</v>
      </c>
    </row>
    <row r="64" spans="1:10" ht="15" x14ac:dyDescent="0.25">
      <c r="A64" s="40">
        <v>60</v>
      </c>
      <c r="B64" s="62" t="s">
        <v>2506</v>
      </c>
      <c r="C64" s="62" t="s">
        <v>2131</v>
      </c>
      <c r="D64" s="62" t="s">
        <v>2375</v>
      </c>
      <c r="E64" s="62" t="s">
        <v>2400</v>
      </c>
      <c r="F64" s="62">
        <v>102.9097</v>
      </c>
      <c r="G64" s="62">
        <v>103.3472</v>
      </c>
      <c r="H64" s="62" t="s">
        <v>2473</v>
      </c>
      <c r="I64" s="62" t="s">
        <v>2689</v>
      </c>
      <c r="J64" s="62" t="s">
        <v>273</v>
      </c>
    </row>
    <row r="65" spans="1:10" ht="15" x14ac:dyDescent="0.25">
      <c r="A65" s="40">
        <v>61</v>
      </c>
      <c r="B65" s="62" t="s">
        <v>2507</v>
      </c>
      <c r="C65" s="62" t="s">
        <v>2133</v>
      </c>
      <c r="D65" s="62" t="s">
        <v>2375</v>
      </c>
      <c r="E65" s="62" t="s">
        <v>2400</v>
      </c>
      <c r="F65" s="62">
        <v>92.740099999999998</v>
      </c>
      <c r="G65" s="62">
        <v>93.740700000000004</v>
      </c>
      <c r="H65" s="62" t="s">
        <v>2690</v>
      </c>
      <c r="I65" s="62" t="s">
        <v>2691</v>
      </c>
      <c r="J65" s="62" t="s">
        <v>273</v>
      </c>
    </row>
    <row r="66" spans="1:10" ht="15" x14ac:dyDescent="0.25">
      <c r="A66" s="40">
        <v>62</v>
      </c>
      <c r="B66" s="62" t="s">
        <v>2508</v>
      </c>
      <c r="C66" s="62" t="s">
        <v>387</v>
      </c>
      <c r="D66" s="62" t="s">
        <v>2375</v>
      </c>
      <c r="E66" s="62" t="s">
        <v>2401</v>
      </c>
      <c r="F66" s="62">
        <v>77.598699999999994</v>
      </c>
      <c r="G66" s="62">
        <v>78.648700000000005</v>
      </c>
      <c r="H66" s="62" t="s">
        <v>2692</v>
      </c>
      <c r="I66" s="62" t="s">
        <v>2693</v>
      </c>
      <c r="J66" s="62" t="s">
        <v>273</v>
      </c>
    </row>
    <row r="67" spans="1:10" ht="15" x14ac:dyDescent="0.25">
      <c r="A67" s="40">
        <v>63</v>
      </c>
      <c r="B67" s="62" t="s">
        <v>2509</v>
      </c>
      <c r="C67" s="62" t="s">
        <v>404</v>
      </c>
      <c r="D67" s="62" t="s">
        <v>2375</v>
      </c>
      <c r="E67" s="62" t="s">
        <v>2401</v>
      </c>
      <c r="F67" s="62">
        <v>84.1935</v>
      </c>
      <c r="G67" s="62">
        <v>84.315700000000007</v>
      </c>
      <c r="H67" s="62" t="s">
        <v>2694</v>
      </c>
      <c r="I67" s="62" t="s">
        <v>2695</v>
      </c>
      <c r="J67" s="62" t="s">
        <v>273</v>
      </c>
    </row>
    <row r="68" spans="1:10" ht="15" x14ac:dyDescent="0.25">
      <c r="A68" s="40">
        <v>64</v>
      </c>
      <c r="B68" s="62" t="s">
        <v>2510</v>
      </c>
      <c r="C68" s="62" t="s">
        <v>396</v>
      </c>
      <c r="D68" s="62" t="s">
        <v>2375</v>
      </c>
      <c r="E68" s="62" t="s">
        <v>2401</v>
      </c>
      <c r="F68" s="62">
        <v>76.5</v>
      </c>
      <c r="G68" s="62">
        <v>76.908299999999997</v>
      </c>
      <c r="H68" s="62" t="s">
        <v>2696</v>
      </c>
      <c r="I68" s="62" t="s">
        <v>2697</v>
      </c>
      <c r="J68" s="62" t="s">
        <v>273</v>
      </c>
    </row>
    <row r="69" spans="1:10" ht="15" x14ac:dyDescent="0.25">
      <c r="A69" s="40">
        <v>65</v>
      </c>
      <c r="B69" s="62" t="s">
        <v>2511</v>
      </c>
      <c r="C69" s="62" t="s">
        <v>2117</v>
      </c>
      <c r="D69" s="62" t="s">
        <v>2375</v>
      </c>
      <c r="E69" s="62" t="s">
        <v>2401</v>
      </c>
      <c r="F69" s="62">
        <v>97.392899999999997</v>
      </c>
      <c r="G69" s="62">
        <v>97.917900000000003</v>
      </c>
      <c r="H69" s="62" t="s">
        <v>2698</v>
      </c>
      <c r="I69" s="62" t="s">
        <v>2699</v>
      </c>
      <c r="J69" s="62" t="s">
        <v>273</v>
      </c>
    </row>
    <row r="70" spans="1:10" ht="15" x14ac:dyDescent="0.25">
      <c r="A70" s="40">
        <v>66</v>
      </c>
      <c r="B70" s="62" t="s">
        <v>2512</v>
      </c>
      <c r="C70" s="62" t="s">
        <v>2369</v>
      </c>
      <c r="D70" s="62" t="s">
        <v>2375</v>
      </c>
      <c r="E70" s="62" t="s">
        <v>2401</v>
      </c>
      <c r="F70" s="62">
        <v>97.705799999999996</v>
      </c>
      <c r="G70" s="62">
        <v>98.622500000000002</v>
      </c>
      <c r="H70" s="62" t="s">
        <v>2700</v>
      </c>
      <c r="I70" s="62" t="s">
        <v>2701</v>
      </c>
      <c r="J70" s="62" t="s">
        <v>273</v>
      </c>
    </row>
    <row r="71" spans="1:10" ht="15" x14ac:dyDescent="0.25">
      <c r="A71" s="40">
        <v>67</v>
      </c>
      <c r="B71" s="62" t="s">
        <v>2513</v>
      </c>
      <c r="C71" s="62" t="s">
        <v>2292</v>
      </c>
      <c r="D71" s="62" t="s">
        <v>2375</v>
      </c>
      <c r="E71" s="62" t="s">
        <v>2401</v>
      </c>
      <c r="F71" s="62">
        <v>97.240600000000001</v>
      </c>
      <c r="G71" s="62">
        <v>97.882300000000001</v>
      </c>
      <c r="H71" s="62" t="s">
        <v>2702</v>
      </c>
      <c r="I71" s="62" t="s">
        <v>2703</v>
      </c>
      <c r="J71" s="62" t="s">
        <v>273</v>
      </c>
    </row>
    <row r="72" spans="1:10" ht="15" x14ac:dyDescent="0.25">
      <c r="A72" s="40">
        <v>68</v>
      </c>
      <c r="B72" s="62" t="s">
        <v>2514</v>
      </c>
      <c r="C72" s="62" t="s">
        <v>1437</v>
      </c>
      <c r="D72" s="62" t="s">
        <v>2375</v>
      </c>
      <c r="E72" s="62" t="s">
        <v>2402</v>
      </c>
      <c r="F72" s="62">
        <v>99.954400000000007</v>
      </c>
      <c r="G72" s="62">
        <v>100.6544</v>
      </c>
      <c r="H72" s="62" t="s">
        <v>2515</v>
      </c>
      <c r="I72" s="62" t="s">
        <v>2525</v>
      </c>
      <c r="J72" s="62" t="s">
        <v>273</v>
      </c>
    </row>
    <row r="73" spans="1:10" ht="15" x14ac:dyDescent="0.25">
      <c r="A73" s="40">
        <v>69</v>
      </c>
      <c r="B73" s="62" t="s">
        <v>2516</v>
      </c>
      <c r="C73" s="62" t="s">
        <v>2166</v>
      </c>
      <c r="D73" s="62" t="s">
        <v>2375</v>
      </c>
      <c r="E73" s="62" t="s">
        <v>2402</v>
      </c>
      <c r="F73" s="62">
        <v>99.989900000000006</v>
      </c>
      <c r="G73" s="62">
        <v>100.3399</v>
      </c>
      <c r="H73" s="62" t="s">
        <v>2458</v>
      </c>
      <c r="I73" s="62" t="s">
        <v>2704</v>
      </c>
      <c r="J73" s="62" t="s">
        <v>273</v>
      </c>
    </row>
    <row r="74" spans="1:10" ht="15" x14ac:dyDescent="0.25">
      <c r="A74" s="40">
        <v>70</v>
      </c>
      <c r="B74" s="62" t="s">
        <v>2517</v>
      </c>
      <c r="C74" s="62" t="s">
        <v>390</v>
      </c>
      <c r="D74" s="62" t="s">
        <v>2396</v>
      </c>
      <c r="E74" s="62" t="s">
        <v>2397</v>
      </c>
      <c r="F74" s="62">
        <v>96.779799999999994</v>
      </c>
      <c r="G74" s="62">
        <v>96.779799999999994</v>
      </c>
      <c r="H74" s="62" t="s">
        <v>2518</v>
      </c>
      <c r="I74" s="62" t="s">
        <v>2705</v>
      </c>
      <c r="J74" s="62" t="s">
        <v>273</v>
      </c>
    </row>
    <row r="75" spans="1:10" ht="15" x14ac:dyDescent="0.25">
      <c r="A75" s="40">
        <v>71</v>
      </c>
      <c r="B75" s="62" t="s">
        <v>2519</v>
      </c>
      <c r="C75" s="62" t="s">
        <v>2044</v>
      </c>
      <c r="D75" s="62" t="s">
        <v>2396</v>
      </c>
      <c r="E75" s="62" t="s">
        <v>2397</v>
      </c>
      <c r="F75" s="62">
        <v>92.428700000000006</v>
      </c>
      <c r="G75" s="62">
        <v>92.428700000000006</v>
      </c>
      <c r="H75" s="62" t="s">
        <v>2520</v>
      </c>
      <c r="I75" s="62" t="s">
        <v>2706</v>
      </c>
      <c r="J75" s="62" t="s">
        <v>273</v>
      </c>
    </row>
    <row r="76" spans="1:10" ht="15" x14ac:dyDescent="0.25">
      <c r="A76" s="40">
        <v>72</v>
      </c>
      <c r="B76" s="62" t="s">
        <v>2521</v>
      </c>
      <c r="C76" s="62" t="s">
        <v>2198</v>
      </c>
      <c r="D76" s="62" t="s">
        <v>2396</v>
      </c>
      <c r="E76" s="62" t="s">
        <v>2397</v>
      </c>
      <c r="F76" s="62">
        <v>88.578900000000004</v>
      </c>
      <c r="G76" s="62">
        <v>88.578900000000004</v>
      </c>
      <c r="H76" s="62" t="s">
        <v>2707</v>
      </c>
      <c r="I76" s="62" t="s">
        <v>2708</v>
      </c>
      <c r="J76" s="62" t="s">
        <v>273</v>
      </c>
    </row>
    <row r="77" spans="1:10" ht="15" x14ac:dyDescent="0.25">
      <c r="A77" s="40">
        <v>73</v>
      </c>
      <c r="B77" s="62" t="s">
        <v>2522</v>
      </c>
      <c r="C77" s="62" t="s">
        <v>4</v>
      </c>
      <c r="D77" s="62" t="s">
        <v>2396</v>
      </c>
      <c r="E77" s="62" t="s">
        <v>2397</v>
      </c>
      <c r="F77" s="62">
        <v>97.5702</v>
      </c>
      <c r="G77" s="62">
        <v>98.044399999999996</v>
      </c>
      <c r="H77" s="62" t="s">
        <v>2434</v>
      </c>
      <c r="I77" s="62" t="s">
        <v>2709</v>
      </c>
      <c r="J77" s="62" t="s">
        <v>273</v>
      </c>
    </row>
    <row r="78" spans="1:10" ht="15" x14ac:dyDescent="0.25">
      <c r="A78" s="40">
        <v>74</v>
      </c>
      <c r="B78" s="62" t="s">
        <v>2523</v>
      </c>
      <c r="C78" s="62" t="s">
        <v>119</v>
      </c>
      <c r="D78" s="62" t="s">
        <v>2396</v>
      </c>
      <c r="E78" s="62" t="s">
        <v>2397</v>
      </c>
      <c r="F78" s="62">
        <v>97.893000000000001</v>
      </c>
      <c r="G78" s="62">
        <v>99.535399999999996</v>
      </c>
      <c r="H78" s="62" t="s">
        <v>2710</v>
      </c>
      <c r="I78" s="62" t="s">
        <v>2711</v>
      </c>
      <c r="J78" s="62" t="s">
        <v>273</v>
      </c>
    </row>
    <row r="79" spans="1:10" ht="15" x14ac:dyDescent="0.25">
      <c r="A79" s="40">
        <v>75</v>
      </c>
      <c r="B79" s="62" t="s">
        <v>2526</v>
      </c>
      <c r="C79" s="62" t="s">
        <v>121</v>
      </c>
      <c r="D79" s="62" t="s">
        <v>2396</v>
      </c>
      <c r="E79" s="62" t="s">
        <v>2397</v>
      </c>
      <c r="F79" s="62">
        <v>97.561899999999994</v>
      </c>
      <c r="G79" s="62">
        <v>103.0061</v>
      </c>
      <c r="H79" s="62" t="s">
        <v>2710</v>
      </c>
      <c r="I79" s="62" t="s">
        <v>2712</v>
      </c>
      <c r="J79" s="62" t="s">
        <v>273</v>
      </c>
    </row>
    <row r="80" spans="1:10" ht="15" x14ac:dyDescent="0.25">
      <c r="A80" s="40">
        <v>76</v>
      </c>
      <c r="B80" s="62" t="s">
        <v>2527</v>
      </c>
      <c r="C80" s="62" t="s">
        <v>123</v>
      </c>
      <c r="D80" s="62" t="s">
        <v>2396</v>
      </c>
      <c r="E80" s="62" t="s">
        <v>2397</v>
      </c>
      <c r="F80" s="62">
        <v>94.821799999999996</v>
      </c>
      <c r="G80" s="62">
        <v>94.909300000000002</v>
      </c>
      <c r="H80" s="62" t="s">
        <v>2524</v>
      </c>
      <c r="I80" s="62" t="s">
        <v>2713</v>
      </c>
      <c r="J80" s="62" t="s">
        <v>273</v>
      </c>
    </row>
    <row r="81" spans="1:10" ht="15" x14ac:dyDescent="0.25">
      <c r="A81" s="40">
        <v>77</v>
      </c>
      <c r="B81" s="62" t="s">
        <v>2528</v>
      </c>
      <c r="C81" s="62" t="s">
        <v>125</v>
      </c>
      <c r="D81" s="62" t="s">
        <v>2396</v>
      </c>
      <c r="E81" s="62" t="s">
        <v>2397</v>
      </c>
      <c r="F81" s="62">
        <v>98.449200000000005</v>
      </c>
      <c r="G81" s="62">
        <v>101.8177</v>
      </c>
      <c r="H81" s="62" t="s">
        <v>2714</v>
      </c>
      <c r="I81" s="62" t="s">
        <v>2715</v>
      </c>
      <c r="J81" s="62" t="s">
        <v>273</v>
      </c>
    </row>
    <row r="82" spans="1:10" ht="15" x14ac:dyDescent="0.25">
      <c r="A82" s="40">
        <v>78</v>
      </c>
      <c r="B82" s="62" t="s">
        <v>2529</v>
      </c>
      <c r="C82" s="62" t="s">
        <v>2412</v>
      </c>
      <c r="D82" s="62" t="s">
        <v>2396</v>
      </c>
      <c r="E82" s="62" t="s">
        <v>2397</v>
      </c>
      <c r="F82" s="62">
        <v>100</v>
      </c>
      <c r="G82" s="62">
        <v>100.3653</v>
      </c>
      <c r="H82" s="62" t="s">
        <v>2530</v>
      </c>
      <c r="I82" s="62" t="s">
        <v>2716</v>
      </c>
      <c r="J82" s="62" t="s">
        <v>273</v>
      </c>
    </row>
    <row r="83" spans="1:10" ht="15" x14ac:dyDescent="0.25">
      <c r="A83" s="40">
        <v>79</v>
      </c>
      <c r="B83" s="62" t="s">
        <v>2531</v>
      </c>
      <c r="C83" s="62" t="s">
        <v>127</v>
      </c>
      <c r="D83" s="62" t="s">
        <v>2396</v>
      </c>
      <c r="E83" s="62" t="s">
        <v>2397</v>
      </c>
      <c r="F83" s="62">
        <v>100</v>
      </c>
      <c r="G83" s="62">
        <v>106.986</v>
      </c>
      <c r="H83" s="62" t="s">
        <v>2532</v>
      </c>
      <c r="I83" s="62" t="s">
        <v>2717</v>
      </c>
      <c r="J83" s="62" t="s">
        <v>273</v>
      </c>
    </row>
    <row r="84" spans="1:10" ht="15" x14ac:dyDescent="0.25">
      <c r="A84" s="40">
        <v>80</v>
      </c>
      <c r="B84" s="62" t="s">
        <v>2533</v>
      </c>
      <c r="C84" s="62" t="s">
        <v>129</v>
      </c>
      <c r="D84" s="62" t="s">
        <v>2396</v>
      </c>
      <c r="E84" s="62" t="s">
        <v>2397</v>
      </c>
      <c r="F84" s="62">
        <v>100</v>
      </c>
      <c r="G84" s="62">
        <v>105.381</v>
      </c>
      <c r="H84" s="62" t="s">
        <v>2718</v>
      </c>
      <c r="I84" s="62" t="s">
        <v>2719</v>
      </c>
      <c r="J84" s="62" t="s">
        <v>273</v>
      </c>
    </row>
    <row r="85" spans="1:10" ht="15" x14ac:dyDescent="0.25">
      <c r="A85" s="40">
        <v>81</v>
      </c>
      <c r="B85" s="62" t="s">
        <v>2534</v>
      </c>
      <c r="C85" s="62" t="s">
        <v>131</v>
      </c>
      <c r="D85" s="62" t="s">
        <v>2396</v>
      </c>
      <c r="E85" s="62" t="s">
        <v>2397</v>
      </c>
      <c r="F85" s="62">
        <v>100</v>
      </c>
      <c r="G85" s="62">
        <v>103.8058</v>
      </c>
      <c r="H85" s="62" t="s">
        <v>2720</v>
      </c>
      <c r="I85" s="62" t="s">
        <v>2721</v>
      </c>
      <c r="J85" s="62" t="s">
        <v>273</v>
      </c>
    </row>
    <row r="86" spans="1:10" ht="15" x14ac:dyDescent="0.25">
      <c r="A86" s="40">
        <v>82</v>
      </c>
      <c r="B86" s="62" t="s">
        <v>2535</v>
      </c>
      <c r="C86" s="62" t="s">
        <v>133</v>
      </c>
      <c r="D86" s="62" t="s">
        <v>2396</v>
      </c>
      <c r="E86" s="62" t="s">
        <v>2397</v>
      </c>
      <c r="F86" s="62">
        <v>100</v>
      </c>
      <c r="G86" s="62">
        <v>107.46169999999999</v>
      </c>
      <c r="H86" s="62" t="s">
        <v>2722</v>
      </c>
      <c r="I86" s="62" t="s">
        <v>2723</v>
      </c>
      <c r="J86" s="62" t="s">
        <v>273</v>
      </c>
    </row>
    <row r="87" spans="1:10" ht="15" x14ac:dyDescent="0.25">
      <c r="A87" s="40">
        <v>83</v>
      </c>
      <c r="B87" s="62" t="s">
        <v>2536</v>
      </c>
      <c r="C87" s="62" t="s">
        <v>135</v>
      </c>
      <c r="D87" s="62" t="s">
        <v>2396</v>
      </c>
      <c r="E87" s="62" t="s">
        <v>2397</v>
      </c>
      <c r="F87" s="62">
        <v>100</v>
      </c>
      <c r="G87" s="62">
        <v>101.1695</v>
      </c>
      <c r="H87" s="62" t="s">
        <v>2537</v>
      </c>
      <c r="I87" s="62" t="s">
        <v>2724</v>
      </c>
      <c r="J87" s="62" t="s">
        <v>273</v>
      </c>
    </row>
    <row r="88" spans="1:10" ht="15" x14ac:dyDescent="0.25">
      <c r="A88" s="40">
        <v>84</v>
      </c>
      <c r="B88" s="62" t="s">
        <v>2538</v>
      </c>
      <c r="C88" s="62" t="s">
        <v>288</v>
      </c>
      <c r="D88" s="62" t="s">
        <v>2396</v>
      </c>
      <c r="E88" s="62" t="s">
        <v>2397</v>
      </c>
      <c r="F88" s="62">
        <v>100</v>
      </c>
      <c r="G88" s="62">
        <v>108.1931</v>
      </c>
      <c r="H88" s="62" t="s">
        <v>2725</v>
      </c>
      <c r="I88" s="62" t="s">
        <v>2726</v>
      </c>
      <c r="J88" s="62" t="s">
        <v>273</v>
      </c>
    </row>
    <row r="89" spans="1:10" ht="15" x14ac:dyDescent="0.25">
      <c r="A89" s="40">
        <v>85</v>
      </c>
      <c r="B89" s="62" t="s">
        <v>2539</v>
      </c>
      <c r="C89" s="62" t="s">
        <v>290</v>
      </c>
      <c r="D89" s="62" t="s">
        <v>2396</v>
      </c>
      <c r="E89" s="62" t="s">
        <v>2397</v>
      </c>
      <c r="F89" s="62">
        <v>100</v>
      </c>
      <c r="G89" s="62">
        <v>110.0611</v>
      </c>
      <c r="H89" s="62" t="s">
        <v>2304</v>
      </c>
      <c r="I89" s="62" t="s">
        <v>2727</v>
      </c>
      <c r="J89" s="62" t="s">
        <v>273</v>
      </c>
    </row>
    <row r="90" spans="1:10" ht="15" x14ac:dyDescent="0.25">
      <c r="A90" s="40">
        <v>86</v>
      </c>
      <c r="B90" s="62" t="s">
        <v>2540</v>
      </c>
      <c r="C90" s="62" t="s">
        <v>292</v>
      </c>
      <c r="D90" s="62" t="s">
        <v>2396</v>
      </c>
      <c r="E90" s="62" t="s">
        <v>2397</v>
      </c>
      <c r="F90" s="62">
        <v>100</v>
      </c>
      <c r="G90" s="62">
        <v>104.1948</v>
      </c>
      <c r="H90" s="62" t="s">
        <v>2459</v>
      </c>
      <c r="I90" s="62" t="s">
        <v>2637</v>
      </c>
      <c r="J90" s="62" t="s">
        <v>273</v>
      </c>
    </row>
    <row r="91" spans="1:10" ht="15" x14ac:dyDescent="0.25">
      <c r="A91" s="40">
        <v>87</v>
      </c>
      <c r="B91" s="62" t="s">
        <v>2541</v>
      </c>
      <c r="C91" s="62" t="s">
        <v>294</v>
      </c>
      <c r="D91" s="62" t="s">
        <v>2396</v>
      </c>
      <c r="E91" s="62" t="s">
        <v>2397</v>
      </c>
      <c r="F91" s="62">
        <v>100</v>
      </c>
      <c r="G91" s="62">
        <v>111.10980000000001</v>
      </c>
      <c r="H91" s="62" t="s">
        <v>2311</v>
      </c>
      <c r="I91" s="62" t="s">
        <v>2728</v>
      </c>
      <c r="J91" s="62" t="s">
        <v>273</v>
      </c>
    </row>
    <row r="92" spans="1:10" ht="15" x14ac:dyDescent="0.25">
      <c r="A92" s="40">
        <v>88</v>
      </c>
      <c r="B92" s="62" t="s">
        <v>2542</v>
      </c>
      <c r="C92" s="62" t="s">
        <v>296</v>
      </c>
      <c r="D92" s="62" t="s">
        <v>2396</v>
      </c>
      <c r="E92" s="62" t="s">
        <v>2397</v>
      </c>
      <c r="F92" s="62">
        <v>100</v>
      </c>
      <c r="G92" s="62">
        <v>109.1434</v>
      </c>
      <c r="H92" s="62" t="s">
        <v>2543</v>
      </c>
      <c r="I92" s="62" t="s">
        <v>2729</v>
      </c>
      <c r="J92" s="62" t="s">
        <v>273</v>
      </c>
    </row>
    <row r="93" spans="1:10" ht="15" x14ac:dyDescent="0.25">
      <c r="A93" s="40">
        <v>89</v>
      </c>
      <c r="B93" s="62" t="s">
        <v>2545</v>
      </c>
      <c r="C93" s="62" t="s">
        <v>298</v>
      </c>
      <c r="D93" s="62" t="s">
        <v>2396</v>
      </c>
      <c r="E93" s="62" t="s">
        <v>2397</v>
      </c>
      <c r="F93" s="62">
        <v>100</v>
      </c>
      <c r="G93" s="62">
        <v>107.7272</v>
      </c>
      <c r="H93" s="62" t="s">
        <v>2305</v>
      </c>
      <c r="I93" s="62" t="s">
        <v>2730</v>
      </c>
      <c r="J93" s="62" t="s">
        <v>273</v>
      </c>
    </row>
    <row r="94" spans="1:10" ht="15" x14ac:dyDescent="0.25">
      <c r="A94" s="40">
        <v>90</v>
      </c>
      <c r="B94" s="62" t="s">
        <v>2546</v>
      </c>
      <c r="C94" s="62" t="s">
        <v>300</v>
      </c>
      <c r="D94" s="62" t="s">
        <v>2396</v>
      </c>
      <c r="E94" s="62" t="s">
        <v>2397</v>
      </c>
      <c r="F94" s="62">
        <v>100</v>
      </c>
      <c r="G94" s="62">
        <v>109.11069999999999</v>
      </c>
      <c r="H94" s="62" t="s">
        <v>2543</v>
      </c>
      <c r="I94" s="62" t="s">
        <v>2544</v>
      </c>
      <c r="J94" s="62" t="s">
        <v>273</v>
      </c>
    </row>
    <row r="95" spans="1:10" ht="15" x14ac:dyDescent="0.25">
      <c r="A95" s="40">
        <v>91</v>
      </c>
      <c r="B95" s="62" t="s">
        <v>2547</v>
      </c>
      <c r="C95" s="62" t="s">
        <v>302</v>
      </c>
      <c r="D95" s="62" t="s">
        <v>2396</v>
      </c>
      <c r="E95" s="62" t="s">
        <v>2397</v>
      </c>
      <c r="F95" s="62">
        <v>100</v>
      </c>
      <c r="G95" s="62">
        <v>102.26130000000001</v>
      </c>
      <c r="H95" s="62" t="s">
        <v>2548</v>
      </c>
      <c r="I95" s="62" t="s">
        <v>2731</v>
      </c>
      <c r="J95" s="62" t="s">
        <v>273</v>
      </c>
    </row>
    <row r="96" spans="1:10" ht="15" x14ac:dyDescent="0.25">
      <c r="A96" s="40">
        <v>92</v>
      </c>
      <c r="B96" s="62" t="s">
        <v>2549</v>
      </c>
      <c r="C96" s="62" t="s">
        <v>304</v>
      </c>
      <c r="D96" s="62" t="s">
        <v>2396</v>
      </c>
      <c r="E96" s="62" t="s">
        <v>2397</v>
      </c>
      <c r="F96" s="62">
        <v>100</v>
      </c>
      <c r="G96" s="62">
        <v>105.3826</v>
      </c>
      <c r="H96" s="62" t="s">
        <v>2306</v>
      </c>
      <c r="I96" s="62" t="s">
        <v>2732</v>
      </c>
      <c r="J96" s="62" t="s">
        <v>273</v>
      </c>
    </row>
    <row r="97" spans="1:10" ht="15" x14ac:dyDescent="0.25">
      <c r="A97" s="40">
        <v>93</v>
      </c>
      <c r="B97" s="62" t="s">
        <v>2550</v>
      </c>
      <c r="C97" s="62" t="s">
        <v>306</v>
      </c>
      <c r="D97" s="62" t="s">
        <v>2396</v>
      </c>
      <c r="E97" s="62" t="s">
        <v>2397</v>
      </c>
      <c r="F97" s="62">
        <v>100</v>
      </c>
      <c r="G97" s="62">
        <v>102.26130000000001</v>
      </c>
      <c r="H97" s="62" t="s">
        <v>2548</v>
      </c>
      <c r="I97" s="62" t="s">
        <v>2731</v>
      </c>
      <c r="J97" s="62" t="s">
        <v>273</v>
      </c>
    </row>
    <row r="98" spans="1:10" ht="15" x14ac:dyDescent="0.25">
      <c r="A98" s="40">
        <v>94</v>
      </c>
      <c r="B98" s="62" t="s">
        <v>2551</v>
      </c>
      <c r="C98" s="62" t="s">
        <v>308</v>
      </c>
      <c r="D98" s="62" t="s">
        <v>2396</v>
      </c>
      <c r="E98" s="62" t="s">
        <v>2397</v>
      </c>
      <c r="F98" s="62">
        <v>100</v>
      </c>
      <c r="G98" s="62">
        <v>100.2294</v>
      </c>
      <c r="H98" s="62" t="s">
        <v>2310</v>
      </c>
      <c r="I98" s="62" t="s">
        <v>2733</v>
      </c>
      <c r="J98" s="62" t="s">
        <v>273</v>
      </c>
    </row>
    <row r="99" spans="1:10" ht="15" x14ac:dyDescent="0.25">
      <c r="A99" s="40">
        <v>95</v>
      </c>
      <c r="B99" s="62" t="s">
        <v>2552</v>
      </c>
      <c r="C99" s="62" t="s">
        <v>310</v>
      </c>
      <c r="D99" s="62" t="s">
        <v>2396</v>
      </c>
      <c r="E99" s="62" t="s">
        <v>2397</v>
      </c>
      <c r="F99" s="62">
        <v>100</v>
      </c>
      <c r="G99" s="62">
        <v>103.21169999999999</v>
      </c>
      <c r="H99" s="62" t="s">
        <v>2403</v>
      </c>
      <c r="I99" s="62" t="s">
        <v>2734</v>
      </c>
      <c r="J99" s="62" t="s">
        <v>273</v>
      </c>
    </row>
    <row r="100" spans="1:10" ht="15" x14ac:dyDescent="0.25">
      <c r="A100" s="40">
        <v>96</v>
      </c>
      <c r="B100" s="62" t="s">
        <v>2553</v>
      </c>
      <c r="C100" s="62" t="s">
        <v>312</v>
      </c>
      <c r="D100" s="62" t="s">
        <v>2396</v>
      </c>
      <c r="E100" s="62" t="s">
        <v>2397</v>
      </c>
      <c r="F100" s="62">
        <v>100</v>
      </c>
      <c r="G100" s="62">
        <v>100.26220000000001</v>
      </c>
      <c r="H100" s="62" t="s">
        <v>2460</v>
      </c>
      <c r="I100" s="62" t="s">
        <v>2735</v>
      </c>
      <c r="J100" s="62" t="s">
        <v>273</v>
      </c>
    </row>
    <row r="101" spans="1:10" ht="15" x14ac:dyDescent="0.25">
      <c r="A101" s="40">
        <v>97</v>
      </c>
      <c r="B101" s="62" t="s">
        <v>2555</v>
      </c>
      <c r="C101" s="62" t="s">
        <v>314</v>
      </c>
      <c r="D101" s="62" t="s">
        <v>2396</v>
      </c>
      <c r="E101" s="62" t="s">
        <v>2397</v>
      </c>
      <c r="F101" s="62">
        <v>100</v>
      </c>
      <c r="G101" s="62">
        <v>105.21080000000001</v>
      </c>
      <c r="H101" s="62" t="s">
        <v>2308</v>
      </c>
      <c r="I101" s="62" t="s">
        <v>2736</v>
      </c>
      <c r="J101" s="62" t="s">
        <v>273</v>
      </c>
    </row>
    <row r="102" spans="1:10" ht="15" x14ac:dyDescent="0.25">
      <c r="A102" s="40">
        <v>98</v>
      </c>
      <c r="B102" s="62" t="s">
        <v>2556</v>
      </c>
      <c r="C102" s="62" t="s">
        <v>316</v>
      </c>
      <c r="D102" s="62" t="s">
        <v>2396</v>
      </c>
      <c r="E102" s="62" t="s">
        <v>2397</v>
      </c>
      <c r="F102" s="62">
        <v>100</v>
      </c>
      <c r="G102" s="62">
        <v>101.27809999999999</v>
      </c>
      <c r="H102" s="62" t="s">
        <v>2310</v>
      </c>
      <c r="I102" s="62" t="s">
        <v>2737</v>
      </c>
      <c r="J102" s="62" t="s">
        <v>273</v>
      </c>
    </row>
    <row r="103" spans="1:10" ht="15" x14ac:dyDescent="0.25">
      <c r="A103" s="40">
        <v>99</v>
      </c>
      <c r="B103" s="62" t="s">
        <v>2558</v>
      </c>
      <c r="C103" s="62" t="s">
        <v>318</v>
      </c>
      <c r="D103" s="62" t="s">
        <v>2396</v>
      </c>
      <c r="E103" s="62" t="s">
        <v>2397</v>
      </c>
      <c r="F103" s="62">
        <v>100</v>
      </c>
      <c r="G103" s="62">
        <v>101.2453</v>
      </c>
      <c r="H103" s="62" t="s">
        <v>2311</v>
      </c>
      <c r="I103" s="62" t="s">
        <v>2738</v>
      </c>
      <c r="J103" s="62" t="s">
        <v>273</v>
      </c>
    </row>
    <row r="104" spans="1:10" ht="15" x14ac:dyDescent="0.25">
      <c r="A104" s="40">
        <v>100</v>
      </c>
      <c r="B104" s="62" t="s">
        <v>2559</v>
      </c>
      <c r="C104" s="62" t="s">
        <v>320</v>
      </c>
      <c r="D104" s="62" t="s">
        <v>2396</v>
      </c>
      <c r="E104" s="62" t="s">
        <v>2397</v>
      </c>
      <c r="F104" s="62">
        <v>100</v>
      </c>
      <c r="G104" s="62">
        <v>108.22580000000001</v>
      </c>
      <c r="H104" s="62" t="s">
        <v>2474</v>
      </c>
      <c r="I104" s="62" t="s">
        <v>2739</v>
      </c>
      <c r="J104" s="62" t="s">
        <v>273</v>
      </c>
    </row>
    <row r="105" spans="1:10" ht="15" x14ac:dyDescent="0.25">
      <c r="A105" s="40">
        <v>101</v>
      </c>
      <c r="B105" s="62" t="s">
        <v>2560</v>
      </c>
      <c r="C105" s="62" t="s">
        <v>322</v>
      </c>
      <c r="D105" s="62" t="s">
        <v>2396</v>
      </c>
      <c r="E105" s="62" t="s">
        <v>2397</v>
      </c>
      <c r="F105" s="62">
        <v>100</v>
      </c>
      <c r="G105" s="62">
        <v>105.3091</v>
      </c>
      <c r="H105" s="62" t="s">
        <v>2304</v>
      </c>
      <c r="I105" s="62" t="s">
        <v>2740</v>
      </c>
      <c r="J105" s="62" t="s">
        <v>273</v>
      </c>
    </row>
    <row r="106" spans="1:10" ht="15" x14ac:dyDescent="0.25">
      <c r="A106" s="40">
        <v>102</v>
      </c>
      <c r="B106" s="62" t="s">
        <v>2561</v>
      </c>
      <c r="C106" s="62" t="s">
        <v>324</v>
      </c>
      <c r="D106" s="62" t="s">
        <v>2396</v>
      </c>
      <c r="E106" s="62" t="s">
        <v>2397</v>
      </c>
      <c r="F106" s="62">
        <v>100</v>
      </c>
      <c r="G106" s="62">
        <v>111.1426</v>
      </c>
      <c r="H106" s="62" t="s">
        <v>2460</v>
      </c>
      <c r="I106" s="62" t="s">
        <v>2741</v>
      </c>
      <c r="J106" s="62" t="s">
        <v>273</v>
      </c>
    </row>
    <row r="107" spans="1:10" ht="15" x14ac:dyDescent="0.25">
      <c r="A107" s="40">
        <v>103</v>
      </c>
      <c r="B107" s="62" t="s">
        <v>2562</v>
      </c>
      <c r="C107" s="62" t="s">
        <v>326</v>
      </c>
      <c r="D107" s="62" t="s">
        <v>2396</v>
      </c>
      <c r="E107" s="62" t="s">
        <v>2397</v>
      </c>
      <c r="F107" s="62">
        <v>100</v>
      </c>
      <c r="G107" s="62">
        <v>102.1957</v>
      </c>
      <c r="H107" s="62" t="s">
        <v>2309</v>
      </c>
      <c r="I107" s="62" t="s">
        <v>2742</v>
      </c>
      <c r="J107" s="62" t="s">
        <v>273</v>
      </c>
    </row>
    <row r="108" spans="1:10" ht="15" x14ac:dyDescent="0.25">
      <c r="A108" s="40">
        <v>104</v>
      </c>
      <c r="B108" s="62" t="s">
        <v>2563</v>
      </c>
      <c r="C108" s="62" t="s">
        <v>328</v>
      </c>
      <c r="D108" s="62" t="s">
        <v>2396</v>
      </c>
      <c r="E108" s="62" t="s">
        <v>2397</v>
      </c>
      <c r="F108" s="62">
        <v>100</v>
      </c>
      <c r="G108" s="62">
        <v>111.1426</v>
      </c>
      <c r="H108" s="62" t="s">
        <v>2310</v>
      </c>
      <c r="I108" s="62" t="s">
        <v>2743</v>
      </c>
      <c r="J108" s="62" t="s">
        <v>273</v>
      </c>
    </row>
    <row r="109" spans="1:10" ht="15" x14ac:dyDescent="0.25">
      <c r="A109" s="40">
        <v>105</v>
      </c>
      <c r="B109" s="62" t="s">
        <v>2564</v>
      </c>
      <c r="C109" s="62" t="s">
        <v>330</v>
      </c>
      <c r="D109" s="62" t="s">
        <v>2396</v>
      </c>
      <c r="E109" s="62" t="s">
        <v>2397</v>
      </c>
      <c r="F109" s="62">
        <v>100</v>
      </c>
      <c r="G109" s="62">
        <v>107.1116</v>
      </c>
      <c r="H109" s="62" t="s">
        <v>2308</v>
      </c>
      <c r="I109" s="62" t="s">
        <v>2744</v>
      </c>
      <c r="J109" s="62" t="s">
        <v>273</v>
      </c>
    </row>
    <row r="110" spans="1:10" ht="15" x14ac:dyDescent="0.25">
      <c r="A110" s="40">
        <v>106</v>
      </c>
      <c r="B110" s="62" t="s">
        <v>2565</v>
      </c>
      <c r="C110" s="62" t="s">
        <v>332</v>
      </c>
      <c r="D110" s="62" t="s">
        <v>2396</v>
      </c>
      <c r="E110" s="62" t="s">
        <v>2397</v>
      </c>
      <c r="F110" s="62">
        <v>100</v>
      </c>
      <c r="G110" s="62">
        <v>101.2453</v>
      </c>
      <c r="H110" s="62" t="s">
        <v>2310</v>
      </c>
      <c r="I110" s="62" t="s">
        <v>2557</v>
      </c>
      <c r="J110" s="62" t="s">
        <v>273</v>
      </c>
    </row>
    <row r="111" spans="1:10" ht="15" x14ac:dyDescent="0.25">
      <c r="A111" s="40">
        <v>107</v>
      </c>
      <c r="B111" s="62" t="s">
        <v>2566</v>
      </c>
      <c r="C111" s="62" t="s">
        <v>334</v>
      </c>
      <c r="D111" s="62" t="s">
        <v>2396</v>
      </c>
      <c r="E111" s="62" t="s">
        <v>2397</v>
      </c>
      <c r="F111" s="62">
        <v>100</v>
      </c>
      <c r="G111" s="62">
        <v>106.194</v>
      </c>
      <c r="H111" s="62" t="s">
        <v>2307</v>
      </c>
      <c r="I111" s="62" t="s">
        <v>2745</v>
      </c>
      <c r="J111" s="62" t="s">
        <v>273</v>
      </c>
    </row>
    <row r="112" spans="1:10" ht="15" x14ac:dyDescent="0.25">
      <c r="A112" s="40">
        <v>108</v>
      </c>
      <c r="B112" s="62" t="s">
        <v>2567</v>
      </c>
      <c r="C112" s="62" t="s">
        <v>336</v>
      </c>
      <c r="D112" s="62" t="s">
        <v>2396</v>
      </c>
      <c r="E112" s="62" t="s">
        <v>2397</v>
      </c>
      <c r="F112" s="62">
        <v>100</v>
      </c>
      <c r="G112" s="62">
        <v>110.0938</v>
      </c>
      <c r="H112" s="62" t="s">
        <v>2310</v>
      </c>
      <c r="I112" s="62" t="s">
        <v>2746</v>
      </c>
      <c r="J112" s="62" t="s">
        <v>273</v>
      </c>
    </row>
    <row r="113" spans="1:10" ht="15" x14ac:dyDescent="0.25">
      <c r="A113" s="40">
        <v>109</v>
      </c>
      <c r="B113" s="62" t="s">
        <v>2568</v>
      </c>
      <c r="C113" s="62" t="s">
        <v>338</v>
      </c>
      <c r="D113" s="62" t="s">
        <v>2396</v>
      </c>
      <c r="E113" s="62" t="s">
        <v>2397</v>
      </c>
      <c r="F113" s="62">
        <v>100</v>
      </c>
      <c r="G113" s="62">
        <v>110.15940000000001</v>
      </c>
      <c r="H113" s="62" t="s">
        <v>2310</v>
      </c>
      <c r="I113" s="62" t="s">
        <v>2747</v>
      </c>
      <c r="J113" s="62" t="s">
        <v>273</v>
      </c>
    </row>
    <row r="114" spans="1:10" ht="15" x14ac:dyDescent="0.25">
      <c r="A114" s="40">
        <v>110</v>
      </c>
      <c r="B114" s="62" t="s">
        <v>2569</v>
      </c>
      <c r="C114" s="62" t="s">
        <v>340</v>
      </c>
      <c r="D114" s="62" t="s">
        <v>2396</v>
      </c>
      <c r="E114" s="62" t="s">
        <v>2397</v>
      </c>
      <c r="F114" s="62">
        <v>100</v>
      </c>
      <c r="G114" s="62">
        <v>107.1443</v>
      </c>
      <c r="H114" s="62" t="s">
        <v>2311</v>
      </c>
      <c r="I114" s="62" t="s">
        <v>2748</v>
      </c>
      <c r="J114" s="62" t="s">
        <v>273</v>
      </c>
    </row>
    <row r="115" spans="1:10" ht="15" x14ac:dyDescent="0.25">
      <c r="A115" s="40">
        <v>111</v>
      </c>
      <c r="B115" s="62" t="s">
        <v>2570</v>
      </c>
      <c r="C115" s="62" t="s">
        <v>137</v>
      </c>
      <c r="D115" s="62" t="s">
        <v>2396</v>
      </c>
      <c r="E115" s="62" t="s">
        <v>2397</v>
      </c>
      <c r="F115" s="62">
        <v>90.6083</v>
      </c>
      <c r="G115" s="62">
        <v>92.861599999999996</v>
      </c>
      <c r="H115" s="62" t="s">
        <v>2592</v>
      </c>
      <c r="I115" s="62" t="s">
        <v>2749</v>
      </c>
      <c r="J115" s="62" t="s">
        <v>273</v>
      </c>
    </row>
    <row r="116" spans="1:10" ht="15" x14ac:dyDescent="0.25">
      <c r="A116" s="40">
        <v>112</v>
      </c>
      <c r="B116" s="62" t="s">
        <v>2572</v>
      </c>
      <c r="C116" s="62" t="s">
        <v>139</v>
      </c>
      <c r="D116" s="62" t="s">
        <v>2396</v>
      </c>
      <c r="E116" s="62" t="s">
        <v>2397</v>
      </c>
      <c r="F116" s="62">
        <v>96.160799999999995</v>
      </c>
      <c r="G116" s="62">
        <v>102.7058</v>
      </c>
      <c r="H116" s="62" t="s">
        <v>2581</v>
      </c>
      <c r="I116" s="62" t="s">
        <v>2750</v>
      </c>
      <c r="J116" s="62" t="s">
        <v>273</v>
      </c>
    </row>
    <row r="117" spans="1:10" ht="15" x14ac:dyDescent="0.25">
      <c r="A117" s="40">
        <v>113</v>
      </c>
      <c r="B117" s="62" t="s">
        <v>2573</v>
      </c>
      <c r="C117" s="62" t="s">
        <v>141</v>
      </c>
      <c r="D117" s="62" t="s">
        <v>2396</v>
      </c>
      <c r="E117" s="62" t="s">
        <v>2397</v>
      </c>
      <c r="F117" s="62">
        <v>85.615099999999998</v>
      </c>
      <c r="G117" s="62">
        <v>90.615099999999998</v>
      </c>
      <c r="H117" s="62" t="s">
        <v>2530</v>
      </c>
      <c r="I117" s="62" t="s">
        <v>2751</v>
      </c>
      <c r="J117" s="62" t="s">
        <v>273</v>
      </c>
    </row>
    <row r="118" spans="1:10" ht="15" x14ac:dyDescent="0.25">
      <c r="A118" s="40">
        <v>114</v>
      </c>
      <c r="B118" s="62" t="s">
        <v>2574</v>
      </c>
      <c r="C118" s="62" t="s">
        <v>6</v>
      </c>
      <c r="D118" s="62" t="s">
        <v>2396</v>
      </c>
      <c r="E118" s="62" t="s">
        <v>2397</v>
      </c>
      <c r="F118" s="62">
        <v>86.933199999999999</v>
      </c>
      <c r="G118" s="62">
        <v>90.255399999999995</v>
      </c>
      <c r="H118" s="62" t="s">
        <v>2475</v>
      </c>
      <c r="I118" s="62" t="s">
        <v>2752</v>
      </c>
      <c r="J118" s="62" t="s">
        <v>273</v>
      </c>
    </row>
    <row r="119" spans="1:10" ht="15" x14ac:dyDescent="0.25">
      <c r="A119" s="40">
        <v>115</v>
      </c>
      <c r="B119" s="62" t="s">
        <v>2575</v>
      </c>
      <c r="C119" s="62" t="s">
        <v>144</v>
      </c>
      <c r="D119" s="62" t="s">
        <v>2396</v>
      </c>
      <c r="E119" s="62" t="s">
        <v>2397</v>
      </c>
      <c r="F119" s="62">
        <v>83.702299999999994</v>
      </c>
      <c r="G119" s="62">
        <v>89.202299999999994</v>
      </c>
      <c r="H119" s="62" t="s">
        <v>2530</v>
      </c>
      <c r="I119" s="62" t="s">
        <v>2753</v>
      </c>
      <c r="J119" s="62" t="s">
        <v>273</v>
      </c>
    </row>
    <row r="120" spans="1:10" ht="15" x14ac:dyDescent="0.25">
      <c r="A120" s="40">
        <v>116</v>
      </c>
      <c r="B120" s="62" t="s">
        <v>2576</v>
      </c>
      <c r="C120" s="62" t="s">
        <v>2078</v>
      </c>
      <c r="D120" s="62" t="s">
        <v>2396</v>
      </c>
      <c r="E120" s="62" t="s">
        <v>2397</v>
      </c>
      <c r="F120" s="62">
        <v>91.957300000000004</v>
      </c>
      <c r="G120" s="62">
        <v>98.081199999999995</v>
      </c>
      <c r="H120" s="62" t="s">
        <v>2436</v>
      </c>
      <c r="I120" s="62" t="s">
        <v>2754</v>
      </c>
      <c r="J120" s="62" t="s">
        <v>273</v>
      </c>
    </row>
    <row r="121" spans="1:10" ht="15" x14ac:dyDescent="0.25">
      <c r="A121" s="40">
        <v>117</v>
      </c>
      <c r="B121" s="62" t="s">
        <v>2577</v>
      </c>
      <c r="C121" s="62" t="s">
        <v>146</v>
      </c>
      <c r="D121" s="62" t="s">
        <v>2396</v>
      </c>
      <c r="E121" s="62" t="s">
        <v>2397</v>
      </c>
      <c r="F121" s="62">
        <v>85.195099999999996</v>
      </c>
      <c r="G121" s="62">
        <v>93.338399999999993</v>
      </c>
      <c r="H121" s="62" t="s">
        <v>2616</v>
      </c>
      <c r="I121" s="62" t="s">
        <v>2755</v>
      </c>
      <c r="J121" s="62" t="s">
        <v>273</v>
      </c>
    </row>
    <row r="122" spans="1:10" ht="15" x14ac:dyDescent="0.25">
      <c r="A122" s="40">
        <v>118</v>
      </c>
      <c r="B122" s="62" t="s">
        <v>2579</v>
      </c>
      <c r="C122" s="62" t="s">
        <v>8</v>
      </c>
      <c r="D122" s="62" t="s">
        <v>2396</v>
      </c>
      <c r="E122" s="62" t="s">
        <v>2397</v>
      </c>
      <c r="F122" s="62">
        <v>83.147400000000005</v>
      </c>
      <c r="G122" s="62">
        <v>83.411199999999994</v>
      </c>
      <c r="H122" s="62" t="s">
        <v>2477</v>
      </c>
      <c r="I122" s="62" t="s">
        <v>2756</v>
      </c>
      <c r="J122" s="62" t="s">
        <v>273</v>
      </c>
    </row>
    <row r="123" spans="1:10" ht="15" x14ac:dyDescent="0.25">
      <c r="A123" s="40">
        <v>119</v>
      </c>
      <c r="B123" s="62" t="s">
        <v>2580</v>
      </c>
      <c r="C123" s="62" t="s">
        <v>149</v>
      </c>
      <c r="D123" s="62" t="s">
        <v>2396</v>
      </c>
      <c r="E123" s="62" t="s">
        <v>2397</v>
      </c>
      <c r="F123" s="62">
        <v>82.736099999999993</v>
      </c>
      <c r="G123" s="62">
        <v>88.327799999999996</v>
      </c>
      <c r="H123" s="62" t="s">
        <v>2433</v>
      </c>
      <c r="I123" s="62" t="s">
        <v>2757</v>
      </c>
      <c r="J123" s="62" t="s">
        <v>273</v>
      </c>
    </row>
    <row r="124" spans="1:10" ht="15" x14ac:dyDescent="0.25">
      <c r="A124" s="40">
        <v>120</v>
      </c>
      <c r="B124" s="62" t="s">
        <v>2582</v>
      </c>
      <c r="C124" s="62" t="s">
        <v>151</v>
      </c>
      <c r="D124" s="62" t="s">
        <v>2396</v>
      </c>
      <c r="E124" s="62" t="s">
        <v>2397</v>
      </c>
      <c r="F124" s="62">
        <v>90.485699999999994</v>
      </c>
      <c r="G124" s="62">
        <v>93.791300000000007</v>
      </c>
      <c r="H124" s="62" t="s">
        <v>2583</v>
      </c>
      <c r="I124" s="62" t="s">
        <v>2758</v>
      </c>
      <c r="J124" s="62" t="s">
        <v>273</v>
      </c>
    </row>
    <row r="125" spans="1:10" ht="15" x14ac:dyDescent="0.25">
      <c r="A125" s="40">
        <v>121</v>
      </c>
      <c r="B125" s="62" t="s">
        <v>2584</v>
      </c>
      <c r="C125" s="62" t="s">
        <v>2256</v>
      </c>
      <c r="D125" s="62" t="s">
        <v>2396</v>
      </c>
      <c r="E125" s="62" t="s">
        <v>2397</v>
      </c>
      <c r="F125" s="62">
        <v>90.691100000000006</v>
      </c>
      <c r="G125" s="62">
        <v>93.179699999999997</v>
      </c>
      <c r="H125" s="62" t="s">
        <v>2478</v>
      </c>
      <c r="I125" s="62" t="s">
        <v>2759</v>
      </c>
      <c r="J125" s="62" t="s">
        <v>273</v>
      </c>
    </row>
    <row r="126" spans="1:10" ht="15" x14ac:dyDescent="0.25">
      <c r="A126" s="40">
        <v>122</v>
      </c>
      <c r="B126" s="62" t="s">
        <v>2585</v>
      </c>
      <c r="C126" s="62" t="s">
        <v>153</v>
      </c>
      <c r="D126" s="62" t="s">
        <v>2396</v>
      </c>
      <c r="E126" s="62" t="s">
        <v>2397</v>
      </c>
      <c r="F126" s="62">
        <v>93.770099999999999</v>
      </c>
      <c r="G126" s="62">
        <v>94.629499999999993</v>
      </c>
      <c r="H126" s="62" t="s">
        <v>2609</v>
      </c>
      <c r="I126" s="62" t="s">
        <v>2760</v>
      </c>
      <c r="J126" s="62" t="s">
        <v>273</v>
      </c>
    </row>
    <row r="127" spans="1:10" ht="15" x14ac:dyDescent="0.25">
      <c r="A127" s="40">
        <v>123</v>
      </c>
      <c r="B127" s="62" t="s">
        <v>2586</v>
      </c>
      <c r="C127" s="62" t="s">
        <v>7</v>
      </c>
      <c r="D127" s="62" t="s">
        <v>2396</v>
      </c>
      <c r="E127" s="62" t="s">
        <v>2397</v>
      </c>
      <c r="F127" s="62">
        <v>85.108999999999995</v>
      </c>
      <c r="G127" s="62">
        <v>88.989599999999996</v>
      </c>
      <c r="H127" s="62" t="s">
        <v>2581</v>
      </c>
      <c r="I127" s="62" t="s">
        <v>2761</v>
      </c>
      <c r="J127" s="62" t="s">
        <v>273</v>
      </c>
    </row>
    <row r="128" spans="1:10" ht="15" x14ac:dyDescent="0.25">
      <c r="A128" s="40">
        <v>124</v>
      </c>
      <c r="B128" s="62" t="s">
        <v>2587</v>
      </c>
      <c r="C128" s="62" t="s">
        <v>156</v>
      </c>
      <c r="D128" s="62" t="s">
        <v>2396</v>
      </c>
      <c r="E128" s="62" t="s">
        <v>2397</v>
      </c>
      <c r="F128" s="62">
        <v>89.588200000000001</v>
      </c>
      <c r="G128" s="62">
        <v>92.621499999999997</v>
      </c>
      <c r="H128" s="62" t="s">
        <v>2436</v>
      </c>
      <c r="I128" s="62" t="s">
        <v>2762</v>
      </c>
      <c r="J128" s="62" t="s">
        <v>273</v>
      </c>
    </row>
    <row r="129" spans="1:10" ht="15" x14ac:dyDescent="0.25">
      <c r="A129" s="40">
        <v>125</v>
      </c>
      <c r="B129" s="62" t="s">
        <v>2588</v>
      </c>
      <c r="C129" s="62" t="s">
        <v>2080</v>
      </c>
      <c r="D129" s="62" t="s">
        <v>2396</v>
      </c>
      <c r="E129" s="62" t="s">
        <v>2397</v>
      </c>
      <c r="F129" s="62">
        <v>90.423599999999993</v>
      </c>
      <c r="G129" s="62">
        <v>96.505499999999998</v>
      </c>
      <c r="H129" s="62" t="s">
        <v>2589</v>
      </c>
      <c r="I129" s="62" t="s">
        <v>2763</v>
      </c>
      <c r="J129" s="62" t="s">
        <v>273</v>
      </c>
    </row>
    <row r="130" spans="1:10" ht="15" x14ac:dyDescent="0.25">
      <c r="A130" s="40">
        <v>126</v>
      </c>
      <c r="B130" s="62" t="s">
        <v>2590</v>
      </c>
      <c r="C130" s="62" t="s">
        <v>158</v>
      </c>
      <c r="D130" s="62" t="s">
        <v>2396</v>
      </c>
      <c r="E130" s="62" t="s">
        <v>2397</v>
      </c>
      <c r="F130" s="62">
        <v>89.65</v>
      </c>
      <c r="G130" s="62">
        <v>93.424999999999997</v>
      </c>
      <c r="H130" s="62" t="s">
        <v>2612</v>
      </c>
      <c r="I130" s="62" t="s">
        <v>2764</v>
      </c>
      <c r="J130" s="62" t="s">
        <v>273</v>
      </c>
    </row>
    <row r="131" spans="1:10" ht="15" x14ac:dyDescent="0.25">
      <c r="A131" s="40">
        <v>127</v>
      </c>
      <c r="B131" s="62" t="s">
        <v>2591</v>
      </c>
      <c r="C131" s="62" t="s">
        <v>160</v>
      </c>
      <c r="D131" s="62" t="s">
        <v>2396</v>
      </c>
      <c r="E131" s="62" t="s">
        <v>2397</v>
      </c>
      <c r="F131" s="62">
        <v>88.018199999999993</v>
      </c>
      <c r="G131" s="62">
        <v>88.868200000000002</v>
      </c>
      <c r="H131" s="62" t="s">
        <v>2435</v>
      </c>
      <c r="I131" s="62" t="s">
        <v>2765</v>
      </c>
      <c r="J131" s="62" t="s">
        <v>273</v>
      </c>
    </row>
    <row r="132" spans="1:10" ht="15" x14ac:dyDescent="0.25">
      <c r="A132" s="40">
        <v>128</v>
      </c>
      <c r="B132" s="62" t="s">
        <v>2593</v>
      </c>
      <c r="C132" s="62" t="s">
        <v>9</v>
      </c>
      <c r="D132" s="62" t="s">
        <v>2396</v>
      </c>
      <c r="E132" s="62" t="s">
        <v>2397</v>
      </c>
      <c r="F132" s="62">
        <v>77.803700000000006</v>
      </c>
      <c r="G132" s="62">
        <v>81.809299999999993</v>
      </c>
      <c r="H132" s="62" t="s">
        <v>2436</v>
      </c>
      <c r="I132" s="62" t="s">
        <v>2766</v>
      </c>
      <c r="J132" s="62" t="s">
        <v>273</v>
      </c>
    </row>
    <row r="133" spans="1:10" ht="15" x14ac:dyDescent="0.25">
      <c r="A133" s="40">
        <v>129</v>
      </c>
      <c r="B133" s="62" t="s">
        <v>2594</v>
      </c>
      <c r="C133" s="62" t="s">
        <v>2053</v>
      </c>
      <c r="D133" s="62" t="s">
        <v>2396</v>
      </c>
      <c r="E133" s="62" t="s">
        <v>2397</v>
      </c>
      <c r="F133" s="62">
        <v>87.6</v>
      </c>
      <c r="G133" s="62">
        <v>94.366699999999994</v>
      </c>
      <c r="H133" s="62" t="s">
        <v>2478</v>
      </c>
      <c r="I133" s="62" t="s">
        <v>2767</v>
      </c>
      <c r="J133" s="62" t="s">
        <v>273</v>
      </c>
    </row>
    <row r="134" spans="1:10" ht="15" x14ac:dyDescent="0.25">
      <c r="A134" s="40">
        <v>130</v>
      </c>
      <c r="B134" s="62" t="s">
        <v>2595</v>
      </c>
      <c r="C134" s="62" t="s">
        <v>11</v>
      </c>
      <c r="D134" s="62" t="s">
        <v>2396</v>
      </c>
      <c r="E134" s="62" t="s">
        <v>2397</v>
      </c>
      <c r="F134" s="62">
        <v>76.362300000000005</v>
      </c>
      <c r="G134" s="62">
        <v>76.687700000000007</v>
      </c>
      <c r="H134" s="62" t="s">
        <v>2478</v>
      </c>
      <c r="I134" s="62" t="s">
        <v>2768</v>
      </c>
      <c r="J134" s="62" t="s">
        <v>273</v>
      </c>
    </row>
    <row r="135" spans="1:10" ht="15" x14ac:dyDescent="0.25">
      <c r="A135" s="40">
        <v>131</v>
      </c>
      <c r="B135" s="62" t="s">
        <v>2596</v>
      </c>
      <c r="C135" s="62" t="s">
        <v>164</v>
      </c>
      <c r="D135" s="62" t="s">
        <v>2396</v>
      </c>
      <c r="E135" s="62" t="s">
        <v>2397</v>
      </c>
      <c r="F135" s="62">
        <v>99.803399999999996</v>
      </c>
      <c r="G135" s="62">
        <v>106.0612</v>
      </c>
      <c r="H135" s="62" t="s">
        <v>2769</v>
      </c>
      <c r="I135" s="62" t="s">
        <v>2770</v>
      </c>
      <c r="J135" s="62" t="s">
        <v>273</v>
      </c>
    </row>
    <row r="136" spans="1:10" ht="15" x14ac:dyDescent="0.25">
      <c r="A136" s="40">
        <v>132</v>
      </c>
      <c r="B136" s="62" t="s">
        <v>2597</v>
      </c>
      <c r="C136" s="62" t="s">
        <v>166</v>
      </c>
      <c r="D136" s="62" t="s">
        <v>2396</v>
      </c>
      <c r="E136" s="62" t="s">
        <v>2397</v>
      </c>
      <c r="F136" s="62">
        <v>74.669799999999995</v>
      </c>
      <c r="G136" s="62">
        <v>84.884699999999995</v>
      </c>
      <c r="H136" s="62" t="s">
        <v>2589</v>
      </c>
      <c r="I136" s="62" t="s">
        <v>2771</v>
      </c>
      <c r="J136" s="62" t="s">
        <v>273</v>
      </c>
    </row>
    <row r="137" spans="1:10" ht="15" x14ac:dyDescent="0.25">
      <c r="A137" s="40">
        <v>133</v>
      </c>
      <c r="B137" s="62" t="s">
        <v>2598</v>
      </c>
      <c r="C137" s="62" t="s">
        <v>168</v>
      </c>
      <c r="D137" s="62" t="s">
        <v>2396</v>
      </c>
      <c r="E137" s="62" t="s">
        <v>2397</v>
      </c>
      <c r="F137" s="62">
        <v>85.900400000000005</v>
      </c>
      <c r="G137" s="62">
        <v>86.875699999999995</v>
      </c>
      <c r="H137" s="62" t="s">
        <v>2592</v>
      </c>
      <c r="I137" s="62" t="s">
        <v>2674</v>
      </c>
      <c r="J137" s="62" t="s">
        <v>273</v>
      </c>
    </row>
    <row r="138" spans="1:10" ht="15" x14ac:dyDescent="0.25">
      <c r="A138" s="40">
        <v>134</v>
      </c>
      <c r="B138" s="62" t="s">
        <v>2599</v>
      </c>
      <c r="C138" s="62" t="s">
        <v>170</v>
      </c>
      <c r="D138" s="62" t="s">
        <v>2396</v>
      </c>
      <c r="E138" s="62" t="s">
        <v>2397</v>
      </c>
      <c r="F138" s="62">
        <v>70.950500000000005</v>
      </c>
      <c r="G138" s="62">
        <v>72.990200000000002</v>
      </c>
      <c r="H138" s="62" t="s">
        <v>2436</v>
      </c>
      <c r="I138" s="62" t="s">
        <v>2772</v>
      </c>
      <c r="J138" s="62" t="s">
        <v>273</v>
      </c>
    </row>
    <row r="139" spans="1:10" ht="15" x14ac:dyDescent="0.25">
      <c r="A139" s="40">
        <v>135</v>
      </c>
      <c r="B139" s="62" t="s">
        <v>2600</v>
      </c>
      <c r="C139" s="62" t="s">
        <v>172</v>
      </c>
      <c r="D139" s="62" t="s">
        <v>2396</v>
      </c>
      <c r="E139" s="62" t="s">
        <v>2397</v>
      </c>
      <c r="F139" s="62">
        <v>71.227000000000004</v>
      </c>
      <c r="G139" s="62">
        <v>76.005899999999997</v>
      </c>
      <c r="H139" s="62" t="s">
        <v>2478</v>
      </c>
      <c r="I139" s="62" t="s">
        <v>2773</v>
      </c>
      <c r="J139" s="62" t="s">
        <v>273</v>
      </c>
    </row>
    <row r="140" spans="1:10" ht="15" x14ac:dyDescent="0.25">
      <c r="A140" s="40">
        <v>136</v>
      </c>
      <c r="B140" s="62" t="s">
        <v>2601</v>
      </c>
      <c r="C140" s="62" t="s">
        <v>2228</v>
      </c>
      <c r="D140" s="62" t="s">
        <v>2396</v>
      </c>
      <c r="E140" s="62" t="s">
        <v>2397</v>
      </c>
      <c r="F140" s="62">
        <v>86.906099999999995</v>
      </c>
      <c r="G140" s="62">
        <v>89.843599999999995</v>
      </c>
      <c r="H140" s="62" t="s">
        <v>2476</v>
      </c>
      <c r="I140" s="62" t="s">
        <v>2774</v>
      </c>
      <c r="J140" s="62" t="s">
        <v>273</v>
      </c>
    </row>
    <row r="141" spans="1:10" ht="15" x14ac:dyDescent="0.25">
      <c r="A141" s="40">
        <v>137</v>
      </c>
      <c r="B141" s="62" t="s">
        <v>2603</v>
      </c>
      <c r="C141" s="62" t="s">
        <v>174</v>
      </c>
      <c r="D141" s="62" t="s">
        <v>2396</v>
      </c>
      <c r="E141" s="62" t="s">
        <v>2397</v>
      </c>
      <c r="F141" s="62">
        <v>98.342500000000001</v>
      </c>
      <c r="G141" s="62">
        <v>102.6914</v>
      </c>
      <c r="H141" s="62" t="s">
        <v>2775</v>
      </c>
      <c r="I141" s="62" t="s">
        <v>2776</v>
      </c>
      <c r="J141" s="62" t="s">
        <v>273</v>
      </c>
    </row>
    <row r="142" spans="1:10" ht="15" x14ac:dyDescent="0.25">
      <c r="A142" s="40">
        <v>138</v>
      </c>
      <c r="B142" s="62" t="s">
        <v>2604</v>
      </c>
      <c r="C142" s="62" t="s">
        <v>176</v>
      </c>
      <c r="D142" s="62" t="s">
        <v>2396</v>
      </c>
      <c r="E142" s="62" t="s">
        <v>2397</v>
      </c>
      <c r="F142" s="62">
        <v>96.979200000000006</v>
      </c>
      <c r="G142" s="62">
        <v>100.60420000000001</v>
      </c>
      <c r="H142" s="62" t="s">
        <v>2592</v>
      </c>
      <c r="I142" s="62" t="s">
        <v>2777</v>
      </c>
      <c r="J142" s="62" t="s">
        <v>273</v>
      </c>
    </row>
    <row r="143" spans="1:10" ht="15" x14ac:dyDescent="0.25">
      <c r="A143" s="40">
        <v>139</v>
      </c>
      <c r="B143" s="62" t="s">
        <v>2605</v>
      </c>
      <c r="C143" s="62" t="s">
        <v>10</v>
      </c>
      <c r="D143" s="62" t="s">
        <v>2396</v>
      </c>
      <c r="E143" s="62" t="s">
        <v>2397</v>
      </c>
      <c r="F143" s="62">
        <v>68.267899999999997</v>
      </c>
      <c r="G143" s="62">
        <v>70.8733</v>
      </c>
      <c r="H143" s="62" t="s">
        <v>2478</v>
      </c>
      <c r="I143" s="62" t="s">
        <v>2778</v>
      </c>
      <c r="J143" s="62" t="s">
        <v>273</v>
      </c>
    </row>
    <row r="144" spans="1:10" ht="15" x14ac:dyDescent="0.25">
      <c r="A144" s="40">
        <v>140</v>
      </c>
      <c r="B144" s="62" t="s">
        <v>2606</v>
      </c>
      <c r="C144" s="62" t="s">
        <v>179</v>
      </c>
      <c r="D144" s="62" t="s">
        <v>2396</v>
      </c>
      <c r="E144" s="62" t="s">
        <v>2397</v>
      </c>
      <c r="F144" s="62">
        <v>70.337500000000006</v>
      </c>
      <c r="G144" s="62">
        <v>74.522900000000007</v>
      </c>
      <c r="H144" s="62" t="s">
        <v>2602</v>
      </c>
      <c r="I144" s="62" t="s">
        <v>2779</v>
      </c>
      <c r="J144" s="62" t="s">
        <v>273</v>
      </c>
    </row>
    <row r="145" spans="1:10" ht="15" x14ac:dyDescent="0.25">
      <c r="A145" s="40">
        <v>141</v>
      </c>
      <c r="B145" s="62" t="s">
        <v>2607</v>
      </c>
      <c r="C145" s="62" t="s">
        <v>181</v>
      </c>
      <c r="D145" s="62" t="s">
        <v>2396</v>
      </c>
      <c r="E145" s="62" t="s">
        <v>2397</v>
      </c>
      <c r="F145" s="62">
        <v>96.889499999999998</v>
      </c>
      <c r="G145" s="62">
        <v>100.82510000000001</v>
      </c>
      <c r="H145" s="62" t="s">
        <v>2780</v>
      </c>
      <c r="I145" s="62" t="s">
        <v>2781</v>
      </c>
      <c r="J145" s="62" t="s">
        <v>273</v>
      </c>
    </row>
    <row r="146" spans="1:10" ht="15" x14ac:dyDescent="0.25">
      <c r="A146" s="40">
        <v>142</v>
      </c>
      <c r="B146" s="62" t="s">
        <v>2608</v>
      </c>
      <c r="C146" s="62" t="s">
        <v>183</v>
      </c>
      <c r="D146" s="62" t="s">
        <v>2396</v>
      </c>
      <c r="E146" s="62" t="s">
        <v>2397</v>
      </c>
      <c r="F146" s="62">
        <v>89.874499999999998</v>
      </c>
      <c r="G146" s="62">
        <v>95.206400000000002</v>
      </c>
      <c r="H146" s="62" t="s">
        <v>2782</v>
      </c>
      <c r="I146" s="62" t="s">
        <v>2783</v>
      </c>
      <c r="J146" s="62" t="s">
        <v>273</v>
      </c>
    </row>
    <row r="147" spans="1:10" ht="15" x14ac:dyDescent="0.25">
      <c r="A147" s="40">
        <v>143</v>
      </c>
      <c r="B147" s="62" t="s">
        <v>2610</v>
      </c>
      <c r="C147" s="62" t="s">
        <v>185</v>
      </c>
      <c r="D147" s="62" t="s">
        <v>2396</v>
      </c>
      <c r="E147" s="62" t="s">
        <v>2397</v>
      </c>
      <c r="F147" s="62">
        <v>86.962199999999996</v>
      </c>
      <c r="G147" s="62">
        <v>90.49</v>
      </c>
      <c r="H147" s="62" t="s">
        <v>2784</v>
      </c>
      <c r="I147" s="62" t="s">
        <v>2785</v>
      </c>
      <c r="J147" s="62" t="s">
        <v>273</v>
      </c>
    </row>
    <row r="148" spans="1:10" ht="15" x14ac:dyDescent="0.25">
      <c r="A148" s="40">
        <v>144</v>
      </c>
      <c r="B148" s="62" t="s">
        <v>2611</v>
      </c>
      <c r="C148" s="62" t="s">
        <v>5</v>
      </c>
      <c r="D148" s="62" t="s">
        <v>2396</v>
      </c>
      <c r="E148" s="62" t="s">
        <v>2397</v>
      </c>
      <c r="F148" s="62">
        <v>84.724900000000005</v>
      </c>
      <c r="G148" s="62">
        <v>86.707400000000007</v>
      </c>
      <c r="H148" s="62" t="s">
        <v>2571</v>
      </c>
      <c r="I148" s="62" t="s">
        <v>2786</v>
      </c>
      <c r="J148" s="62" t="s">
        <v>273</v>
      </c>
    </row>
    <row r="149" spans="1:10" ht="15" x14ac:dyDescent="0.25">
      <c r="A149" s="40">
        <v>145</v>
      </c>
      <c r="B149" s="62" t="s">
        <v>2613</v>
      </c>
      <c r="C149" s="62" t="s">
        <v>188</v>
      </c>
      <c r="D149" s="62" t="s">
        <v>2396</v>
      </c>
      <c r="E149" s="62" t="s">
        <v>2397</v>
      </c>
      <c r="F149" s="62">
        <v>81.103200000000001</v>
      </c>
      <c r="G149" s="62">
        <v>85.968000000000004</v>
      </c>
      <c r="H149" s="62" t="s">
        <v>2787</v>
      </c>
      <c r="I149" s="62" t="s">
        <v>2788</v>
      </c>
      <c r="J149" s="62" t="s">
        <v>273</v>
      </c>
    </row>
    <row r="150" spans="1:10" ht="15" x14ac:dyDescent="0.25">
      <c r="A150" s="40">
        <v>146</v>
      </c>
      <c r="B150" s="62" t="s">
        <v>2614</v>
      </c>
      <c r="C150" s="62" t="s">
        <v>190</v>
      </c>
      <c r="D150" s="62" t="s">
        <v>2396</v>
      </c>
      <c r="E150" s="62" t="s">
        <v>2397</v>
      </c>
      <c r="F150" s="62">
        <v>82.099199999999996</v>
      </c>
      <c r="G150" s="62">
        <v>87.2089</v>
      </c>
      <c r="H150" s="62" t="s">
        <v>2789</v>
      </c>
      <c r="I150" s="62" t="s">
        <v>2790</v>
      </c>
      <c r="J150" s="62" t="s">
        <v>273</v>
      </c>
    </row>
    <row r="151" spans="1:10" ht="15" x14ac:dyDescent="0.25">
      <c r="A151" s="40">
        <v>147</v>
      </c>
      <c r="B151" s="62" t="s">
        <v>2615</v>
      </c>
      <c r="C151" s="62" t="s">
        <v>192</v>
      </c>
      <c r="D151" s="62" t="s">
        <v>2396</v>
      </c>
      <c r="E151" s="62" t="s">
        <v>2397</v>
      </c>
      <c r="F151" s="62">
        <v>76.958299999999994</v>
      </c>
      <c r="G151" s="62">
        <v>81.711500000000001</v>
      </c>
      <c r="H151" s="62" t="s">
        <v>2616</v>
      </c>
      <c r="I151" s="62" t="s">
        <v>2791</v>
      </c>
      <c r="J151" s="62" t="s">
        <v>273</v>
      </c>
    </row>
    <row r="152" spans="1:10" ht="15" x14ac:dyDescent="0.25">
      <c r="A152" s="40">
        <v>148</v>
      </c>
      <c r="B152" s="62" t="s">
        <v>2617</v>
      </c>
      <c r="C152" s="62" t="s">
        <v>194</v>
      </c>
      <c r="D152" s="62" t="s">
        <v>2396</v>
      </c>
      <c r="E152" s="62" t="s">
        <v>2397</v>
      </c>
      <c r="F152" s="62">
        <v>75.073599999999999</v>
      </c>
      <c r="G152" s="62">
        <v>82.625600000000006</v>
      </c>
      <c r="H152" s="62" t="s">
        <v>2477</v>
      </c>
      <c r="I152" s="62" t="s">
        <v>2792</v>
      </c>
      <c r="J152" s="62" t="s">
        <v>273</v>
      </c>
    </row>
    <row r="153" spans="1:10" ht="15" x14ac:dyDescent="0.25">
      <c r="A153" s="40">
        <v>149</v>
      </c>
      <c r="B153" s="62" t="s">
        <v>2618</v>
      </c>
      <c r="C153" s="62" t="s">
        <v>196</v>
      </c>
      <c r="D153" s="62" t="s">
        <v>2396</v>
      </c>
      <c r="E153" s="62" t="s">
        <v>2397</v>
      </c>
      <c r="F153" s="62">
        <v>72.871300000000005</v>
      </c>
      <c r="G153" s="62">
        <v>76.775300000000001</v>
      </c>
      <c r="H153" s="62" t="s">
        <v>2477</v>
      </c>
      <c r="I153" s="62" t="s">
        <v>2757</v>
      </c>
      <c r="J153" s="62" t="s">
        <v>273</v>
      </c>
    </row>
    <row r="154" spans="1:10" ht="15" x14ac:dyDescent="0.25">
      <c r="A154" s="40">
        <v>150</v>
      </c>
      <c r="B154" s="62" t="s">
        <v>2619</v>
      </c>
      <c r="C154" s="62" t="s">
        <v>198</v>
      </c>
      <c r="D154" s="62" t="s">
        <v>2396</v>
      </c>
      <c r="E154" s="62" t="s">
        <v>2397</v>
      </c>
      <c r="F154" s="62">
        <v>66.731999999999999</v>
      </c>
      <c r="G154" s="62">
        <v>69.690799999999996</v>
      </c>
      <c r="H154" s="62" t="s">
        <v>2589</v>
      </c>
      <c r="I154" s="62" t="s">
        <v>2793</v>
      </c>
      <c r="J154" s="62" t="s">
        <v>273</v>
      </c>
    </row>
    <row r="155" spans="1:10" ht="15" x14ac:dyDescent="0.25">
      <c r="A155" s="40">
        <v>151</v>
      </c>
      <c r="B155" s="62" t="s">
        <v>2620</v>
      </c>
      <c r="C155" s="62" t="s">
        <v>200</v>
      </c>
      <c r="D155" s="62" t="s">
        <v>2396</v>
      </c>
      <c r="E155" s="62" t="s">
        <v>2397</v>
      </c>
      <c r="F155" s="62">
        <v>65.804000000000002</v>
      </c>
      <c r="G155" s="62">
        <v>68.248000000000005</v>
      </c>
      <c r="H155" s="62" t="s">
        <v>2589</v>
      </c>
      <c r="I155" s="62" t="s">
        <v>2794</v>
      </c>
      <c r="J155" s="62" t="s">
        <v>273</v>
      </c>
    </row>
    <row r="156" spans="1:10" ht="15" x14ac:dyDescent="0.25">
      <c r="A156" s="40">
        <v>152</v>
      </c>
      <c r="B156" s="62" t="s">
        <v>2621</v>
      </c>
      <c r="C156" s="62" t="s">
        <v>202</v>
      </c>
      <c r="D156" s="62" t="s">
        <v>2396</v>
      </c>
      <c r="E156" s="62" t="s">
        <v>2397</v>
      </c>
      <c r="F156" s="62">
        <v>71.335400000000007</v>
      </c>
      <c r="G156" s="62">
        <v>81.576400000000007</v>
      </c>
      <c r="H156" s="62" t="s">
        <v>2602</v>
      </c>
      <c r="I156" s="62" t="s">
        <v>2795</v>
      </c>
      <c r="J156" s="62" t="s">
        <v>273</v>
      </c>
    </row>
    <row r="157" spans="1:10" ht="15" x14ac:dyDescent="0.25">
      <c r="A157" s="40">
        <v>153</v>
      </c>
      <c r="B157" s="62" t="s">
        <v>2622</v>
      </c>
      <c r="C157" s="62" t="s">
        <v>204</v>
      </c>
      <c r="D157" s="62" t="s">
        <v>2396</v>
      </c>
      <c r="E157" s="62" t="s">
        <v>2397</v>
      </c>
      <c r="F157" s="62">
        <v>72.077399999999997</v>
      </c>
      <c r="G157" s="62">
        <v>77.878600000000006</v>
      </c>
      <c r="H157" s="62" t="s">
        <v>2589</v>
      </c>
      <c r="I157" s="62" t="s">
        <v>2796</v>
      </c>
      <c r="J157" s="62" t="s">
        <v>273</v>
      </c>
    </row>
    <row r="158" spans="1:10" ht="15" x14ac:dyDescent="0.25">
      <c r="A158" s="40">
        <v>154</v>
      </c>
      <c r="B158" s="62" t="s">
        <v>2623</v>
      </c>
      <c r="C158" s="62" t="s">
        <v>206</v>
      </c>
      <c r="D158" s="62" t="s">
        <v>2396</v>
      </c>
      <c r="E158" s="62" t="s">
        <v>2397</v>
      </c>
      <c r="F158" s="62">
        <v>80.141099999999994</v>
      </c>
      <c r="G158" s="62">
        <v>84.381100000000004</v>
      </c>
      <c r="H158" s="62" t="s">
        <v>2789</v>
      </c>
      <c r="I158" s="62" t="s">
        <v>2797</v>
      </c>
      <c r="J158" s="62" t="s">
        <v>273</v>
      </c>
    </row>
    <row r="159" spans="1:10" ht="15" x14ac:dyDescent="0.25">
      <c r="A159" s="40">
        <v>155</v>
      </c>
      <c r="B159" s="62" t="s">
        <v>2624</v>
      </c>
      <c r="C159" s="62" t="s">
        <v>208</v>
      </c>
      <c r="D159" s="62" t="s">
        <v>2396</v>
      </c>
      <c r="E159" s="62" t="s">
        <v>2397</v>
      </c>
      <c r="F159" s="62">
        <v>75.972099999999998</v>
      </c>
      <c r="G159" s="62">
        <v>77.486000000000004</v>
      </c>
      <c r="H159" s="62" t="s">
        <v>2707</v>
      </c>
      <c r="I159" s="62" t="s">
        <v>2798</v>
      </c>
      <c r="J159" s="62" t="s">
        <v>273</v>
      </c>
    </row>
    <row r="160" spans="1:10" ht="15" x14ac:dyDescent="0.25">
      <c r="A160" s="40">
        <v>156</v>
      </c>
      <c r="B160" s="62" t="s">
        <v>2625</v>
      </c>
      <c r="C160" s="62" t="s">
        <v>210</v>
      </c>
      <c r="D160" s="62" t="s">
        <v>2396</v>
      </c>
      <c r="E160" s="62" t="s">
        <v>2397</v>
      </c>
      <c r="F160" s="62">
        <v>74.263199999999998</v>
      </c>
      <c r="G160" s="62">
        <v>79.106300000000005</v>
      </c>
      <c r="H160" s="62" t="s">
        <v>2578</v>
      </c>
      <c r="I160" s="62" t="s">
        <v>2799</v>
      </c>
      <c r="J160" s="62" t="s">
        <v>273</v>
      </c>
    </row>
    <row r="161" spans="1:10" ht="15" x14ac:dyDescent="0.25">
      <c r="A161" s="40">
        <v>157</v>
      </c>
      <c r="B161" s="62" t="s">
        <v>2626</v>
      </c>
      <c r="C161" s="62" t="s">
        <v>212</v>
      </c>
      <c r="D161" s="62" t="s">
        <v>2396</v>
      </c>
      <c r="E161" s="62" t="s">
        <v>2397</v>
      </c>
      <c r="F161" s="62">
        <v>60.166600000000003</v>
      </c>
      <c r="G161" s="62">
        <v>60.331499999999998</v>
      </c>
      <c r="H161" s="62" t="s">
        <v>2476</v>
      </c>
      <c r="I161" s="62" t="s">
        <v>2800</v>
      </c>
      <c r="J161" s="62" t="s">
        <v>273</v>
      </c>
    </row>
    <row r="162" spans="1:10" ht="15" x14ac:dyDescent="0.25">
      <c r="A162" s="40">
        <v>158</v>
      </c>
      <c r="B162" s="62" t="s">
        <v>2627</v>
      </c>
      <c r="C162" s="62" t="s">
        <v>214</v>
      </c>
      <c r="D162" s="62" t="s">
        <v>2396</v>
      </c>
      <c r="E162" s="62" t="s">
        <v>2397</v>
      </c>
      <c r="F162" s="62">
        <v>60.346800000000002</v>
      </c>
      <c r="G162" s="62">
        <v>64.600099999999998</v>
      </c>
      <c r="H162" s="62" t="s">
        <v>2589</v>
      </c>
      <c r="I162" s="62" t="s">
        <v>2801</v>
      </c>
      <c r="J162" s="62" t="s">
        <v>273</v>
      </c>
    </row>
    <row r="163" spans="1:10" ht="17.25" customHeight="1" x14ac:dyDescent="0.25">
      <c r="A163" s="40">
        <v>159</v>
      </c>
      <c r="B163" s="62" t="s">
        <v>2628</v>
      </c>
      <c r="C163" s="62" t="s">
        <v>216</v>
      </c>
      <c r="D163" s="62" t="s">
        <v>2396</v>
      </c>
      <c r="E163" s="62" t="s">
        <v>2397</v>
      </c>
      <c r="F163" s="62">
        <v>56.856400000000001</v>
      </c>
      <c r="G163" s="62">
        <v>58.43</v>
      </c>
      <c r="H163" s="62" t="s">
        <v>2589</v>
      </c>
      <c r="I163" s="62" t="s">
        <v>2802</v>
      </c>
      <c r="J163" s="62" t="s">
        <v>273</v>
      </c>
    </row>
    <row r="164" spans="1:10" ht="17.25" customHeight="1" x14ac:dyDescent="0.25">
      <c r="A164" s="40">
        <v>160</v>
      </c>
      <c r="B164" s="62" t="s">
        <v>2629</v>
      </c>
      <c r="C164" s="62" t="s">
        <v>12</v>
      </c>
      <c r="D164" s="62" t="s">
        <v>2396</v>
      </c>
      <c r="E164" s="62" t="s">
        <v>2397</v>
      </c>
      <c r="F164" s="62">
        <v>61.884700000000002</v>
      </c>
      <c r="G164" s="62">
        <v>63.790100000000002</v>
      </c>
      <c r="H164" s="62" t="s">
        <v>2602</v>
      </c>
      <c r="I164" s="62" t="s">
        <v>2803</v>
      </c>
      <c r="J164" s="62" t="s">
        <v>273</v>
      </c>
    </row>
    <row r="165" spans="1:10" ht="17.25" customHeight="1" x14ac:dyDescent="0.25">
      <c r="A165" s="15">
        <v>161</v>
      </c>
      <c r="B165" s="62" t="s">
        <v>2630</v>
      </c>
      <c r="C165" s="62" t="s">
        <v>13</v>
      </c>
      <c r="D165" s="62" t="s">
        <v>2396</v>
      </c>
      <c r="E165" s="62" t="s">
        <v>2397</v>
      </c>
      <c r="F165" s="62">
        <v>60.431800000000003</v>
      </c>
      <c r="G165" s="62">
        <v>64.646100000000004</v>
      </c>
      <c r="H165" s="62" t="s">
        <v>2589</v>
      </c>
      <c r="I165" s="62" t="s">
        <v>2804</v>
      </c>
      <c r="J165" s="62" t="s">
        <v>273</v>
      </c>
    </row>
    <row r="166" spans="1:10" ht="17.25" customHeight="1" x14ac:dyDescent="0.25">
      <c r="A166" s="15">
        <v>162</v>
      </c>
      <c r="B166" s="62" t="s">
        <v>2631</v>
      </c>
      <c r="C166" s="62" t="s">
        <v>220</v>
      </c>
      <c r="D166" s="62" t="s">
        <v>2396</v>
      </c>
      <c r="E166" s="62" t="s">
        <v>2397</v>
      </c>
      <c r="F166" s="62">
        <v>54.212899999999998</v>
      </c>
      <c r="G166" s="62">
        <v>59.194299999999998</v>
      </c>
      <c r="H166" s="62" t="s">
        <v>2476</v>
      </c>
      <c r="I166" s="62" t="s">
        <v>2805</v>
      </c>
      <c r="J166" s="62" t="s">
        <v>273</v>
      </c>
    </row>
    <row r="167" spans="1:10" ht="17.25" customHeight="1" x14ac:dyDescent="0.25">
      <c r="A167" s="15">
        <v>163</v>
      </c>
      <c r="B167" s="62" t="s">
        <v>2632</v>
      </c>
      <c r="C167" s="62" t="s">
        <v>222</v>
      </c>
      <c r="D167" s="62" t="s">
        <v>2396</v>
      </c>
      <c r="E167" s="62" t="s">
        <v>2397</v>
      </c>
      <c r="F167" s="62">
        <v>56.160299999999999</v>
      </c>
      <c r="G167" s="62">
        <v>56.438600000000001</v>
      </c>
      <c r="H167" s="62" t="s">
        <v>2633</v>
      </c>
      <c r="I167" s="62" t="s">
        <v>2806</v>
      </c>
      <c r="J167" s="62" t="s">
        <v>273</v>
      </c>
    </row>
    <row r="168" spans="1:10" ht="17.25" customHeight="1" x14ac:dyDescent="0.25">
      <c r="A168" s="15">
        <v>164</v>
      </c>
      <c r="B168" s="62" t="s">
        <v>2634</v>
      </c>
      <c r="C168" s="62" t="s">
        <v>224</v>
      </c>
      <c r="D168" s="62" t="s">
        <v>2396</v>
      </c>
      <c r="E168" s="62" t="s">
        <v>2397</v>
      </c>
      <c r="F168" s="62">
        <v>55.582599999999999</v>
      </c>
      <c r="G168" s="62">
        <v>59.325899999999997</v>
      </c>
      <c r="H168" s="62" t="s">
        <v>2602</v>
      </c>
      <c r="I168" s="62" t="s">
        <v>2807</v>
      </c>
      <c r="J168" s="62" t="s">
        <v>273</v>
      </c>
    </row>
    <row r="169" spans="1:10" ht="17.25" customHeight="1" x14ac:dyDescent="0.25">
      <c r="A169" s="15">
        <v>165</v>
      </c>
      <c r="B169" s="62" t="s">
        <v>2635</v>
      </c>
      <c r="C169" s="62" t="s">
        <v>226</v>
      </c>
      <c r="D169" s="62" t="s">
        <v>2396</v>
      </c>
      <c r="E169" s="62" t="s">
        <v>2397</v>
      </c>
      <c r="F169" s="62">
        <v>54.611800000000002</v>
      </c>
      <c r="G169" s="62">
        <v>62.084400000000002</v>
      </c>
      <c r="H169" s="62" t="s">
        <v>2476</v>
      </c>
      <c r="I169" s="62" t="s">
        <v>2808</v>
      </c>
      <c r="J169" s="62" t="s">
        <v>273</v>
      </c>
    </row>
    <row r="170" spans="1:10" ht="17.25" customHeight="1" x14ac:dyDescent="0.25">
      <c r="A170" s="15">
        <v>166</v>
      </c>
      <c r="B170" s="62" t="s">
        <v>2636</v>
      </c>
      <c r="C170" s="62" t="s">
        <v>2113</v>
      </c>
      <c r="D170" s="62" t="s">
        <v>2396</v>
      </c>
      <c r="E170" s="62" t="s">
        <v>2397</v>
      </c>
      <c r="F170" s="62">
        <v>100</v>
      </c>
      <c r="G170" s="62">
        <v>105.04049999999999</v>
      </c>
      <c r="H170" s="62" t="s">
        <v>2359</v>
      </c>
      <c r="I170" s="62" t="s">
        <v>2809</v>
      </c>
      <c r="J170" s="62" t="s">
        <v>273</v>
      </c>
    </row>
    <row r="171" spans="1:10" ht="17.25" customHeight="1" x14ac:dyDescent="0.25">
      <c r="A171" s="15">
        <v>167</v>
      </c>
      <c r="B171" s="62" t="s">
        <v>2810</v>
      </c>
      <c r="C171" s="62" t="s">
        <v>2168</v>
      </c>
      <c r="D171" s="62" t="s">
        <v>2375</v>
      </c>
      <c r="E171" s="62" t="s">
        <v>2811</v>
      </c>
      <c r="F171" s="62">
        <v>99.965000000000003</v>
      </c>
      <c r="G171" s="62">
        <v>102.2872</v>
      </c>
      <c r="H171" s="62" t="s">
        <v>2812</v>
      </c>
      <c r="I171" s="62" t="s">
        <v>2813</v>
      </c>
      <c r="J171" s="62" t="s">
        <v>273</v>
      </c>
    </row>
    <row r="172" spans="1:10" ht="17.25" customHeight="1" x14ac:dyDescent="0.25">
      <c r="A172" s="15">
        <v>168</v>
      </c>
      <c r="B172" s="62" t="s">
        <v>2814</v>
      </c>
      <c r="C172" s="62" t="s">
        <v>2365</v>
      </c>
      <c r="D172" s="62" t="s">
        <v>2396</v>
      </c>
      <c r="E172" s="62" t="s">
        <v>2404</v>
      </c>
      <c r="F172" s="62">
        <v>99.4803</v>
      </c>
      <c r="G172" s="62">
        <v>99.4803</v>
      </c>
      <c r="H172" s="62" t="s">
        <v>2815</v>
      </c>
      <c r="I172" s="62" t="s">
        <v>2816</v>
      </c>
      <c r="J172" s="62" t="s">
        <v>273</v>
      </c>
    </row>
    <row r="173" spans="1:10" ht="17.25" customHeight="1" x14ac:dyDescent="0.25">
      <c r="A173" s="15">
        <v>169</v>
      </c>
      <c r="B173" s="62" t="s">
        <v>2817</v>
      </c>
      <c r="C173" s="62" t="s">
        <v>1601</v>
      </c>
      <c r="D173" s="62" t="s">
        <v>2375</v>
      </c>
      <c r="E173" s="62" t="s">
        <v>2405</v>
      </c>
      <c r="F173" s="63">
        <v>3411.6640000000002</v>
      </c>
      <c r="G173" s="63">
        <v>3411.6640000000002</v>
      </c>
      <c r="H173" s="62" t="s">
        <v>345</v>
      </c>
      <c r="I173" s="62" t="s">
        <v>2818</v>
      </c>
      <c r="J173" s="62" t="s">
        <v>2419</v>
      </c>
    </row>
    <row r="174" spans="1:10" ht="17.25" customHeight="1" x14ac:dyDescent="0.25">
      <c r="A174" s="15">
        <v>170</v>
      </c>
      <c r="B174" s="62" t="s">
        <v>2819</v>
      </c>
      <c r="C174" s="62" t="s">
        <v>433</v>
      </c>
      <c r="D174" s="62" t="s">
        <v>2375</v>
      </c>
      <c r="E174" s="62" t="s">
        <v>2406</v>
      </c>
      <c r="F174" s="62">
        <v>96.400199999999998</v>
      </c>
      <c r="G174" s="62">
        <v>96.950199999999995</v>
      </c>
      <c r="H174" s="62" t="s">
        <v>2820</v>
      </c>
      <c r="I174" s="62" t="s">
        <v>2821</v>
      </c>
      <c r="J174" s="62" t="s">
        <v>273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3F5C783-53A3-45FF-BDAE-6F5ABD8CD765}"/>
    <hyperlink ref="E5" r:id="rId2" display="https://kase.kz/ru/listing/issuers/AIRA" xr:uid="{7C00DB1F-3C38-4AB5-A1E2-9248FA51CCA7}"/>
    <hyperlink ref="B6" r:id="rId3" display="https://kase.kz/ru/investors/depts/AIRAd" xr:uid="{D811E139-8B10-490C-B699-050E88DD66EC}"/>
    <hyperlink ref="E6" r:id="rId4" display="https://kase.kz/ru/listing/issuers/AIRA" xr:uid="{70D3DD3E-9090-4614-8F99-58625DABC91C}"/>
    <hyperlink ref="B7" r:id="rId5" display="https://kase.kz/ru/investors/shares/AKZM" xr:uid="{A543F56D-F22B-4F1F-9372-577CE2D9279B}"/>
    <hyperlink ref="E7" r:id="rId6" display="https://kase.kz/ru/listing/issuers/AKZM" xr:uid="{91EC8D82-CEB5-437C-BB61-F118387D7D2E}"/>
    <hyperlink ref="B8" r:id="rId7" display="https://kase.kz/ru/investors/bonds/ALMSb1" xr:uid="{DAEE1BE3-1CA0-46D6-9CC2-2C1818A87C94}"/>
    <hyperlink ref="E8" r:id="rId8" display="https://kase.kz/ru/listing/issuers/ALMS" xr:uid="{14FAB296-A486-4D9A-ABE1-9239131E2A6F}"/>
    <hyperlink ref="B9" r:id="rId9" display="https://kase.kz/ru/investors/mifs/BCCIbe" xr:uid="{D421F50A-3643-470E-AE4F-07A7C93905B5}"/>
    <hyperlink ref="E9" r:id="rId10" display="https://kase.kz/ru/listing/issuers/BCCI" xr:uid="{797FD0DF-431A-4E47-ACFD-496593E1AC93}"/>
    <hyperlink ref="B10" r:id="rId11" display="https://kase.kz/ru/investors/mifs/BCCIrb" xr:uid="{C26B6E65-D4F8-4C1C-93E6-C4F8A1877BA6}"/>
    <hyperlink ref="E10" r:id="rId12" display="https://kase.kz/ru/listing/issuers/BCCI" xr:uid="{C81FB9E7-DE68-4C6E-AC7B-5434D160A11E}"/>
    <hyperlink ref="B11" r:id="rId13" display="https://kase.kz/ru/investors/bonds/BIGDb5" xr:uid="{113DACC2-36CF-4FA3-BA8D-43FF0A30B191}"/>
    <hyperlink ref="E11" r:id="rId14" display="https://kase.kz/ru/listing/issuers/BIGD" xr:uid="{978CEF6E-AB6F-4DB4-964C-04D4B1FA9B17}"/>
    <hyperlink ref="B12" r:id="rId15" display="https://kase.kz/ru/investors/bonds/BRKZe18" xr:uid="{DEC852BC-B929-4103-BCC1-F00DC4F3C123}"/>
    <hyperlink ref="E12" r:id="rId16" display="https://kase.kz/ru/listing/issuers/BRKZ" xr:uid="{FF027BE8-0925-4337-8290-1623064D99BC}"/>
    <hyperlink ref="B13" r:id="rId17" display="https://kase.kz/ru/investors/bonds/BTRKe1" xr:uid="{88E78CE0-8168-4931-8D48-287643F659FF}"/>
    <hyperlink ref="E13" r:id="rId18" display="https://kase.kz/ru/listing/issuers/BTRK" xr:uid="{CF3F8C3D-7714-4BAC-9DE3-742212C2F807}"/>
    <hyperlink ref="B14" r:id="rId19" display="https://kase.kz/ru/investors/shares/CCBN" xr:uid="{AC337EA6-EB59-48EF-836B-4809E8DF93BA}"/>
    <hyperlink ref="E14" r:id="rId20" display="https://kase.kz/ru/listing/issuers/CCBN" xr:uid="{E571D589-8000-46B8-8802-749069637DE5}"/>
    <hyperlink ref="B15" r:id="rId21" display="https://kase.kz/ru/investors/shares/CCBNp" xr:uid="{2E82B277-7623-4715-B18E-AACD64C25268}"/>
    <hyperlink ref="E15" r:id="rId22" display="https://kase.kz/ru/listing/issuers/CCBN" xr:uid="{0A7B4958-3309-44FE-B513-F801E9BE3FC5}"/>
    <hyperlink ref="B16" r:id="rId23" display="https://kase.kz/ru/investors/bonds/CLSGb6" xr:uid="{F7EAC248-3AAA-471D-A66C-ACAF28F2AAAC}"/>
    <hyperlink ref="E16" r:id="rId24" display="https://kase.kz/ru/listing/issuers/CLSG" xr:uid="{3225C13C-7578-4465-9360-43C7B4747BAC}"/>
    <hyperlink ref="B17" r:id="rId25" display="https://kase.kz/ru/investors/mifs/CSECfe" xr:uid="{941083EE-10E3-44B4-9C25-F952C795008D}"/>
    <hyperlink ref="E17" r:id="rId26" display="https://kase.kz/ru/listing/issuers/CSEC" xr:uid="{93A5A5C8-B1B1-4AA4-B951-27570C9AB6EE}"/>
    <hyperlink ref="B18" r:id="rId27" display="https://kase.kz/ru/investors/mifs/CSECtf" xr:uid="{0971883A-3462-4008-877E-0258601702ED}"/>
    <hyperlink ref="E18" r:id="rId28" display="https://kase.kz/ru/listing/issuers/CSEC" xr:uid="{E13D7766-EE0E-4CEE-B01A-037D37D2CD12}"/>
    <hyperlink ref="B19" r:id="rId29" display="https://kase.kz/ru/investors/bonds/EABRb40" xr:uid="{AF5F359F-0410-4EC7-B5C4-7C8211409A0E}"/>
    <hyperlink ref="E19" r:id="rId30" display="https://kase.kz/ru/listing/issuers/EABR" xr:uid="{079EA76D-ADFE-4A77-B3D2-C49FC0A0136F}"/>
    <hyperlink ref="B20" r:id="rId31" display="https://kase.kz/ru/investors/bonds/EABRb42" xr:uid="{5B0F2F46-522A-48E1-90A2-BBE33C0D2751}"/>
    <hyperlink ref="E20" r:id="rId32" display="https://kase.kz/ru/listing/issuers/EABR" xr:uid="{769F4EC1-9F4C-4182-8827-5B60D9934454}"/>
    <hyperlink ref="B21" r:id="rId33" display="https://kase.kz/ru/investors/bonds/EABRb53" xr:uid="{FE2BBE6D-E7EC-4D6A-92E6-B4B679387D88}"/>
    <hyperlink ref="E21" r:id="rId34" display="https://kase.kz/ru/listing/issuers/EABR" xr:uid="{2D08101E-1A1B-450D-8D67-9E1394CD0704}"/>
    <hyperlink ref="B22" r:id="rId35" display="https://kase.kz/ru/investors/mifs/FFIN_or" xr:uid="{D0F6A316-9A4E-4F8B-B947-F205C1EA9CE7}"/>
    <hyperlink ref="E22" r:id="rId36" display="https://kase.kz/ru/listing/issuers/FFIN" xr:uid="{1C159795-0FA1-436F-A631-31DC18383D2E}"/>
    <hyperlink ref="B23" r:id="rId37" display="https://kase.kz/ru/investors/mifs/FFINgw" xr:uid="{1F185ED7-9DD6-4C0B-B01C-A8F2CBFC4120}"/>
    <hyperlink ref="E23" r:id="rId38" display="https://kase.kz/ru/listing/issuers/FFIN" xr:uid="{D0C87744-B803-4527-BC00-AE8ABB9898AE}"/>
    <hyperlink ref="B24" r:id="rId39" display="https://kase.kz/ru/investors/mifs/FHJIag" xr:uid="{E0BC7738-7585-4ED3-A10A-8FB3BD365965}"/>
    <hyperlink ref="E24" r:id="rId40" display="https://kase.kz/ru/listing/issuers/FHJI" xr:uid="{1DF7A983-C0F6-484D-A763-86210C151B38}"/>
    <hyperlink ref="B25" r:id="rId41" display="https://kase.kz/ru/investors/mifs/FHJIpc" xr:uid="{57F68401-89B3-4E22-AAEA-828DB66B45D2}"/>
    <hyperlink ref="E25" r:id="rId42" display="https://kase.kz/ru/listing/issuers/FHJI" xr:uid="{887F3D38-9BAD-4E7C-88F9-6EA8A6958B92}"/>
    <hyperlink ref="B26" r:id="rId43" display="https://kase.kz/ru/investors/bonds/HCBNb13" xr:uid="{69BD33DB-F2B9-4C9C-8266-F0BA38E25BFE}"/>
    <hyperlink ref="E26" r:id="rId44" display="https://kase.kz/ru/listing/issuers/HCBN" xr:uid="{74191656-6F22-4AC4-9CF8-4A0E18EC257F}"/>
    <hyperlink ref="B27" r:id="rId45" display="https://kase.kz/ru/investors/bonds/HCBNb9" xr:uid="{D4DE5D02-AC75-40A2-840C-05763224CE7D}"/>
    <hyperlink ref="E27" r:id="rId46" display="https://kase.kz/ru/listing/issuers/HCBN" xr:uid="{A0CF6091-0AB6-43FA-83DF-5A6D68B225E9}"/>
    <hyperlink ref="B28" r:id="rId47" display="https://kase.kz/ru/investors/mifs/HFINhl" xr:uid="{AFB91DB0-0FB4-4E5B-B076-02C6684DC883}"/>
    <hyperlink ref="E28" r:id="rId48" display="https://kase.kz/ru/listing/issuers/HFIN" xr:uid="{9F78660E-1540-4CC7-A66C-E5BEE4966D26}"/>
    <hyperlink ref="B29" r:id="rId49" display="https://kase.kz/ru/investors/mifs/HFINhp" xr:uid="{7F5FD6F5-F31F-4535-A37A-7331250512AF}"/>
    <hyperlink ref="E29" r:id="rId50" display="https://kase.kz/ru/listing/issuers/HFIN" xr:uid="{07E185A9-B1EC-47B9-8451-4104655F19CD}"/>
    <hyperlink ref="B30" r:id="rId51" display="https://kase.kz/ru/investors/mifs/HFINhs" xr:uid="{348087B9-2549-453A-8CA8-B0E921A5ADB8}"/>
    <hyperlink ref="E30" r:id="rId52" display="https://kase.kz/ru/listing/issuers/HFIN" xr:uid="{0B0CCAF3-4815-4B82-83D8-9DA4E470CDEB}"/>
    <hyperlink ref="B31" r:id="rId53" display="https://kase.kz/ru/investors/mifs/HFINhv" xr:uid="{710138B8-2322-45EE-ABEA-9A07AC53F0FC}"/>
    <hyperlink ref="E31" r:id="rId54" display="https://kase.kz/ru/listing/issuers/HFIN" xr:uid="{6A1CE437-CC88-492A-AB5B-3CD89B14AE40}"/>
    <hyperlink ref="B32" r:id="rId55" display="https://kase.kz/ru/investors/shares/HSBK" xr:uid="{E20CB4BA-4844-4ED0-B515-EB78635AFAA5}"/>
    <hyperlink ref="E32" r:id="rId56" display="https://kase.kz/ru/listing/issuers/HSBK" xr:uid="{AC68B0BA-0569-46A7-8744-1BCAF1FD582E}"/>
    <hyperlink ref="B33" r:id="rId57" display="https://kase.kz/ru/investors/depts/HSBKd" xr:uid="{F5D5DE36-6ED0-497E-9E64-195BC5DA2244}"/>
    <hyperlink ref="E33" r:id="rId58" display="https://kase.kz/ru/listing/issuers/HSBK" xr:uid="{4FD8F63D-13BC-4810-8E56-DA9615F255B3}"/>
    <hyperlink ref="B34" r:id="rId59" display="https://kase.kz/ru/investors/shares/IFDR" xr:uid="{0F5AEFD6-FFB0-4AE4-AAE0-2B26E571A312}"/>
    <hyperlink ref="E34" r:id="rId60" display="https://kase.kz/ru/listing/issuers/TCIB" xr:uid="{CBC6A76C-F606-4926-8A9A-0B61E10C896F}"/>
    <hyperlink ref="B35" r:id="rId61" display="https://kase.kz/ru/investors/shares/KCEL" xr:uid="{22C1C1DC-E143-4CBF-804A-D71EF0C24AA0}"/>
    <hyperlink ref="E35" r:id="rId62" display="https://kase.kz/ru/listing/issuers/KCEL" xr:uid="{EADE569B-055B-48EA-AAE1-E2293793BD2C}"/>
    <hyperlink ref="B36" r:id="rId63" display="https://kase.kz/ru/investors/shares/KEGC" xr:uid="{0B79E584-EFAD-4587-9AFC-14BAC836FB20}"/>
    <hyperlink ref="E36" r:id="rId64" display="https://kase.kz/ru/listing/issuers/KEGC" xr:uid="{C15D5413-545F-473B-8C5F-6F85555507D8}"/>
    <hyperlink ref="B37" r:id="rId65" display="https://kase.kz/ru/investors/bonds/KFUSb45" xr:uid="{522DBFDF-DF1A-4386-A672-A9829C83289C}"/>
    <hyperlink ref="E37" r:id="rId66" display="https://kase.kz/ru/listing/issuers/KFUS" xr:uid="{B5786DEF-3344-4FA9-8BAD-B671FB38EDD8}"/>
    <hyperlink ref="B38" r:id="rId67" display="https://kase.kz/ru/investors/shares/KMGZ" xr:uid="{58326633-CCF2-4940-85B9-C3A9068240E3}"/>
    <hyperlink ref="E38" r:id="rId68" display="https://kase.kz/ru/listing/issuers/KMGZ" xr:uid="{183B0C01-1535-4E73-ADFF-B87CCA8A1C73}"/>
    <hyperlink ref="B39" r:id="rId69" display="https://kase.kz/ru/investors/bonds/KMGZe12" xr:uid="{B7CC7C10-B91D-4B76-AB54-81FF6590E2CC}"/>
    <hyperlink ref="E39" r:id="rId70" display="https://kase.kz/ru/listing/issuers/KMGZ" xr:uid="{BC1FF73B-8270-4B89-B8EA-1B3FED4366BB}"/>
    <hyperlink ref="B40" r:id="rId71" display="https://kase.kz/ru/investors/bonds/KMGZe14" xr:uid="{F6E5B53D-80C0-4033-A70C-DF20364855A0}"/>
    <hyperlink ref="E40" r:id="rId72" display="https://kase.kz/ru/listing/issuers/KMGZ" xr:uid="{38FA9AB9-2F57-4D1C-A7B1-64F2AC78DA24}"/>
    <hyperlink ref="B41" r:id="rId73" display="https://kase.kz/ru/investors/bonds/KMGZe15" xr:uid="{D1B4C0A3-A0A0-4017-8127-C48056D7670E}"/>
    <hyperlink ref="E41" r:id="rId74" display="https://kase.kz/ru/listing/issuers/KMGZ" xr:uid="{2876F1C8-A367-47DF-8930-3AB25E6EA77F}"/>
    <hyperlink ref="B42" r:id="rId75" display="https://kase.kz/ru/investors/bonds/KMGZe16" xr:uid="{06543B1F-7B61-45EB-B91D-8D9480559DBD}"/>
    <hyperlink ref="E42" r:id="rId76" display="https://kase.kz/ru/listing/issuers/KMGZ" xr:uid="{2DF782A7-FC75-44F1-8A0E-983914723DB3}"/>
    <hyperlink ref="B43" r:id="rId77" display="https://kase.kz/ru/investors/shares/KSPI" xr:uid="{BF5ECCFD-F3BE-464A-BC1A-7A189DFB5BD1}"/>
    <hyperlink ref="E43" r:id="rId78" display="https://kase.kz/ru/listing/issuers/KSPI" xr:uid="{047AB2F1-EE42-4411-AF92-73C4363E808D}"/>
    <hyperlink ref="B44" r:id="rId79" display="https://kase.kz/ru/investors/depts/KSPId" xr:uid="{9B33EAE4-1717-437F-B9D8-DF39DFFB344A}"/>
    <hyperlink ref="E44" r:id="rId80" display="https://kase.kz/ru/listing/issuers/KSPI" xr:uid="{8CB10F1F-E92D-4287-8CF7-A63A57297116}"/>
    <hyperlink ref="B45" r:id="rId81" display="https://kase.kz/ru/investors/shares/KZAP" xr:uid="{B0E1E074-AE7E-4ADC-BB07-A31FB933BB02}"/>
    <hyperlink ref="E45" r:id="rId82" display="https://kase.kz/ru/listing/issuers/KZAP" xr:uid="{107E9926-2AE2-44E1-A625-F7FC56150A93}"/>
    <hyperlink ref="B46" r:id="rId83" display="https://kase.kz/ru/investors/bonds/KZTCb3" xr:uid="{3AD2E832-2892-407D-A696-5A5FCAF58F4A}"/>
    <hyperlink ref="E46" r:id="rId84" display="https://kase.kz/ru/listing/issuers/KZTC" xr:uid="{37276A5B-FB18-4C32-B4B2-25D0765BD23D}"/>
    <hyperlink ref="B47" r:id="rId85" display="https://kase.kz/ru/investors/shares/KZTK" xr:uid="{CFC949AD-58EE-4DFA-B24A-F5E7F8095BF7}"/>
    <hyperlink ref="E47" r:id="rId86" display="https://kase.kz/ru/listing/issuers/KZTK" xr:uid="{5177C590-8274-45EA-B068-47F7DEAC4480}"/>
    <hyperlink ref="B48" r:id="rId87" display="https://kase.kz/ru/investors/shares/KZTKp" xr:uid="{D3F5EBF8-AED2-49DB-BE6F-6AF47693178D}"/>
    <hyperlink ref="E48" r:id="rId88" display="https://kase.kz/ru/listing/issuers/KZTK" xr:uid="{12FDADEA-8F0C-40F4-99D1-95521D6160FC}"/>
    <hyperlink ref="B49" r:id="rId89" display="https://kase.kz/ru/investors/shares/KZTO" xr:uid="{9D52047E-8F2F-4CC9-87F9-1D65BA3F419D}"/>
    <hyperlink ref="E49" r:id="rId90" display="https://kase.kz/ru/listing/issuers/KZTO" xr:uid="{9919FC69-19ED-473B-A2D0-2E57ED2F1110}"/>
    <hyperlink ref="B50" r:id="rId91" display="https://kase.kz/ru/investors/gsecs/KZ_23_3504" xr:uid="{AD61BF90-1835-456A-8EB9-2FBB6B6167DF}"/>
    <hyperlink ref="E50" r:id="rId92" display="https://kase.kz/ru/listing/issuers/MFRK" xr:uid="{3B68616C-6EE7-4D73-AC36-C4768B19932B}"/>
    <hyperlink ref="B51" r:id="rId93" display="https://kase.kz/ru/investors/bonds/MFMCb2" xr:uid="{64E10523-89A3-4A0E-B720-56692EDEEE20}"/>
    <hyperlink ref="E51" r:id="rId94" display="https://kase.kz/ru/listing/issuers/MFMC" xr:uid="{65AE202D-B1F0-48DE-A864-EBDF1610368D}"/>
    <hyperlink ref="B52" r:id="rId95" display="https://kase.kz/ru/investors/bonds/MFMOb10" xr:uid="{CACC493A-28DF-47DE-A2EA-B5BB862046FB}"/>
    <hyperlink ref="E52" r:id="rId96" display="https://kase.kz/ru/listing/issuers/MFMO" xr:uid="{2F58D271-BF29-44A4-BD97-07D0DF127CFD}"/>
    <hyperlink ref="B53" r:id="rId97" display="https://kase.kz/ru/investors/bonds/MFMOb17" xr:uid="{17FA9BB4-5C96-4A7A-95E4-2620273C0CDF}"/>
    <hyperlink ref="E53" r:id="rId98" display="https://kase.kz/ru/listing/issuers/MFMO" xr:uid="{0024154D-E10E-42A0-91C9-D6B43A8A6954}"/>
    <hyperlink ref="B54" r:id="rId99" display="https://kase.kz/ru/investors/bonds/MFMOb22" xr:uid="{D8D1CDE5-1CB4-44E0-9F40-1A79FD090A2C}"/>
    <hyperlink ref="E54" r:id="rId100" display="https://kase.kz/ru/listing/issuers/MFMO" xr:uid="{417E1FD8-E8F8-4F4F-9767-4731B821D0C9}"/>
    <hyperlink ref="B55" r:id="rId101" display="https://kase.kz/ru/investors/bonds/MFMOb23" xr:uid="{F38AAFAD-7800-4DA3-8499-C3E34E0F4222}"/>
    <hyperlink ref="E55" r:id="rId102" display="https://kase.kz/ru/listing/issuers/MFMO" xr:uid="{DA95FF26-F723-4F04-B214-B2A105A5B354}"/>
    <hyperlink ref="B56" r:id="rId103" display="https://kase.kz/ru/investors/bonds/MFMOb28" xr:uid="{9CF7CD3D-CC19-4F01-83B8-D87CA229DA49}"/>
    <hyperlink ref="E56" r:id="rId104" display="https://kase.kz/ru/listing/issuers/MFMO" xr:uid="{27BE886A-26B5-4767-81ED-97E8AE540BCC}"/>
    <hyperlink ref="B57" r:id="rId105" display="https://kase.kz/ru/investors/bonds/MFOKb16" xr:uid="{CCBAE3D7-A897-4D5C-87D8-82FD4FCEC4D2}"/>
    <hyperlink ref="E57" r:id="rId106" display="https://kase.kz/ru/listing/issuers/MFOK" xr:uid="{8025358A-C007-4E5F-850B-4176850A0281}"/>
    <hyperlink ref="B58" r:id="rId107" display="https://kase.kz/ru/investors/bonds/MFOKb18" xr:uid="{556FA059-1F73-43A9-9765-D81E71711E95}"/>
    <hyperlink ref="E58" r:id="rId108" display="https://kase.kz/ru/listing/issuers/MFOK" xr:uid="{708826EE-6C2F-4CB9-8507-5244411B2813}"/>
    <hyperlink ref="B59" r:id="rId109" display="https://kase.kz/ru/investors/bonds/MFOKb19" xr:uid="{9FA8374D-39EE-4E7A-900C-C014CD058807}"/>
    <hyperlink ref="E59" r:id="rId110" display="https://kase.kz/ru/listing/issuers/MFOK" xr:uid="{35760E5E-9D9A-4E07-8FFA-1112B270F285}"/>
    <hyperlink ref="B60" r:id="rId111" display="https://kase.kz/ru/investors/bonds/MFOKb20" xr:uid="{815D3DB7-535B-4CD2-A6D1-B477EFBD729D}"/>
    <hyperlink ref="E60" r:id="rId112" display="https://kase.kz/ru/listing/issuers/MFOK" xr:uid="{DA764E55-E3E3-4C2B-B85B-DB85E65DE633}"/>
    <hyperlink ref="B61" r:id="rId113" display="https://kase.kz/ru/investors/bonds/MFOKb21" xr:uid="{680D513D-1817-47AD-932B-DEF173B40156}"/>
    <hyperlink ref="E61" r:id="rId114" display="https://kase.kz/ru/listing/issuers/MFOK" xr:uid="{830D17E9-32C7-4A9B-AFF7-F77031891237}"/>
    <hyperlink ref="B62" r:id="rId115" display="https://kase.kz/ru/investors/bonds/MFOKb22" xr:uid="{A3AFB98A-9BBA-4FB3-87A6-DDEDA52534AB}"/>
    <hyperlink ref="E62" r:id="rId116" display="https://kase.kz/ru/listing/issuers/MFOK" xr:uid="{309C42C5-7D64-4894-9225-86A139A51257}"/>
    <hyperlink ref="B63" r:id="rId117" display="https://kase.kz/ru/investors/bonds/MFOKb24" xr:uid="{42C5C9C7-483D-4AE5-B765-8B1A75730F64}"/>
    <hyperlink ref="E63" r:id="rId118" display="https://kase.kz/ru/listing/issuers/MFOK" xr:uid="{6E2CC134-64F3-459A-8AAD-1D11C9758897}"/>
    <hyperlink ref="B64" r:id="rId119" display="https://kase.kz/ru/investors/bonds/MFOKb25" xr:uid="{B4329EFE-D88E-4CB5-8BF0-CFD3CF44CCDF}"/>
    <hyperlink ref="E64" r:id="rId120" display="https://kase.kz/ru/listing/issuers/MFOK" xr:uid="{7A8C1BDE-D2F5-47C1-8E1A-BA5842B1018F}"/>
    <hyperlink ref="B65" r:id="rId121" display="https://kase.kz/ru/investors/bonds/MFOKb26" xr:uid="{41B6D212-D786-4470-AAD9-DB9EA7A800B5}"/>
    <hyperlink ref="E65" r:id="rId122" display="https://kase.kz/ru/listing/issuers/MFOK" xr:uid="{ED71079B-B177-47FA-B361-18D2CF837439}"/>
    <hyperlink ref="B66" r:id="rId123" display="https://kase.kz/ru/investors/bonds/MFRFb12" xr:uid="{08518502-5AD4-40E6-90EB-5ACFF86EE16B}"/>
    <hyperlink ref="E66" r:id="rId124" display="https://kase.kz/ru/listing/issuers/MFRF" xr:uid="{BF2B1988-2A6A-4014-B7A6-4F915679E849}"/>
    <hyperlink ref="B67" r:id="rId125" display="https://kase.kz/ru/investors/bonds/MFRFb13" xr:uid="{B3FA6153-3515-4462-8C6E-EF28BC2ECF72}"/>
    <hyperlink ref="E67" r:id="rId126" display="https://kase.kz/ru/listing/issuers/MFRF" xr:uid="{C7BFFE14-4792-42EA-A916-4D283701EBA2}"/>
    <hyperlink ref="B68" r:id="rId127" display="https://kase.kz/ru/investors/bonds/MFRFb14" xr:uid="{55C5EA68-165E-47DB-85B3-851072247C8F}"/>
    <hyperlink ref="E68" r:id="rId128" display="https://kase.kz/ru/listing/issuers/MFRF" xr:uid="{4E879277-4556-4F4C-B1C6-D1F37BF714D6}"/>
    <hyperlink ref="B69" r:id="rId129" display="https://kase.kz/ru/investors/bonds/MFRFb16" xr:uid="{B630FF33-9C51-4068-B42B-6608DEEF6993}"/>
    <hyperlink ref="E69" r:id="rId130" display="https://kase.kz/ru/listing/issuers/MFRF" xr:uid="{059AF8F7-EB8D-483B-9C80-AB3FABBEF33B}"/>
    <hyperlink ref="B70" r:id="rId131" display="https://kase.kz/ru/investors/bonds/MFRFb18" xr:uid="{54ACA2E3-D901-40ED-B567-C80EAAFB45F0}"/>
    <hyperlink ref="E70" r:id="rId132" display="https://kase.kz/ru/listing/issuers/MFRF" xr:uid="{03144E53-8EF4-4948-81E0-5D5384AE1CEC}"/>
    <hyperlink ref="B71" r:id="rId133" display="https://kase.kz/ru/investors/bonds/MFRFb19" xr:uid="{83AACAB2-C2E2-406F-A5ED-874811708405}"/>
    <hyperlink ref="E71" r:id="rId134" display="https://kase.kz/ru/listing/issuers/MFRF" xr:uid="{65C18C6E-ACDC-4E36-9B9E-D121F8D95BC0}"/>
    <hyperlink ref="B72" r:id="rId135" display="https://kase.kz/ru/investors/bonds/MFSCb4" xr:uid="{FA3349FE-F39B-4EAD-8589-9D0A3EC672F4}"/>
    <hyperlink ref="E72" r:id="rId136" display="https://kase.kz/ru/listing/issuers/MFSC" xr:uid="{56F873BF-CBE8-4A61-99AA-F9CA411FABC4}"/>
    <hyperlink ref="B73" r:id="rId137" display="https://kase.kz/ru/investors/gsecs/MKM012_0159" xr:uid="{5CC50DD4-9EE5-4D88-B29D-5843C59C317C}"/>
    <hyperlink ref="E73" r:id="rId138" display="https://kase.kz/ru/listing/issuers/MFRK" xr:uid="{21574AA1-26E4-4C52-99FB-BF82801D306B}"/>
    <hyperlink ref="B74" r:id="rId139" display="https://kase.kz/ru/investors/gsecs/MKM012_0160" xr:uid="{FF5F116C-60D8-44CC-BD44-A12ED9F1A768}"/>
    <hyperlink ref="E74" r:id="rId140" display="https://kase.kz/ru/listing/issuers/MFRK" xr:uid="{81D12E9C-9145-4DB5-A61F-E5BBF26AC40A}"/>
    <hyperlink ref="B75" r:id="rId141" display="https://kase.kz/ru/investors/gsecs/MKM012_0161" xr:uid="{48B7D646-9B3E-4A15-8597-6E16135C978E}"/>
    <hyperlink ref="E75" r:id="rId142" display="https://kase.kz/ru/listing/issuers/MFRK" xr:uid="{922791F7-96A5-443A-B489-2BD9E3C0D41B}"/>
    <hyperlink ref="B76" r:id="rId143" display="https://kase.kz/ru/investors/gsecs/MOM048_0052" xr:uid="{26CDC0EE-07CD-46E6-B493-BAD7B8439612}"/>
    <hyperlink ref="E76" r:id="rId144" display="https://kase.kz/ru/listing/issuers/MFRK" xr:uid="{21A3F1EF-E635-43FC-AAC2-AEFE68B12005}"/>
    <hyperlink ref="B77" r:id="rId145" display="https://kase.kz/ru/investors/gsecs/MOM048_0053" xr:uid="{983909F9-B459-4879-B1A0-39E8D6826EBA}"/>
    <hyperlink ref="E77" r:id="rId146" display="https://kase.kz/ru/listing/issuers/MFRK" xr:uid="{C7EB47CC-4D4D-4F5C-B326-E314F215A467}"/>
    <hyperlink ref="B78" r:id="rId147" display="https://kase.kz/ru/investors/gsecs/MOM048_0054" xr:uid="{98153B68-0CC2-4D3E-B1D7-87C75B4EEA90}"/>
    <hyperlink ref="E78" r:id="rId148" display="https://kase.kz/ru/listing/issuers/MFRK" xr:uid="{2A63303C-EF2F-4522-8EE0-B6F168034E80}"/>
    <hyperlink ref="B79" r:id="rId149" display="https://kase.kz/ru/investors/gsecs/MOM060_0052" xr:uid="{419A5E39-FB9F-498A-9D69-5431B138B8E0}"/>
    <hyperlink ref="E79" r:id="rId150" display="https://kase.kz/ru/listing/issuers/MFRK" xr:uid="{94E7FE8F-A4B4-4E58-8FBD-76D0454E0D53}"/>
    <hyperlink ref="B80" r:id="rId151" display="https://kase.kz/ru/investors/gsecs/MOM060_0054" xr:uid="{2FB3AB5E-A4AD-4149-9C15-F140E90F68D6}"/>
    <hyperlink ref="E80" r:id="rId152" display="https://kase.kz/ru/listing/issuers/MFRK" xr:uid="{4D943C82-6045-417E-A9F8-49771B891C08}"/>
    <hyperlink ref="B81" r:id="rId153" display="https://kase.kz/ru/investors/gsecs/MTC048_0001" xr:uid="{D4E0D669-9585-40D5-887F-ABE2458231CC}"/>
    <hyperlink ref="E81" r:id="rId154" display="https://kase.kz/ru/listing/issuers/MFRK" xr:uid="{53224EEC-F692-475F-ADD0-5B13E246F5AF}"/>
    <hyperlink ref="B82" r:id="rId155" display="https://kase.kz/ru/investors/gsecs/MTM036_0001" xr:uid="{A2779A75-AF81-42FD-84D1-176A9710CF72}"/>
    <hyperlink ref="E82" r:id="rId156" display="https://kase.kz/ru/listing/issuers/MFRK" xr:uid="{B492A916-E411-4B1D-B84C-A601BA07B15E}"/>
    <hyperlink ref="B83" r:id="rId157" display="https://kase.kz/ru/investors/gsecs/MTM048_0001" xr:uid="{12C69FA6-3368-4033-A9FE-3829AA2B3580}"/>
    <hyperlink ref="E83" r:id="rId158" display="https://kase.kz/ru/listing/issuers/MFRK" xr:uid="{D5D878CA-5065-42F6-98AE-C61774F47AD7}"/>
    <hyperlink ref="B84" r:id="rId159" display="https://kase.kz/ru/investors/gsecs/MTM060_0001" xr:uid="{5F6C2154-3F89-4BEA-B044-14742D2AA717}"/>
    <hyperlink ref="E84" r:id="rId160" display="https://kase.kz/ru/listing/issuers/MFRK" xr:uid="{EF901EEA-C3DB-47ED-828F-2E97F794FAE3}"/>
    <hyperlink ref="B85" r:id="rId161" display="https://kase.kz/ru/investors/gsecs/MTM072_0001" xr:uid="{B8AD3FBA-EE5E-4942-9CB0-5357DEAC7996}"/>
    <hyperlink ref="E85" r:id="rId162" display="https://kase.kz/ru/listing/issuers/MFRK" xr:uid="{3421C920-494E-4295-9BE9-887C5F013982}"/>
    <hyperlink ref="B86" r:id="rId163" display="https://kase.kz/ru/investors/gsecs/MTM084_0001" xr:uid="{208AB5EE-186E-4344-8328-6D897330B6A7}"/>
    <hyperlink ref="E86" r:id="rId164" display="https://kase.kz/ru/listing/issuers/MFRK" xr:uid="{8EBEA68A-C17B-485D-A204-41ACEC0DD017}"/>
    <hyperlink ref="B87" r:id="rId165" display="https://kase.kz/ru/investors/gsecs/MTM096_0001" xr:uid="{2A18B162-E3B6-44D8-9C5F-8D68A1DF4F65}"/>
    <hyperlink ref="E87" r:id="rId166" display="https://kase.kz/ru/listing/issuers/MFRK" xr:uid="{D40EC32F-61CC-4C60-B324-185E305951E5}"/>
    <hyperlink ref="B88" r:id="rId167" display="https://kase.kz/ru/investors/gsecs/MUJ144_0005" xr:uid="{65D99E4E-F7CA-44F1-84F5-E0ECDFBDD950}"/>
    <hyperlink ref="E88" r:id="rId168" display="https://kase.kz/ru/listing/issuers/MFRK" xr:uid="{F77156FD-9B8A-4FF0-AECD-A4BDF6659EE6}"/>
    <hyperlink ref="B89" r:id="rId169" display="https://kase.kz/ru/investors/gsecs/MUJ156_0004" xr:uid="{C1A87D0C-0093-4B8B-8A3B-5B3C7AE51465}"/>
    <hyperlink ref="E89" r:id="rId170" display="https://kase.kz/ru/listing/issuers/MFRK" xr:uid="{4821D559-2844-417C-8D0E-844B63F20874}"/>
    <hyperlink ref="B90" r:id="rId171" display="https://kase.kz/ru/investors/gsecs/MUJ168_0004" xr:uid="{A7A2790D-E08F-4140-A0D6-B4C5DBDDC709}"/>
    <hyperlink ref="E90" r:id="rId172" display="https://kase.kz/ru/listing/issuers/MFRK" xr:uid="{CCB99EAE-E0A7-453B-8F0E-4CD0B26B5F7B}"/>
    <hyperlink ref="B91" r:id="rId173" display="https://kase.kz/ru/investors/gsecs/MUJ168_0005" xr:uid="{70A821A1-9AC6-48B8-B0FA-51DFB8D31D74}"/>
    <hyperlink ref="E91" r:id="rId174" display="https://kase.kz/ru/listing/issuers/MFRK" xr:uid="{4C42F442-9A92-41F3-92A5-C0C75437CD10}"/>
    <hyperlink ref="B92" r:id="rId175" display="https://kase.kz/ru/investors/gsecs/MUJ180_0007" xr:uid="{01916721-7AE7-453A-B7FA-7C76A56D2C95}"/>
    <hyperlink ref="E92" r:id="rId176" display="https://kase.kz/ru/listing/issuers/MFRK" xr:uid="{C5B0FD50-94AF-4757-BF00-50BB3B742075}"/>
    <hyperlink ref="B93" r:id="rId177" display="https://kase.kz/ru/investors/gsecs/MUJ180_0008" xr:uid="{CE960334-0705-4F5C-A739-2F52CB4DC148}"/>
    <hyperlink ref="E93" r:id="rId178" display="https://kase.kz/ru/listing/issuers/MFRK" xr:uid="{E2BC164A-C281-4DEB-A8AE-21BD2F69AC9D}"/>
    <hyperlink ref="B94" r:id="rId179" display="https://kase.kz/ru/investors/gsecs/MUJ192_0002" xr:uid="{A3EDA568-715C-4666-9155-CBA5F25925BE}"/>
    <hyperlink ref="E94" r:id="rId180" display="https://kase.kz/ru/listing/issuers/MFRK" xr:uid="{C331B031-3CD0-41DB-84ED-0914945FF4B2}"/>
    <hyperlink ref="B95" r:id="rId181" display="https://kase.kz/ru/investors/gsecs/MUJ192_0003" xr:uid="{CA92E39C-2667-40E1-A8C7-7A73F98B1257}"/>
    <hyperlink ref="E95" r:id="rId182" display="https://kase.kz/ru/listing/issuers/MFRK" xr:uid="{3A980DB9-BB06-4BED-AFCD-4413D8B041A9}"/>
    <hyperlink ref="B96" r:id="rId183" display="https://kase.kz/ru/investors/gsecs/MUJ192_0004" xr:uid="{E066A4B0-C5E6-486F-9569-CEE8DA9F4E09}"/>
    <hyperlink ref="E96" r:id="rId184" display="https://kase.kz/ru/listing/issuers/MFRK" xr:uid="{DF4D382E-006B-459A-904B-37E31BE24A61}"/>
    <hyperlink ref="B97" r:id="rId185" display="https://kase.kz/ru/investors/gsecs/MUJ204_0001" xr:uid="{B756911A-A517-4640-A3D2-36E7E4E64EA8}"/>
    <hyperlink ref="E97" r:id="rId186" display="https://kase.kz/ru/listing/issuers/MFRK" xr:uid="{082C742A-52C4-4AAB-A301-429247F5FE33}"/>
    <hyperlink ref="B98" r:id="rId187" display="https://kase.kz/ru/investors/gsecs/MUJ204_0002" xr:uid="{351EF515-EF5B-4E9A-A196-5FACAA8910EA}"/>
    <hyperlink ref="E98" r:id="rId188" display="https://kase.kz/ru/listing/issuers/MFRK" xr:uid="{31661C5C-5702-43D0-A1C7-80F72820E323}"/>
    <hyperlink ref="B99" r:id="rId189" display="https://kase.kz/ru/investors/gsecs/MUJ204_0003" xr:uid="{3F2B58EB-6634-4270-B68A-CFDD509E7BE0}"/>
    <hyperlink ref="E99" r:id="rId190" display="https://kase.kz/ru/listing/issuers/MFRK" xr:uid="{F2A47270-B4B2-4BE5-875D-AB0F1DA30A28}"/>
    <hyperlink ref="B100" r:id="rId191" display="https://kase.kz/ru/investors/gsecs/MUJ204_0004" xr:uid="{CD4C611A-3577-4141-A3C1-3F67278F8C5E}"/>
    <hyperlink ref="E100" r:id="rId192" display="https://kase.kz/ru/listing/issuers/MFRK" xr:uid="{06056810-DD57-4895-A945-F1E4AD1CA373}"/>
    <hyperlink ref="B101" r:id="rId193" display="https://kase.kz/ru/investors/gsecs/MUJ204_0005" xr:uid="{2A31E40F-FA7B-4AEA-827D-9F7F20C8F2E0}"/>
    <hyperlink ref="E101" r:id="rId194" display="https://kase.kz/ru/listing/issuers/MFRK" xr:uid="{768E4311-A43B-42B4-9624-0A197BCA0554}"/>
    <hyperlink ref="B102" r:id="rId195" display="https://kase.kz/ru/investors/gsecs/MUJ204_0006" xr:uid="{D3B74A80-3A29-4B0C-AC3F-6DEBD84B9199}"/>
    <hyperlink ref="E102" r:id="rId196" display="https://kase.kz/ru/listing/issuers/MFRK" xr:uid="{75B550A8-E47F-49A3-9F40-1F35A9CC4E58}"/>
    <hyperlink ref="B103" r:id="rId197" display="https://kase.kz/ru/investors/gsecs/MUJ216_0001" xr:uid="{11E0F9BC-3A05-423A-AD91-76D0BE30A970}"/>
    <hyperlink ref="E103" r:id="rId198" display="https://kase.kz/ru/listing/issuers/MFRK" xr:uid="{91F19642-6945-4913-BCF0-0A497B2E8A30}"/>
    <hyperlink ref="B104" r:id="rId199" display="https://kase.kz/ru/investors/gsecs/MUJ216_0002" xr:uid="{C8198734-3EED-4331-B780-ABCE559EFD86}"/>
    <hyperlink ref="E104" r:id="rId200" display="https://kase.kz/ru/listing/issuers/MFRK" xr:uid="{409A92B5-016F-4CAE-8462-D8436E06F806}"/>
    <hyperlink ref="B105" r:id="rId201" display="https://kase.kz/ru/investors/gsecs/MUJ216_0003" xr:uid="{FB69460D-B54C-4E5B-8A5C-F15D2492E890}"/>
    <hyperlink ref="E105" r:id="rId202" display="https://kase.kz/ru/listing/issuers/MFRK" xr:uid="{C2CB7DD0-250F-489E-A210-404301DA1E72}"/>
    <hyperlink ref="B106" r:id="rId203" display="https://kase.kz/ru/investors/gsecs/MUJ216_0004" xr:uid="{4EEC348B-3FC7-4CBA-96A1-A1C6D78881A2}"/>
    <hyperlink ref="E106" r:id="rId204" display="https://kase.kz/ru/listing/issuers/MFRK" xr:uid="{2D9C5F58-9FC8-4AA1-9047-3B5F6B3592B4}"/>
    <hyperlink ref="B107" r:id="rId205" display="https://kase.kz/ru/investors/gsecs/MUJ216_0005" xr:uid="{090B320F-EC44-4C7A-9B82-16C9C7F59FE6}"/>
    <hyperlink ref="E107" r:id="rId206" display="https://kase.kz/ru/listing/issuers/MFRK" xr:uid="{8883E4EB-C0F7-4AF6-B7B2-AAF69F95E08D}"/>
    <hyperlink ref="B108" r:id="rId207" display="https://kase.kz/ru/investors/gsecs/MUJ228_0001" xr:uid="{7730E2A6-7774-497E-9BCB-4DFE4AF52E84}"/>
    <hyperlink ref="E108" r:id="rId208" display="https://kase.kz/ru/listing/issuers/MFRK" xr:uid="{AAE51EA7-C0CC-465A-84CD-030A7FD09B5E}"/>
    <hyperlink ref="B109" r:id="rId209" display="https://kase.kz/ru/investors/gsecs/MUJ228_0002" xr:uid="{B59F2EEC-AEAB-429E-9A71-7E82DEB4182C}"/>
    <hyperlink ref="E109" r:id="rId210" display="https://kase.kz/ru/listing/issuers/MFRK" xr:uid="{539C968E-0609-4799-AC0F-D94D7AB4FCAA}"/>
    <hyperlink ref="B110" r:id="rId211" display="https://kase.kz/ru/investors/gsecs/MUJ228_0003" xr:uid="{16C32EE1-3FC0-4AAB-84B3-FE599596CEFA}"/>
    <hyperlink ref="E110" r:id="rId212" display="https://kase.kz/ru/listing/issuers/MFRK" xr:uid="{4AEDB9D4-5A7C-4F01-94A8-8204AAD96A3F}"/>
    <hyperlink ref="B111" r:id="rId213" display="https://kase.kz/ru/investors/gsecs/MUJ228_0004" xr:uid="{E027602E-5AC6-45E7-B746-8B44EE629FCD}"/>
    <hyperlink ref="E111" r:id="rId214" display="https://kase.kz/ru/listing/issuers/MFRK" xr:uid="{00C1C88B-28EF-4968-AA86-2D22A1A46F16}"/>
    <hyperlink ref="B112" r:id="rId215" display="https://kase.kz/ru/investors/gsecs/MUJ228_0005" xr:uid="{1735DFF3-B905-4347-B0C9-5CAB8566EBDF}"/>
    <hyperlink ref="E112" r:id="rId216" display="https://kase.kz/ru/listing/issuers/MFRK" xr:uid="{575F7CB2-6E0B-4D8B-8BA0-A5844837DFB1}"/>
    <hyperlink ref="B113" r:id="rId217" display="https://kase.kz/ru/investors/gsecs/MUJ228_0006" xr:uid="{439F1489-1112-4FC3-88E2-B82E5920DF58}"/>
    <hyperlink ref="E113" r:id="rId218" display="https://kase.kz/ru/listing/issuers/MFRK" xr:uid="{D4989253-F1F2-4E03-8394-6F2A1C7C8E77}"/>
    <hyperlink ref="B114" r:id="rId219" display="https://kase.kz/ru/investors/gsecs/MUJ240_0001" xr:uid="{75713EEC-64A3-45A2-B7AB-26E06C8B15A7}"/>
    <hyperlink ref="E114" r:id="rId220" display="https://kase.kz/ru/listing/issuers/MFRK" xr:uid="{187F5B96-02E1-40E8-84D5-F944025BA9E7}"/>
    <hyperlink ref="B115" r:id="rId221" display="https://kase.kz/ru/investors/gsecs/MUM072_0013" xr:uid="{65FBC408-3526-4D45-9872-B3C38613EECD}"/>
    <hyperlink ref="E115" r:id="rId222" display="https://kase.kz/ru/listing/issuers/MFRK" xr:uid="{01E7AB7C-ABB7-45F9-93A5-ABD088EA90D7}"/>
    <hyperlink ref="B116" r:id="rId223" display="https://kase.kz/ru/investors/gsecs/MUM072_0014" xr:uid="{1BA17E57-CB6E-48B5-A33C-F6370F1D52E7}"/>
    <hyperlink ref="E116" r:id="rId224" display="https://kase.kz/ru/listing/issuers/MFRK" xr:uid="{2F554643-D67E-4ABD-9A79-9804660F7360}"/>
    <hyperlink ref="B117" r:id="rId225" display="https://kase.kz/ru/investors/gsecs/MUM072_0015" xr:uid="{853EA434-DD12-4E61-B263-68FCB073AFE6}"/>
    <hyperlink ref="E117" r:id="rId226" display="https://kase.kz/ru/listing/issuers/MFRK" xr:uid="{F0599A2F-E1F3-444D-9196-217C2A544D2A}"/>
    <hyperlink ref="B118" r:id="rId227" display="https://kase.kz/ru/investors/gsecs/MUM084_0018" xr:uid="{BD8B14A8-AAA0-4DAB-848D-756166326F12}"/>
    <hyperlink ref="E118" r:id="rId228" display="https://kase.kz/ru/listing/issuers/MFRK" xr:uid="{BA03EC13-012D-4505-854B-DE5BD6F37696}"/>
    <hyperlink ref="B119" r:id="rId229" display="https://kase.kz/ru/investors/gsecs/MUM084_0019" xr:uid="{AEFD3398-127A-473A-A8EE-F733AD4F1D92}"/>
    <hyperlink ref="E119" r:id="rId230" display="https://kase.kz/ru/listing/issuers/MFRK" xr:uid="{F986AACF-7349-488F-8325-4478D3E7A34F}"/>
    <hyperlink ref="B120" r:id="rId231" display="https://kase.kz/ru/investors/gsecs/MUM084_0020" xr:uid="{0DF03D84-8E7C-49E7-87A6-8B28F908AB72}"/>
    <hyperlink ref="E120" r:id="rId232" display="https://kase.kz/ru/listing/issuers/MFRK" xr:uid="{60A3C42F-2D02-4536-A5F3-4C91331CDD52}"/>
    <hyperlink ref="B121" r:id="rId233" display="https://kase.kz/ru/investors/gsecs/MUM096_0011" xr:uid="{79A3CDF5-CEFB-4596-B655-646EA277644A}"/>
    <hyperlink ref="E121" r:id="rId234" display="https://kase.kz/ru/listing/issuers/MFRK" xr:uid="{FDDC9DEB-69F8-4A47-8933-D2057E570860}"/>
    <hyperlink ref="B122" r:id="rId235" display="https://kase.kz/ru/investors/gsecs/MUM096_0012" xr:uid="{5C79A80E-F2CB-4E4A-B3A8-52DD7678D4DB}"/>
    <hyperlink ref="E122" r:id="rId236" display="https://kase.kz/ru/listing/issuers/MFRK" xr:uid="{334B2FDD-EA6D-4050-88C4-9605EF5F360B}"/>
    <hyperlink ref="B123" r:id="rId237" display="https://kase.kz/ru/investors/gsecs/MUM096_0013" xr:uid="{1DB3125A-DDD0-472A-8B5F-07658467776F}"/>
    <hyperlink ref="E123" r:id="rId238" display="https://kase.kz/ru/listing/issuers/MFRK" xr:uid="{52899A94-780E-458E-A430-83FE55990013}"/>
    <hyperlink ref="B124" r:id="rId239" display="https://kase.kz/ru/investors/gsecs/MUM096_0014" xr:uid="{68E7CCBF-AEE2-4BD4-A213-7BEB50563A66}"/>
    <hyperlink ref="E124" r:id="rId240" display="https://kase.kz/ru/listing/issuers/MFRK" xr:uid="{EF581533-7358-4946-8DCF-C265EF490F05}"/>
    <hyperlink ref="B125" r:id="rId241" display="https://kase.kz/ru/investors/gsecs/MUM096_0015" xr:uid="{8E35933E-615B-4978-AA44-65017F4CF05C}"/>
    <hyperlink ref="E125" r:id="rId242" display="https://kase.kz/ru/listing/issuers/MFRK" xr:uid="{1F2730EA-F364-4D4D-9FF9-F40D1C461D37}"/>
    <hyperlink ref="B126" r:id="rId243" display="https://kase.kz/ru/investors/gsecs/MUM108_0012" xr:uid="{523CDBF0-1D48-464E-B9BB-2FD66D175B78}"/>
    <hyperlink ref="E126" r:id="rId244" display="https://kase.kz/ru/listing/issuers/MFRK" xr:uid="{6A3FABD6-CB46-4BAB-98D2-BCD96E25C5D0}"/>
    <hyperlink ref="B127" r:id="rId245" display="https://kase.kz/ru/investors/gsecs/MUM108_0013" xr:uid="{4F801ED0-1FAB-45C4-A108-16EECF18CA9C}"/>
    <hyperlink ref="E127" r:id="rId246" display="https://kase.kz/ru/listing/issuers/MFRK" xr:uid="{8A687944-E5DA-48FB-AC3E-47FAF74F9769}"/>
    <hyperlink ref="B128" r:id="rId247" display="https://kase.kz/ru/investors/gsecs/MUM108_0014" xr:uid="{D9F485D8-F87E-446F-9908-A4AEA3011D1F}"/>
    <hyperlink ref="E128" r:id="rId248" display="https://kase.kz/ru/listing/issuers/MFRK" xr:uid="{8C40BFA8-38A0-4420-8DDC-EF08DB8B0001}"/>
    <hyperlink ref="B129" r:id="rId249" display="https://kase.kz/ru/investors/gsecs/MUM108_0015" xr:uid="{F981BA24-72A8-4679-8FFA-AF27070A4199}"/>
    <hyperlink ref="E129" r:id="rId250" display="https://kase.kz/ru/listing/issuers/MFRK" xr:uid="{BFC2955E-77EC-460E-9E34-A71A161B8150}"/>
    <hyperlink ref="B130" r:id="rId251" display="https://kase.kz/ru/investors/gsecs/MUM120_0017" xr:uid="{6EDDCAB6-D967-4515-A621-86C0F70D7020}"/>
    <hyperlink ref="E130" r:id="rId252" display="https://kase.kz/ru/listing/issuers/MFRK" xr:uid="{9472E814-83D1-488A-AA05-192927BAA880}"/>
    <hyperlink ref="B131" r:id="rId253" display="https://kase.kz/ru/investors/gsecs/MUM120_0018" xr:uid="{ABE1D168-94E9-41BC-A57F-F0CEB1FDA395}"/>
    <hyperlink ref="E131" r:id="rId254" display="https://kase.kz/ru/listing/issuers/MFRK" xr:uid="{B9C87A2E-4288-47C8-8D3D-B3E319DC9510}"/>
    <hyperlink ref="B132" r:id="rId255" display="https://kase.kz/ru/investors/gsecs/MUM120_0019" xr:uid="{EE581A71-D6CF-41E4-9D17-B5BEBA7087B0}"/>
    <hyperlink ref="E132" r:id="rId256" display="https://kase.kz/ru/listing/issuers/MFRK" xr:uid="{268BECED-AB70-4B8E-A2BA-ACE855BBF17C}"/>
    <hyperlink ref="B133" r:id="rId257" display="https://kase.kz/ru/investors/gsecs/MUM120_0020" xr:uid="{DA2A102A-5425-49EB-8809-C96CBA7C42C0}"/>
    <hyperlink ref="E133" r:id="rId258" display="https://kase.kz/ru/listing/issuers/MFRK" xr:uid="{9737646B-51F3-40D8-B7BB-101F15D9CCA3}"/>
    <hyperlink ref="B134" r:id="rId259" display="https://kase.kz/ru/investors/gsecs/MUM132_0007" xr:uid="{F2FCB78F-3E69-432D-BAA7-F449CBF575CC}"/>
    <hyperlink ref="E134" r:id="rId260" display="https://kase.kz/ru/listing/issuers/MFRK" xr:uid="{735922FE-185B-4350-98C1-B815DCC03AD6}"/>
    <hyperlink ref="B135" r:id="rId261" display="https://kase.kz/ru/investors/gsecs/MUM144_0006" xr:uid="{401C2381-CD52-4550-B316-9B2367CFAF08}"/>
    <hyperlink ref="E135" r:id="rId262" display="https://kase.kz/ru/listing/issuers/MFRK" xr:uid="{D0D116B6-EE67-46FD-90AF-BD9F5CE2114A}"/>
    <hyperlink ref="B136" r:id="rId263" display="https://kase.kz/ru/investors/gsecs/MUM144_0009" xr:uid="{391FFE61-0478-41FB-A214-20375C89067A}"/>
    <hyperlink ref="E136" r:id="rId264" display="https://kase.kz/ru/listing/issuers/MFRK" xr:uid="{2C247952-2EF8-4760-9394-5D3D130D873D}"/>
    <hyperlink ref="B137" r:id="rId265" display="https://kase.kz/ru/investors/gsecs/MUM156_0005" xr:uid="{ED3AE250-E9DC-4BA5-AC23-4AD23D0A57AA}"/>
    <hyperlink ref="E137" r:id="rId266" display="https://kase.kz/ru/listing/issuers/MFRK" xr:uid="{CBE98BC6-D177-41AD-844C-75E4CD37EDC4}"/>
    <hyperlink ref="B138" r:id="rId267" display="https://kase.kz/ru/investors/gsecs/MUM156_0006" xr:uid="{FB11876F-BBBC-4D13-B2A9-926969B2D9B7}"/>
    <hyperlink ref="E138" r:id="rId268" display="https://kase.kz/ru/listing/issuers/MFRK" xr:uid="{4E9AFA0A-537B-4E0F-8C8C-8AE22F3A0482}"/>
    <hyperlink ref="B139" r:id="rId269" display="https://kase.kz/ru/investors/gsecs/MUM156_0007" xr:uid="{85B8A75B-178A-4994-B194-19DEA7427B4C}"/>
    <hyperlink ref="E139" r:id="rId270" display="https://kase.kz/ru/listing/issuers/MFRK" xr:uid="{D0298A33-E8A8-4334-A6FC-04278923B1B6}"/>
    <hyperlink ref="B140" r:id="rId271" display="https://kase.kz/ru/investors/gsecs/MUM156_0008" xr:uid="{8B28A11D-92E4-4078-9837-52A04E6C0F40}"/>
    <hyperlink ref="E140" r:id="rId272" display="https://kase.kz/ru/listing/issuers/MFRK" xr:uid="{20B631DE-5AE3-4606-8F4E-D5B534F12BF5}"/>
    <hyperlink ref="B141" r:id="rId273" display="https://kase.kz/ru/investors/gsecs/MUM168_0001" xr:uid="{61FB33BB-F690-4A5A-B9ED-0F5464B259EF}"/>
    <hyperlink ref="E141" r:id="rId274" display="https://kase.kz/ru/listing/issuers/MFRK" xr:uid="{3F7EE87A-03A3-42A7-9445-5970C3A18D85}"/>
    <hyperlink ref="B142" r:id="rId275" display="https://kase.kz/ru/investors/gsecs/MUM168_0002" xr:uid="{6BB0274C-8DB3-4747-953B-707F5A538DFA}"/>
    <hyperlink ref="E142" r:id="rId276" display="https://kase.kz/ru/listing/issuers/MFRK" xr:uid="{242A83E0-1E4D-4EC3-80F8-7C0E3E2F02D2}"/>
    <hyperlink ref="B143" r:id="rId277" display="https://kase.kz/ru/investors/gsecs/MUM168_0003" xr:uid="{8C969368-1BB4-4736-89A5-F8CD254E6E9F}"/>
    <hyperlink ref="E143" r:id="rId278" display="https://kase.kz/ru/listing/issuers/MFRK" xr:uid="{01496079-81A2-403D-98A1-7AD52885EFDA}"/>
    <hyperlink ref="B144" r:id="rId279" display="https://kase.kz/ru/investors/gsecs/MUM168_0005" xr:uid="{29E4426D-0E2F-4C57-A743-834E5A40B4BA}"/>
    <hyperlink ref="E144" r:id="rId280" display="https://kase.kz/ru/listing/issuers/MFRK" xr:uid="{9E015A31-76D6-482C-8A5D-3DA5AEC89CAC}"/>
    <hyperlink ref="B145" r:id="rId281" display="https://kase.kz/ru/investors/gsecs/MUM180_0003" xr:uid="{2F374B83-ACDB-4DB9-960D-C859D574225A}"/>
    <hyperlink ref="E145" r:id="rId282" display="https://kase.kz/ru/listing/issuers/MFRK" xr:uid="{E2168355-C9DA-463F-A787-C4C9B724D4CD}"/>
    <hyperlink ref="B146" r:id="rId283" display="https://kase.kz/ru/investors/gsecs/MUM180_0004" xr:uid="{B5080DEF-2FA2-493A-B4DE-C4E70271B34C}"/>
    <hyperlink ref="E146" r:id="rId284" display="https://kase.kz/ru/listing/issuers/MFRK" xr:uid="{8264E419-D894-4155-BF5F-AC587B92BA7D}"/>
    <hyperlink ref="B147" r:id="rId285" display="https://kase.kz/ru/investors/gsecs/MUM180_0005" xr:uid="{A0939A5E-D158-4737-B307-4BAC53077FBC}"/>
    <hyperlink ref="E147" r:id="rId286" display="https://kase.kz/ru/listing/issuers/MFRK" xr:uid="{B06AA95D-593B-44BC-9DFE-AF0A5D8452CE}"/>
    <hyperlink ref="B148" r:id="rId287" display="https://kase.kz/ru/investors/gsecs/MUM180_0006" xr:uid="{26A91119-EE2E-4F13-A3D1-EF127F3D891B}"/>
    <hyperlink ref="E148" r:id="rId288" display="https://kase.kz/ru/listing/issuers/MFRK" xr:uid="{F5A70567-A0F6-4660-A00E-568CE950FD0A}"/>
    <hyperlink ref="B149" r:id="rId289" display="https://kase.kz/ru/investors/gsecs/MUM180_0007" xr:uid="{CA9DCA4E-5476-489B-855F-A4BD77CCB9FC}"/>
    <hyperlink ref="E149" r:id="rId290" display="https://kase.kz/ru/listing/issuers/MFRK" xr:uid="{E40A113F-1387-4BD9-83F8-31DCB679465A}"/>
    <hyperlink ref="B150" r:id="rId291" display="https://kase.kz/ru/investors/gsecs/MUM180_0008" xr:uid="{D2D4609C-89FD-4350-8B80-8ED85129C494}"/>
    <hyperlink ref="E150" r:id="rId292" display="https://kase.kz/ru/listing/issuers/MFRK" xr:uid="{0202D5FD-60E2-4800-B109-36D734567F5C}"/>
    <hyperlink ref="B151" r:id="rId293" display="https://kase.kz/ru/investors/gsecs/MUM180_0009" xr:uid="{69F348BB-5A49-44A2-A406-FE04AED5BA19}"/>
    <hyperlink ref="E151" r:id="rId294" display="https://kase.kz/ru/listing/issuers/MFRK" xr:uid="{906695E8-6E09-481D-A022-0F78055CBF2C}"/>
    <hyperlink ref="B152" r:id="rId295" display="https://kase.kz/ru/investors/gsecs/MUM180_0011" xr:uid="{301F8185-F3E1-4275-8BB8-0D2E8559823F}"/>
    <hyperlink ref="E152" r:id="rId296" display="https://kase.kz/ru/listing/issuers/MFRK" xr:uid="{C267D194-7550-4148-8FC9-1035BA8E4718}"/>
    <hyperlink ref="B153" r:id="rId297" display="https://kase.kz/ru/investors/gsecs/MUM180_0012" xr:uid="{8B427AC2-7672-4375-9432-A28757D2DD9C}"/>
    <hyperlink ref="E153" r:id="rId298" display="https://kase.kz/ru/listing/issuers/MFRK" xr:uid="{E275E5B5-2E4C-412A-A882-CE33FFE8FE64}"/>
    <hyperlink ref="B154" r:id="rId299" display="https://kase.kz/ru/investors/gsecs/MUM180_0013" xr:uid="{8FF5A807-1415-4B10-A8F2-3C4FCE5A297D}"/>
    <hyperlink ref="E154" r:id="rId300" display="https://kase.kz/ru/listing/issuers/MFRK" xr:uid="{2091C6E2-E86E-4117-BE31-E6F093D49C08}"/>
    <hyperlink ref="B155" r:id="rId301" display="https://kase.kz/ru/investors/gsecs/MUM180_0014" xr:uid="{A40C446B-26BE-4361-BF78-7668F9035075}"/>
    <hyperlink ref="E155" r:id="rId302" display="https://kase.kz/ru/listing/issuers/MFRK" xr:uid="{FC3ED916-D687-43AB-B21F-087AAC261A13}"/>
    <hyperlink ref="B156" r:id="rId303" display="https://kase.kz/ru/investors/gsecs/MUM180_0015" xr:uid="{DFA1550E-D750-400B-971A-D0F51059744A}"/>
    <hyperlink ref="E156" r:id="rId304" display="https://kase.kz/ru/listing/issuers/MFRK" xr:uid="{002FF58D-30C1-41BB-88AA-40BF9F52DC4E}"/>
    <hyperlink ref="B157" r:id="rId305" display="https://kase.kz/ru/investors/gsecs/MUM180_0016" xr:uid="{AA9E6D91-6885-4916-B86B-42C054FD3B94}"/>
    <hyperlink ref="E157" r:id="rId306" display="https://kase.kz/ru/listing/issuers/MFRK" xr:uid="{325569FF-C136-48A3-9661-A4EC8A7DCE6F}"/>
    <hyperlink ref="B158" r:id="rId307" display="https://kase.kz/ru/investors/gsecs/MUM192_0001" xr:uid="{83048E11-3FBA-4179-B5B7-897F0D0624C3}"/>
    <hyperlink ref="E158" r:id="rId308" display="https://kase.kz/ru/listing/issuers/MFRK" xr:uid="{B7C7BFED-10BB-4D7E-AE92-D96FF811ACC8}"/>
    <hyperlink ref="B159" r:id="rId309" display="https://kase.kz/ru/investors/gsecs/MUM192_0002" xr:uid="{7A6EF96F-B20A-4BB0-B1D2-E29E6EA7181B}"/>
    <hyperlink ref="E159" r:id="rId310" display="https://kase.kz/ru/listing/issuers/MFRK" xr:uid="{BF628882-41F8-4B96-BFF0-5352F6EFEFDD}"/>
    <hyperlink ref="B160" r:id="rId311" display="https://kase.kz/ru/investors/gsecs/MUM192_0003" xr:uid="{B642FC7A-A635-4B60-A062-AB01A4C92B2B}"/>
    <hyperlink ref="E160" r:id="rId312" display="https://kase.kz/ru/listing/issuers/MFRK" xr:uid="{85366E68-6099-4801-948C-88F8476B80AD}"/>
    <hyperlink ref="B161" r:id="rId313" display="https://kase.kz/ru/investors/gsecs/MUM216_0001" xr:uid="{B6D39C21-D00F-4E45-8198-6F6214CF60F5}"/>
    <hyperlink ref="E161" r:id="rId314" display="https://kase.kz/ru/listing/issuers/MFRK" xr:uid="{C803AEFB-597E-401D-A77B-0470630074B6}"/>
    <hyperlink ref="B162" r:id="rId315" display="https://kase.kz/ru/investors/gsecs/MUM216_0002" xr:uid="{CF8E8A59-E73C-4D82-8D24-2FA457053AD0}"/>
    <hyperlink ref="E162" r:id="rId316" display="https://kase.kz/ru/listing/issuers/MFRK" xr:uid="{E390D60F-2C5F-47AB-BEA2-7A70A14497D9}"/>
    <hyperlink ref="B163" r:id="rId317" display="https://kase.kz/ru/investors/gsecs/MUM240_0001" xr:uid="{E44A9BEE-ABA8-4609-AB0E-AB5BA625808B}"/>
    <hyperlink ref="E163" r:id="rId318" display="https://kase.kz/ru/listing/issuers/MFRK" xr:uid="{18E59339-C330-4A60-B7B9-5DBF980C77A8}"/>
    <hyperlink ref="B164" r:id="rId319" display="https://kase.kz/ru/investors/gsecs/MUM240_0002" xr:uid="{150667D0-46D0-41F1-A2BF-7D776BD757A3}"/>
    <hyperlink ref="E164" r:id="rId320" display="https://kase.kz/ru/listing/issuers/MFRK" xr:uid="{94D314E8-DBA5-487A-95FD-C39109FEC041}"/>
    <hyperlink ref="B165" r:id="rId321" display="https://kase.kz/ru/investors/gsecs/MUM240_0004" xr:uid="{BDA73586-526E-45EF-AA52-FE804B65F3FC}"/>
    <hyperlink ref="E165" r:id="rId322" display="https://kase.kz/ru/listing/issuers/MFRK" xr:uid="{FDA447AE-0DCD-4681-91E6-02FD436F8A7B}"/>
    <hyperlink ref="B166" r:id="rId323" display="https://kase.kz/ru/investors/gsecs/MUM300_0001" xr:uid="{1BAD70D7-070D-4C95-BF3F-151940DE94B4}"/>
    <hyperlink ref="E166" r:id="rId324" display="https://kase.kz/ru/listing/issuers/MFRK" xr:uid="{A00A8AD5-349A-47FD-8F31-9E2D1D8FE11A}"/>
    <hyperlink ref="B167" r:id="rId325" display="https://kase.kz/ru/investors/gsecs/MUM300_0002" xr:uid="{FCA62EE5-F10F-407C-A9E5-59CF2356B90E}"/>
    <hyperlink ref="E167" r:id="rId326" display="https://kase.kz/ru/listing/issuers/MFRK" xr:uid="{82C8F4D2-F716-41C1-B92D-6A8507E34135}"/>
    <hyperlink ref="B168" r:id="rId327" display="https://kase.kz/ru/investors/gsecs/MUM300_0003" xr:uid="{402219FA-D9BB-420A-89ED-1B245DD479B8}"/>
    <hyperlink ref="E168" r:id="rId328" display="https://kase.kz/ru/listing/issuers/MFRK" xr:uid="{66C42525-E108-4924-A051-0743C5ACD7BE}"/>
    <hyperlink ref="B169" r:id="rId329" display="https://kase.kz/ru/investors/gsecs/MUM360_0001" xr:uid="{21F54286-D5B0-4325-8833-B67A617207E3}"/>
    <hyperlink ref="E169" r:id="rId330" display="https://kase.kz/ru/listing/issuers/MFRK" xr:uid="{54B53EDA-3790-4F70-9BCF-DC9C386C1CC9}"/>
    <hyperlink ref="B170" r:id="rId331" display="https://kase.kz/ru/investors/gsecs/MUX072_0003" xr:uid="{467B8575-4115-4AD9-9B33-194BF556AECD}"/>
    <hyperlink ref="E170" r:id="rId332" display="https://kase.kz/ru/listing/issuers/MFRK" xr:uid="{020F4E77-5AEC-46D4-8775-CC0729AB2B20}"/>
    <hyperlink ref="B171" r:id="rId333" display="https://kase.kz/ru/investors/bonds/NCOMb3" xr:uid="{7B55A721-AA38-4E89-AA2B-89BC619566A0}"/>
    <hyperlink ref="E171" r:id="rId334" display="https://kase.kz/ru/listing/issuers/NCOM" xr:uid="{FBF9F873-C0FD-4DD7-AE87-0F6E51A977D7}"/>
    <hyperlink ref="B172" r:id="rId335" display="https://kase.kz/ru/investors/gsecs/NTK028_2865" xr:uid="{DC52ED7E-6566-45AF-8652-67B6E28A7649}"/>
    <hyperlink ref="E172" r:id="rId336" display="https://kase.kz/ru/listing/issuers/NBRK" xr:uid="{C5D28C84-2390-44C6-A8CA-969E8629A063}"/>
    <hyperlink ref="B173" r:id="rId337" display="https://kase.kz/ru/investors/bonds/PRKRe1" xr:uid="{211BA796-5098-47E7-8822-4D81B2298C25}"/>
    <hyperlink ref="E173" r:id="rId338" display="https://kase.kz/ru/listing/issuers/PRKR" xr:uid="{90699026-DD73-4FB4-8D7B-5705340B3A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45876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2218</v>
      </c>
      <c r="E3" s="100" t="s">
        <v>447</v>
      </c>
      <c r="F3" s="100" t="s">
        <v>448</v>
      </c>
      <c r="G3" s="100" t="s">
        <v>449</v>
      </c>
      <c r="H3" s="100" t="s">
        <v>2054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6177.915</v>
      </c>
      <c r="G5" s="119">
        <v>6177.915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113012.8677</v>
      </c>
      <c r="G6" s="123">
        <v>113012.8677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100.9799</v>
      </c>
      <c r="H7" s="119">
        <v>4.2300000000000004</v>
      </c>
      <c r="I7" s="116">
        <v>397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100.0671</v>
      </c>
      <c r="H8" s="119">
        <v>0.35</v>
      </c>
      <c r="I8" s="116">
        <v>291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100.01730000000001</v>
      </c>
      <c r="H9" s="121">
        <v>0.02</v>
      </c>
      <c r="I9" s="124">
        <v>3113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100.71169999999999</v>
      </c>
      <c r="H10" s="121">
        <v>6.08</v>
      </c>
      <c r="I10" s="124">
        <v>1728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105.5222</v>
      </c>
      <c r="H11" s="121">
        <v>7.08</v>
      </c>
      <c r="I11" s="124">
        <v>2210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105.98139999999999</v>
      </c>
      <c r="H12" s="121">
        <v>6.09</v>
      </c>
      <c r="I12" s="124">
        <v>2137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104.8292</v>
      </c>
      <c r="H13" s="121">
        <v>6.08</v>
      </c>
      <c r="I13" s="124">
        <v>2565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104.8292</v>
      </c>
      <c r="H14" s="121">
        <v>6.08</v>
      </c>
      <c r="I14" s="124">
        <v>2565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70119.335250000004</v>
      </c>
      <c r="G15" s="119">
        <v>70119.335250000004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99.765772738731897</v>
      </c>
      <c r="G16" s="119">
        <v>101.17407273873189</v>
      </c>
      <c r="H16" s="119">
        <v>19.62</v>
      </c>
      <c r="I16" s="116">
        <v>694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2119</v>
      </c>
      <c r="F19" s="121">
        <v>61094.207249999999</v>
      </c>
      <c r="G19" s="119">
        <v>61094.207249999999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96.417000000000002</v>
      </c>
      <c r="G20" s="123">
        <v>97.380499999999998</v>
      </c>
      <c r="H20" s="121">
        <v>3.97</v>
      </c>
      <c r="I20" s="124">
        <v>1689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94.259502229926753</v>
      </c>
      <c r="G21" s="123">
        <v>95.14140222992674</v>
      </c>
      <c r="H21" s="121">
        <v>4.0199999999999996</v>
      </c>
      <c r="I21" s="124">
        <v>1493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94.660113695749459</v>
      </c>
      <c r="G22" s="123">
        <v>96.896213695749452</v>
      </c>
      <c r="H22" s="121">
        <v>18.87</v>
      </c>
      <c r="I22" s="124">
        <v>290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91.731868497295778</v>
      </c>
      <c r="G23" s="123">
        <v>95.225668497295771</v>
      </c>
      <c r="H23" s="121">
        <v>18.87</v>
      </c>
      <c r="I23" s="124">
        <v>423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75.080477084582654</v>
      </c>
      <c r="G24" s="123">
        <v>79.888077084582648</v>
      </c>
      <c r="H24" s="121">
        <v>18.55</v>
      </c>
      <c r="I24" s="124">
        <v>1819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87.046016506842648</v>
      </c>
      <c r="G25" s="123">
        <v>89.421016506842648</v>
      </c>
      <c r="H25" s="121">
        <v>18.54</v>
      </c>
      <c r="I25" s="124">
        <v>2283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57.573016545174184</v>
      </c>
      <c r="G26" s="123">
        <v>63.095216545174182</v>
      </c>
      <c r="H26" s="121">
        <v>19.38</v>
      </c>
      <c r="I26" s="124">
        <v>2240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74.277469128492797</v>
      </c>
      <c r="G27" s="123">
        <v>75.746869128492804</v>
      </c>
      <c r="H27" s="121">
        <v>18.53</v>
      </c>
      <c r="I27" s="124">
        <v>2294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96.156897600608801</v>
      </c>
      <c r="G28" s="123">
        <v>97.906897600608801</v>
      </c>
      <c r="H28" s="121">
        <v>18.89</v>
      </c>
      <c r="I28" s="124">
        <v>315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101.8771</v>
      </c>
      <c r="H30" s="121">
        <v>4.24</v>
      </c>
      <c r="I30" s="124">
        <v>322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100.09820000000001</v>
      </c>
      <c r="H31" s="121">
        <v>0.35</v>
      </c>
      <c r="I31" s="124">
        <v>79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100.0583</v>
      </c>
      <c r="H32" s="121">
        <v>0.35</v>
      </c>
      <c r="I32" s="124">
        <v>300</v>
      </c>
      <c r="J32" s="118" t="s">
        <v>273</v>
      </c>
    </row>
    <row r="33" spans="1:10" x14ac:dyDescent="0.25">
      <c r="A33" s="120">
        <v>30</v>
      </c>
      <c r="B33" s="117" t="s">
        <v>2229</v>
      </c>
      <c r="C33" s="118" t="s">
        <v>2230</v>
      </c>
      <c r="D33" s="118" t="s">
        <v>463</v>
      </c>
      <c r="E33" s="118" t="s">
        <v>518</v>
      </c>
      <c r="F33" s="122">
        <v>100</v>
      </c>
      <c r="G33" s="123">
        <v>100.0681</v>
      </c>
      <c r="H33" s="121">
        <v>0.35</v>
      </c>
      <c r="I33" s="124">
        <v>650</v>
      </c>
      <c r="J33" s="118" t="s">
        <v>273</v>
      </c>
    </row>
    <row r="34" spans="1:10" x14ac:dyDescent="0.25">
      <c r="A34" s="120">
        <v>31</v>
      </c>
      <c r="B34" s="117" t="s">
        <v>1986</v>
      </c>
      <c r="C34" s="118" t="s">
        <v>1987</v>
      </c>
      <c r="D34" s="118" t="s">
        <v>463</v>
      </c>
      <c r="E34" s="118" t="s">
        <v>518</v>
      </c>
      <c r="F34" s="122">
        <v>100</v>
      </c>
      <c r="G34" s="123">
        <v>100.0128</v>
      </c>
      <c r="H34" s="121">
        <v>0.02</v>
      </c>
      <c r="I34" s="124">
        <v>3113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100.0027</v>
      </c>
      <c r="H35" s="121">
        <v>0.02</v>
      </c>
      <c r="I35" s="124">
        <v>3113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748.73525374873702</v>
      </c>
      <c r="G36" s="123">
        <v>748.73525374873702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3003.0039000000002</v>
      </c>
      <c r="G37" s="123">
        <v>3003.0039000000002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109752.5831</v>
      </c>
      <c r="G38" s="123">
        <v>109752.5831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101.8771</v>
      </c>
      <c r="H40" s="119">
        <v>4.24</v>
      </c>
      <c r="I40" s="116">
        <v>322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100.06610000000001</v>
      </c>
      <c r="H41" s="119">
        <v>0.35</v>
      </c>
      <c r="I41" s="116">
        <v>112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100.0671</v>
      </c>
      <c r="H42" s="121">
        <v>0.35</v>
      </c>
      <c r="I42" s="124">
        <v>291</v>
      </c>
      <c r="J42" s="118" t="s">
        <v>273</v>
      </c>
    </row>
    <row r="43" spans="1:10" x14ac:dyDescent="0.25">
      <c r="A43" s="120">
        <v>40</v>
      </c>
      <c r="B43" s="117" t="s">
        <v>2293</v>
      </c>
      <c r="C43" s="118" t="s">
        <v>2294</v>
      </c>
      <c r="D43" s="118" t="s">
        <v>463</v>
      </c>
      <c r="E43" s="118" t="s">
        <v>536</v>
      </c>
      <c r="F43" s="122">
        <v>100</v>
      </c>
      <c r="G43" s="123">
        <v>100.036</v>
      </c>
      <c r="H43" s="121">
        <v>0.35</v>
      </c>
      <c r="I43" s="124">
        <v>683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100.0001</v>
      </c>
      <c r="H44" s="121">
        <v>0.02</v>
      </c>
      <c r="I44" s="124">
        <v>3113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100.71169999999999</v>
      </c>
      <c r="H45" s="121">
        <v>6.08</v>
      </c>
      <c r="I45" s="124">
        <v>1728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105.5222</v>
      </c>
      <c r="H46" s="121">
        <v>7.08</v>
      </c>
      <c r="I46" s="124">
        <v>2210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105.98139999999999</v>
      </c>
      <c r="H47" s="119">
        <v>6.09</v>
      </c>
      <c r="I47" s="116">
        <v>2137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104.8292</v>
      </c>
      <c r="H48" s="119">
        <v>6.08</v>
      </c>
      <c r="I48" s="116">
        <v>2565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104.8292</v>
      </c>
      <c r="H49" s="119">
        <v>6.08</v>
      </c>
      <c r="I49" s="116">
        <v>2565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103.6939</v>
      </c>
      <c r="H50" s="119">
        <v>6.08</v>
      </c>
      <c r="I50" s="116">
        <v>2632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3006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1407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2169</v>
      </c>
      <c r="C54" s="118" t="s">
        <v>2170</v>
      </c>
      <c r="D54" s="118" t="s">
        <v>463</v>
      </c>
      <c r="E54" s="118" t="s">
        <v>2171</v>
      </c>
      <c r="F54" s="122">
        <v>99.355924167368983</v>
      </c>
      <c r="G54" s="123">
        <v>100.00592416736899</v>
      </c>
      <c r="H54" s="121">
        <v>26.33</v>
      </c>
      <c r="I54" s="124">
        <v>981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92.457814566853131</v>
      </c>
      <c r="G56" s="123">
        <v>95.50361456685313</v>
      </c>
      <c r="H56" s="121">
        <v>17.87</v>
      </c>
      <c r="I56" s="124">
        <v>438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101.54649999999999</v>
      </c>
      <c r="H57" s="121">
        <v>4.24</v>
      </c>
      <c r="I57" s="124">
        <v>349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100.0188</v>
      </c>
      <c r="H58" s="121">
        <v>0.02</v>
      </c>
      <c r="I58" s="124">
        <v>3113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104.3981</v>
      </c>
      <c r="H59" s="121">
        <v>7.05</v>
      </c>
      <c r="I59" s="124">
        <v>2210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100.71169999999999</v>
      </c>
      <c r="H60" s="119">
        <v>6.08</v>
      </c>
      <c r="I60" s="116">
        <v>1728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105.5222</v>
      </c>
      <c r="H61" s="119">
        <v>7.08</v>
      </c>
      <c r="I61" s="116">
        <v>2210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105.98139999999999</v>
      </c>
      <c r="H62" s="121">
        <v>6.09</v>
      </c>
      <c r="I62" s="124">
        <v>2137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104.8292</v>
      </c>
      <c r="H63" s="121">
        <v>6.08</v>
      </c>
      <c r="I63" s="124">
        <v>2565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104.8292</v>
      </c>
      <c r="H64" s="121">
        <v>6.08</v>
      </c>
      <c r="I64" s="124">
        <v>2565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103.6939</v>
      </c>
      <c r="H65" s="121">
        <v>6.08</v>
      </c>
      <c r="I65" s="124">
        <v>2632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2027</v>
      </c>
      <c r="F66" s="122">
        <v>89.255712012874085</v>
      </c>
      <c r="G66" s="123">
        <v>89.468212012874091</v>
      </c>
      <c r="H66" s="121">
        <v>29.14</v>
      </c>
      <c r="I66" s="124">
        <v>2517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100.55370053952906</v>
      </c>
      <c r="G68" s="123">
        <v>101.46480053952905</v>
      </c>
      <c r="H68" s="121">
        <v>7.74</v>
      </c>
      <c r="I68" s="124">
        <v>859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2120</v>
      </c>
      <c r="F71" s="122">
        <v>86539.158899999995</v>
      </c>
      <c r="G71" s="123">
        <v>86539.158899999995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2121</v>
      </c>
      <c r="F75" s="122">
        <v>115561.92915</v>
      </c>
      <c r="G75" s="123">
        <v>115561.92915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91.989596083942885</v>
      </c>
      <c r="G77" s="123">
        <v>99.993796083942883</v>
      </c>
      <c r="H77" s="121">
        <v>28.16</v>
      </c>
      <c r="I77" s="124">
        <v>2407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93.281365347174841</v>
      </c>
      <c r="G78" s="123">
        <v>96.675765347174831</v>
      </c>
      <c r="H78" s="121">
        <v>28.15</v>
      </c>
      <c r="I78" s="124">
        <v>2653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93.165819626318708</v>
      </c>
      <c r="G79" s="123">
        <v>100.3158196263187</v>
      </c>
      <c r="H79" s="121">
        <v>28.14</v>
      </c>
      <c r="I79" s="124">
        <v>2781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100.0012</v>
      </c>
      <c r="H80" s="121">
        <v>0.02</v>
      </c>
      <c r="I80" s="124">
        <v>3113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100.71169999999999</v>
      </c>
      <c r="H81" s="121">
        <v>6.08</v>
      </c>
      <c r="I81" s="124">
        <v>1728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105.5222</v>
      </c>
      <c r="H82" s="119">
        <v>7.08</v>
      </c>
      <c r="I82" s="116">
        <v>2210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105.98139999999999</v>
      </c>
      <c r="H83" s="119">
        <v>6.09</v>
      </c>
      <c r="I83" s="116">
        <v>2137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104.8292</v>
      </c>
      <c r="H84" s="119">
        <v>6.08</v>
      </c>
      <c r="I84" s="116">
        <v>2565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104.8292</v>
      </c>
      <c r="H85" s="121">
        <v>6.08</v>
      </c>
      <c r="I85" s="124">
        <v>2565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103.6939</v>
      </c>
      <c r="H86" s="119">
        <v>6.08</v>
      </c>
      <c r="I86" s="116">
        <v>2632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87.657769374082775</v>
      </c>
      <c r="G87" s="119">
        <v>94.625169374082773</v>
      </c>
      <c r="H87" s="119">
        <v>24.62</v>
      </c>
      <c r="I87" s="116">
        <v>1494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99.323232059874911</v>
      </c>
      <c r="G88" s="119">
        <v>99.438232059874906</v>
      </c>
      <c r="H88" s="119">
        <v>0.65</v>
      </c>
      <c r="I88" s="116">
        <v>4971</v>
      </c>
      <c r="J88" s="118" t="s">
        <v>273</v>
      </c>
    </row>
    <row r="89" spans="1:10" x14ac:dyDescent="0.25">
      <c r="A89" s="120">
        <v>86</v>
      </c>
      <c r="B89" s="117" t="s">
        <v>2337</v>
      </c>
      <c r="C89" s="118" t="s">
        <v>2338</v>
      </c>
      <c r="D89" s="118" t="s">
        <v>463</v>
      </c>
      <c r="E89" s="118" t="s">
        <v>2339</v>
      </c>
      <c r="F89" s="122">
        <v>100</v>
      </c>
      <c r="G89" s="123">
        <v>100.9</v>
      </c>
      <c r="H89" s="121">
        <v>20.239999999999998</v>
      </c>
      <c r="I89" s="124">
        <v>1064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25.533491578037466</v>
      </c>
      <c r="G90" s="123">
        <v>25.533491578037466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644</v>
      </c>
      <c r="C92" s="118" t="s">
        <v>645</v>
      </c>
      <c r="D92" s="118" t="s">
        <v>463</v>
      </c>
      <c r="E92" s="118" t="s">
        <v>646</v>
      </c>
      <c r="F92" s="122">
        <v>99.951933254427487</v>
      </c>
      <c r="G92" s="123">
        <v>106.79113325442749</v>
      </c>
      <c r="H92" s="121">
        <v>17.170000000000002</v>
      </c>
      <c r="I92" s="124">
        <v>5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646</v>
      </c>
      <c r="F93" s="122">
        <v>87.598638682973146</v>
      </c>
      <c r="G93" s="123">
        <v>93.081938682973146</v>
      </c>
      <c r="H93" s="121">
        <v>17.52</v>
      </c>
      <c r="I93" s="124">
        <v>1930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646</v>
      </c>
      <c r="F94" s="122">
        <v>100.069</v>
      </c>
      <c r="G94" s="123">
        <v>101.1315</v>
      </c>
      <c r="H94" s="121">
        <v>3.72</v>
      </c>
      <c r="I94" s="124">
        <v>978</v>
      </c>
      <c r="J94" s="118" t="s">
        <v>273</v>
      </c>
    </row>
    <row r="95" spans="1:10" x14ac:dyDescent="0.25">
      <c r="A95" s="120">
        <v>92</v>
      </c>
      <c r="B95" s="117" t="s">
        <v>651</v>
      </c>
      <c r="C95" s="118" t="s">
        <v>652</v>
      </c>
      <c r="D95" s="118" t="s">
        <v>463</v>
      </c>
      <c r="E95" s="118" t="s">
        <v>646</v>
      </c>
      <c r="F95" s="122">
        <v>102.044</v>
      </c>
      <c r="G95" s="123">
        <v>103.87909999999999</v>
      </c>
      <c r="H95" s="121">
        <v>3.76</v>
      </c>
      <c r="I95" s="124">
        <v>1289</v>
      </c>
      <c r="J95" s="118" t="s">
        <v>273</v>
      </c>
    </row>
    <row r="96" spans="1:10" x14ac:dyDescent="0.25">
      <c r="A96" s="120">
        <v>93</v>
      </c>
      <c r="B96" s="117" t="s">
        <v>2025</v>
      </c>
      <c r="C96" s="118" t="s">
        <v>2026</v>
      </c>
      <c r="D96" s="118" t="s">
        <v>463</v>
      </c>
      <c r="E96" s="118" t="s">
        <v>646</v>
      </c>
      <c r="F96" s="122">
        <v>95.574208771608269</v>
      </c>
      <c r="G96" s="123">
        <v>96.193808771608275</v>
      </c>
      <c r="H96" s="121">
        <v>17.39</v>
      </c>
      <c r="I96" s="124">
        <v>524</v>
      </c>
      <c r="J96" s="118" t="s">
        <v>273</v>
      </c>
    </row>
    <row r="97" spans="1:10" x14ac:dyDescent="0.25">
      <c r="A97" s="120">
        <v>94</v>
      </c>
      <c r="B97" s="117" t="s">
        <v>653</v>
      </c>
      <c r="C97" s="118" t="s">
        <v>654</v>
      </c>
      <c r="D97" s="118" t="s">
        <v>463</v>
      </c>
      <c r="E97" s="118" t="s">
        <v>646</v>
      </c>
      <c r="F97" s="122">
        <v>97.764382597903321</v>
      </c>
      <c r="G97" s="123">
        <v>98.008282597903317</v>
      </c>
      <c r="H97" s="121">
        <v>15.81</v>
      </c>
      <c r="I97" s="124">
        <v>173</v>
      </c>
      <c r="J97" s="118" t="s">
        <v>273</v>
      </c>
    </row>
    <row r="98" spans="1:10" x14ac:dyDescent="0.25">
      <c r="A98" s="120">
        <v>95</v>
      </c>
      <c r="B98" s="117" t="s">
        <v>2095</v>
      </c>
      <c r="C98" s="118" t="s">
        <v>2096</v>
      </c>
      <c r="D98" s="118" t="s">
        <v>463</v>
      </c>
      <c r="E98" s="118" t="s">
        <v>646</v>
      </c>
      <c r="F98" s="122">
        <v>92.490936278875168</v>
      </c>
      <c r="G98" s="123">
        <v>98.460336278875175</v>
      </c>
      <c r="H98" s="121">
        <v>17.78</v>
      </c>
      <c r="I98" s="124">
        <v>1661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463</v>
      </c>
      <c r="E99" s="118" t="s">
        <v>646</v>
      </c>
      <c r="F99" s="122">
        <v>76.677999999999997</v>
      </c>
      <c r="G99" s="123">
        <v>80.625200000000007</v>
      </c>
      <c r="H99" s="121">
        <v>16.68</v>
      </c>
      <c r="I99" s="124">
        <v>1930</v>
      </c>
      <c r="J99" s="118" t="s">
        <v>273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646</v>
      </c>
      <c r="F100" s="122">
        <v>1.0080494444444446</v>
      </c>
      <c r="G100" s="123">
        <v>1.0080494444444446</v>
      </c>
      <c r="H100" s="121">
        <v>0</v>
      </c>
      <c r="I100" s="124">
        <v>220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453</v>
      </c>
      <c r="E101" s="118" t="s">
        <v>646</v>
      </c>
      <c r="F101" s="122">
        <v>0.87850888888888889</v>
      </c>
      <c r="G101" s="123">
        <v>0.87850888888888889</v>
      </c>
      <c r="H101" s="121">
        <v>0</v>
      </c>
      <c r="I101" s="124">
        <v>1481</v>
      </c>
      <c r="J101" s="118" t="s">
        <v>242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646</v>
      </c>
      <c r="F102" s="122">
        <v>79.594999999999999</v>
      </c>
      <c r="G102" s="123">
        <v>83.872799999999998</v>
      </c>
      <c r="H102" s="121">
        <v>16.690000000000001</v>
      </c>
      <c r="I102" s="124">
        <v>1930</v>
      </c>
      <c r="J102" s="118" t="s">
        <v>273</v>
      </c>
    </row>
    <row r="103" spans="1:10" x14ac:dyDescent="0.25">
      <c r="A103" s="120">
        <v>100</v>
      </c>
      <c r="B103" s="117" t="s">
        <v>663</v>
      </c>
      <c r="C103" s="118" t="s">
        <v>664</v>
      </c>
      <c r="D103" s="118" t="s">
        <v>463</v>
      </c>
      <c r="E103" s="118" t="s">
        <v>665</v>
      </c>
      <c r="F103" s="122">
        <v>100</v>
      </c>
      <c r="G103" s="123">
        <v>100.3188</v>
      </c>
      <c r="H103" s="121">
        <v>4.24</v>
      </c>
      <c r="I103" s="124">
        <v>273</v>
      </c>
      <c r="J103" s="118" t="s">
        <v>273</v>
      </c>
    </row>
    <row r="104" spans="1:10" x14ac:dyDescent="0.25">
      <c r="A104" s="120">
        <v>101</v>
      </c>
      <c r="B104" s="117" t="s">
        <v>2333</v>
      </c>
      <c r="C104" s="118" t="s">
        <v>2334</v>
      </c>
      <c r="D104" s="118" t="s">
        <v>463</v>
      </c>
      <c r="E104" s="118" t="s">
        <v>665</v>
      </c>
      <c r="F104" s="122">
        <v>100</v>
      </c>
      <c r="G104" s="123">
        <v>100.2715</v>
      </c>
      <c r="H104" s="121">
        <v>4.24</v>
      </c>
      <c r="I104" s="124">
        <v>637</v>
      </c>
      <c r="J104" s="118" t="s">
        <v>273</v>
      </c>
    </row>
    <row r="105" spans="1:10" x14ac:dyDescent="0.25">
      <c r="A105" s="120">
        <v>102</v>
      </c>
      <c r="B105" s="117" t="s">
        <v>666</v>
      </c>
      <c r="C105" s="118" t="s">
        <v>667</v>
      </c>
      <c r="D105" s="118" t="s">
        <v>463</v>
      </c>
      <c r="E105" s="118" t="s">
        <v>665</v>
      </c>
      <c r="F105" s="122">
        <v>100</v>
      </c>
      <c r="G105" s="123">
        <v>100.0778</v>
      </c>
      <c r="H105" s="121">
        <v>0.35</v>
      </c>
      <c r="I105" s="124">
        <v>280</v>
      </c>
      <c r="J105" s="118" t="s">
        <v>273</v>
      </c>
    </row>
    <row r="106" spans="1:10" x14ac:dyDescent="0.25">
      <c r="A106" s="120">
        <v>103</v>
      </c>
      <c r="B106" s="117" t="s">
        <v>2416</v>
      </c>
      <c r="C106" s="118" t="s">
        <v>2417</v>
      </c>
      <c r="D106" s="118" t="s">
        <v>463</v>
      </c>
      <c r="E106" s="118" t="s">
        <v>665</v>
      </c>
      <c r="F106" s="122">
        <v>100</v>
      </c>
      <c r="G106" s="123">
        <v>100.0068</v>
      </c>
      <c r="H106" s="121">
        <v>0.35</v>
      </c>
      <c r="I106" s="124">
        <v>713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665</v>
      </c>
      <c r="F107" s="122">
        <v>100</v>
      </c>
      <c r="G107" s="123">
        <v>100.0001</v>
      </c>
      <c r="H107" s="121">
        <v>0.02</v>
      </c>
      <c r="I107" s="124">
        <v>3113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463</v>
      </c>
      <c r="E108" s="118" t="s">
        <v>665</v>
      </c>
      <c r="F108" s="122">
        <v>100</v>
      </c>
      <c r="G108" s="123">
        <v>100.71169999999999</v>
      </c>
      <c r="H108" s="121">
        <v>6.08</v>
      </c>
      <c r="I108" s="124">
        <v>1728</v>
      </c>
      <c r="J108" s="118" t="s">
        <v>273</v>
      </c>
    </row>
    <row r="109" spans="1:10" x14ac:dyDescent="0.25">
      <c r="A109" s="120">
        <v>106</v>
      </c>
      <c r="B109" s="117" t="s">
        <v>672</v>
      </c>
      <c r="C109" s="118" t="s">
        <v>673</v>
      </c>
      <c r="D109" s="118" t="s">
        <v>453</v>
      </c>
      <c r="E109" s="118" t="s">
        <v>674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242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463</v>
      </c>
      <c r="E110" s="118" t="s">
        <v>674</v>
      </c>
      <c r="F110" s="122">
        <v>97.576599999999999</v>
      </c>
      <c r="G110" s="123">
        <v>99.226600000000005</v>
      </c>
      <c r="H110" s="121">
        <v>11</v>
      </c>
      <c r="I110" s="124">
        <v>474</v>
      </c>
      <c r="J110" s="118" t="s">
        <v>273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674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679</v>
      </c>
      <c r="C112" s="118" t="s">
        <v>680</v>
      </c>
      <c r="D112" s="118" t="s">
        <v>453</v>
      </c>
      <c r="E112" s="118" t="s">
        <v>681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242</v>
      </c>
    </row>
    <row r="113" spans="1:10" x14ac:dyDescent="0.25">
      <c r="A113" s="120">
        <v>110</v>
      </c>
      <c r="B113" s="117" t="s">
        <v>682</v>
      </c>
      <c r="C113" s="118" t="s">
        <v>683</v>
      </c>
      <c r="D113" s="118" t="s">
        <v>463</v>
      </c>
      <c r="E113" s="118" t="s">
        <v>684</v>
      </c>
      <c r="F113" s="122">
        <v>93.772911018461997</v>
      </c>
      <c r="G113" s="123">
        <v>98.684011018461987</v>
      </c>
      <c r="H113" s="121">
        <v>28.01</v>
      </c>
      <c r="I113" s="124">
        <v>2632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463</v>
      </c>
      <c r="E114" s="118" t="s">
        <v>684</v>
      </c>
      <c r="F114" s="122">
        <v>90.267276584586</v>
      </c>
      <c r="G114" s="123">
        <v>91.170076584585999</v>
      </c>
      <c r="H114" s="121">
        <v>28</v>
      </c>
      <c r="I114" s="124">
        <v>3137</v>
      </c>
      <c r="J114" s="118" t="s">
        <v>273</v>
      </c>
    </row>
    <row r="115" spans="1:10" x14ac:dyDescent="0.25">
      <c r="A115" s="120">
        <v>112</v>
      </c>
      <c r="B115" s="117" t="s">
        <v>687</v>
      </c>
      <c r="C115" s="118" t="s">
        <v>688</v>
      </c>
      <c r="D115" s="118" t="s">
        <v>453</v>
      </c>
      <c r="E115" s="118" t="s">
        <v>689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693</v>
      </c>
      <c r="C116" s="118" t="s">
        <v>694</v>
      </c>
      <c r="D116" s="118" t="s">
        <v>453</v>
      </c>
      <c r="E116" s="118" t="s">
        <v>695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242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2284</v>
      </c>
      <c r="F117" s="122">
        <v>95.905261563061302</v>
      </c>
      <c r="G117" s="123">
        <v>100.2548615630613</v>
      </c>
      <c r="H117" s="121">
        <v>18.36</v>
      </c>
      <c r="I117" s="124">
        <v>217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2284</v>
      </c>
      <c r="F118" s="122">
        <v>7.7673834992455326</v>
      </c>
      <c r="G118" s="123">
        <v>7.8476834992455329</v>
      </c>
      <c r="H118" s="121">
        <v>17.29</v>
      </c>
      <c r="I118" s="124">
        <v>5484</v>
      </c>
      <c r="J118" s="118" t="s">
        <v>273</v>
      </c>
    </row>
    <row r="119" spans="1:10" x14ac:dyDescent="0.25">
      <c r="A119" s="120">
        <v>116</v>
      </c>
      <c r="B119" s="117" t="s">
        <v>700</v>
      </c>
      <c r="C119" s="118" t="s">
        <v>701</v>
      </c>
      <c r="D119" s="118" t="s">
        <v>463</v>
      </c>
      <c r="E119" s="118" t="s">
        <v>702</v>
      </c>
      <c r="F119" s="122">
        <v>100</v>
      </c>
      <c r="G119" s="123">
        <v>101.9597</v>
      </c>
      <c r="H119" s="121">
        <v>4.24</v>
      </c>
      <c r="I119" s="124">
        <v>314</v>
      </c>
      <c r="J119" s="118" t="s">
        <v>273</v>
      </c>
    </row>
    <row r="120" spans="1:10" x14ac:dyDescent="0.25">
      <c r="A120" s="120">
        <v>117</v>
      </c>
      <c r="B120" s="117" t="s">
        <v>703</v>
      </c>
      <c r="C120" s="118" t="s">
        <v>704</v>
      </c>
      <c r="D120" s="118" t="s">
        <v>463</v>
      </c>
      <c r="E120" s="118" t="s">
        <v>702</v>
      </c>
      <c r="F120" s="122">
        <v>100</v>
      </c>
      <c r="G120" s="123">
        <v>100.0583</v>
      </c>
      <c r="H120" s="121">
        <v>0.35</v>
      </c>
      <c r="I120" s="124">
        <v>300</v>
      </c>
      <c r="J120" s="118" t="s">
        <v>273</v>
      </c>
    </row>
    <row r="121" spans="1:10" x14ac:dyDescent="0.25">
      <c r="A121" s="120">
        <v>118</v>
      </c>
      <c r="B121" s="117" t="s">
        <v>2295</v>
      </c>
      <c r="C121" s="118" t="s">
        <v>2296</v>
      </c>
      <c r="D121" s="118" t="s">
        <v>463</v>
      </c>
      <c r="E121" s="118" t="s">
        <v>702</v>
      </c>
      <c r="F121" s="122">
        <v>100</v>
      </c>
      <c r="G121" s="123">
        <v>100.036</v>
      </c>
      <c r="H121" s="121">
        <v>0.35</v>
      </c>
      <c r="I121" s="124">
        <v>683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702</v>
      </c>
      <c r="F122" s="122">
        <v>100</v>
      </c>
      <c r="G122" s="123">
        <v>100.01730000000001</v>
      </c>
      <c r="H122" s="121">
        <v>0.02</v>
      </c>
      <c r="I122" s="124">
        <v>3113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702</v>
      </c>
      <c r="F123" s="122">
        <v>100</v>
      </c>
      <c r="G123" s="123">
        <v>100.0001</v>
      </c>
      <c r="H123" s="121">
        <v>0.02</v>
      </c>
      <c r="I123" s="124">
        <v>3113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702</v>
      </c>
      <c r="F124" s="122">
        <v>100</v>
      </c>
      <c r="G124" s="123">
        <v>100.71169999999999</v>
      </c>
      <c r="H124" s="121">
        <v>6.08</v>
      </c>
      <c r="I124" s="124">
        <v>1728</v>
      </c>
      <c r="J124" s="118" t="s">
        <v>273</v>
      </c>
    </row>
    <row r="125" spans="1:10" x14ac:dyDescent="0.25">
      <c r="A125" s="120">
        <v>122</v>
      </c>
      <c r="B125" s="117" t="s">
        <v>711</v>
      </c>
      <c r="C125" s="118" t="s">
        <v>712</v>
      </c>
      <c r="D125" s="118" t="s">
        <v>463</v>
      </c>
      <c r="E125" s="118" t="s">
        <v>702</v>
      </c>
      <c r="F125" s="122">
        <v>100</v>
      </c>
      <c r="G125" s="123">
        <v>105.5222</v>
      </c>
      <c r="H125" s="121">
        <v>7.08</v>
      </c>
      <c r="I125" s="124">
        <v>2210</v>
      </c>
      <c r="J125" s="118" t="s">
        <v>273</v>
      </c>
    </row>
    <row r="126" spans="1:10" x14ac:dyDescent="0.25">
      <c r="A126" s="120">
        <v>123</v>
      </c>
      <c r="B126" s="117" t="s">
        <v>2437</v>
      </c>
      <c r="C126" s="118" t="s">
        <v>2438</v>
      </c>
      <c r="D126" s="118" t="s">
        <v>463</v>
      </c>
      <c r="E126" s="118" t="s">
        <v>702</v>
      </c>
      <c r="F126" s="122">
        <v>91.146934647447111</v>
      </c>
      <c r="G126" s="123">
        <v>91.500834647447107</v>
      </c>
      <c r="H126" s="121">
        <v>20.329999999999998</v>
      </c>
      <c r="I126" s="124">
        <v>3593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702</v>
      </c>
      <c r="F127" s="122">
        <v>100</v>
      </c>
      <c r="G127" s="123">
        <v>105.98139999999999</v>
      </c>
      <c r="H127" s="121">
        <v>6.09</v>
      </c>
      <c r="I127" s="124">
        <v>2137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702</v>
      </c>
      <c r="F128" s="122">
        <v>100</v>
      </c>
      <c r="G128" s="123">
        <v>104.8292</v>
      </c>
      <c r="H128" s="121">
        <v>6.08</v>
      </c>
      <c r="I128" s="124">
        <v>2565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702</v>
      </c>
      <c r="F129" s="122">
        <v>100</v>
      </c>
      <c r="G129" s="123">
        <v>104.8292</v>
      </c>
      <c r="H129" s="121">
        <v>6.08</v>
      </c>
      <c r="I129" s="124">
        <v>2565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463</v>
      </c>
      <c r="E130" s="118" t="s">
        <v>702</v>
      </c>
      <c r="F130" s="122">
        <v>100</v>
      </c>
      <c r="G130" s="123">
        <v>103.6939</v>
      </c>
      <c r="H130" s="121">
        <v>6.08</v>
      </c>
      <c r="I130" s="124">
        <v>2632</v>
      </c>
      <c r="J130" s="118" t="s">
        <v>273</v>
      </c>
    </row>
    <row r="131" spans="1:10" x14ac:dyDescent="0.25">
      <c r="A131" s="120">
        <v>128</v>
      </c>
      <c r="B131" s="117" t="s">
        <v>721</v>
      </c>
      <c r="C131" s="118" t="s">
        <v>722</v>
      </c>
      <c r="D131" s="118" t="s">
        <v>453</v>
      </c>
      <c r="E131" s="118" t="s">
        <v>723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242</v>
      </c>
    </row>
    <row r="132" spans="1:10" x14ac:dyDescent="0.25">
      <c r="A132" s="120">
        <v>129</v>
      </c>
      <c r="B132" s="117" t="s">
        <v>690</v>
      </c>
      <c r="C132" s="118" t="s">
        <v>691</v>
      </c>
      <c r="D132" s="118" t="s">
        <v>463</v>
      </c>
      <c r="E132" s="118" t="s">
        <v>692</v>
      </c>
      <c r="F132" s="122">
        <v>31.227</v>
      </c>
      <c r="G132" s="123">
        <v>31.3155</v>
      </c>
      <c r="H132" s="121">
        <v>3.12</v>
      </c>
      <c r="I132" s="124">
        <v>34660</v>
      </c>
      <c r="J132" s="118" t="s">
        <v>273</v>
      </c>
    </row>
    <row r="133" spans="1:10" x14ac:dyDescent="0.25">
      <c r="A133" s="120">
        <v>130</v>
      </c>
      <c r="B133" s="117" t="s">
        <v>724</v>
      </c>
      <c r="C133" s="118" t="s">
        <v>725</v>
      </c>
      <c r="D133" s="118" t="s">
        <v>463</v>
      </c>
      <c r="E133" s="118" t="s">
        <v>726</v>
      </c>
      <c r="F133" s="122">
        <v>93.065858835353154</v>
      </c>
      <c r="G133" s="123">
        <v>98.915858835353163</v>
      </c>
      <c r="H133" s="121">
        <v>28.29</v>
      </c>
      <c r="I133" s="124">
        <v>2529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463</v>
      </c>
      <c r="E134" s="118" t="s">
        <v>726</v>
      </c>
      <c r="F134" s="122">
        <v>89.461510609597724</v>
      </c>
      <c r="G134" s="123">
        <v>90.850410609597716</v>
      </c>
      <c r="H134" s="121">
        <v>28.27</v>
      </c>
      <c r="I134" s="124">
        <v>3130</v>
      </c>
      <c r="J134" s="118" t="s">
        <v>273</v>
      </c>
    </row>
    <row r="135" spans="1:10" x14ac:dyDescent="0.25">
      <c r="A135" s="120">
        <v>132</v>
      </c>
      <c r="B135" s="117" t="s">
        <v>729</v>
      </c>
      <c r="C135" s="118" t="s">
        <v>730</v>
      </c>
      <c r="D135" s="118" t="s">
        <v>453</v>
      </c>
      <c r="E135" s="118" t="s">
        <v>731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732</v>
      </c>
      <c r="C136" s="118" t="s">
        <v>733</v>
      </c>
      <c r="D136" s="118" t="s">
        <v>453</v>
      </c>
      <c r="E136" s="118" t="s">
        <v>731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737</v>
      </c>
      <c r="C137" s="118" t="s">
        <v>738</v>
      </c>
      <c r="D137" s="118" t="s">
        <v>453</v>
      </c>
      <c r="E137" s="118" t="s">
        <v>739</v>
      </c>
      <c r="F137" s="122">
        <v>24523.636500000001</v>
      </c>
      <c r="G137" s="123">
        <v>24523.636500000001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740</v>
      </c>
      <c r="C138" s="118" t="s">
        <v>741</v>
      </c>
      <c r="D138" s="118" t="s">
        <v>453</v>
      </c>
      <c r="E138" s="118" t="s">
        <v>742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734</v>
      </c>
      <c r="C139" s="118" t="s">
        <v>735</v>
      </c>
      <c r="D139" s="118" t="s">
        <v>453</v>
      </c>
      <c r="E139" s="118" t="s">
        <v>736</v>
      </c>
      <c r="F139" s="122">
        <v>120756.74984999999</v>
      </c>
      <c r="G139" s="123">
        <v>120756.74984999999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743</v>
      </c>
      <c r="C140" s="118" t="s">
        <v>744</v>
      </c>
      <c r="D140" s="118" t="s">
        <v>745</v>
      </c>
      <c r="E140" s="118" t="s">
        <v>28</v>
      </c>
      <c r="F140" s="122">
        <v>66156.691700654206</v>
      </c>
      <c r="G140" s="123">
        <v>66156.691700654206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745</v>
      </c>
      <c r="E141" s="118" t="s">
        <v>28</v>
      </c>
      <c r="F141" s="122">
        <v>1456.44</v>
      </c>
      <c r="G141" s="123">
        <v>1456.44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746</v>
      </c>
      <c r="C142" s="118" t="s">
        <v>747</v>
      </c>
      <c r="D142" s="118" t="s">
        <v>745</v>
      </c>
      <c r="E142" s="118" t="s">
        <v>28</v>
      </c>
      <c r="F142" s="122">
        <v>6.7558202831607845</v>
      </c>
      <c r="G142" s="123">
        <v>6.7558202831607845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2107</v>
      </c>
      <c r="C143" s="118" t="s">
        <v>2108</v>
      </c>
      <c r="D143" s="118" t="s">
        <v>745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748</v>
      </c>
      <c r="C144" s="118" t="s">
        <v>749</v>
      </c>
      <c r="D144" s="118" t="s">
        <v>453</v>
      </c>
      <c r="E144" s="118" t="s">
        <v>750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242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2101</v>
      </c>
      <c r="F145" s="122">
        <v>28.79333338872382</v>
      </c>
      <c r="G145" s="123">
        <v>28.802933388723819</v>
      </c>
      <c r="H145" s="121">
        <v>17.399999999999999</v>
      </c>
      <c r="I145" s="124">
        <v>2687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2101</v>
      </c>
      <c r="F146" s="122">
        <v>98.197443512234486</v>
      </c>
      <c r="G146" s="123">
        <v>105.32114351223449</v>
      </c>
      <c r="H146" s="121">
        <v>18.059999999999999</v>
      </c>
      <c r="I146" s="124">
        <v>385</v>
      </c>
      <c r="J146" s="118" t="s">
        <v>273</v>
      </c>
    </row>
    <row r="147" spans="1:10" x14ac:dyDescent="0.25">
      <c r="A147" s="120">
        <v>144</v>
      </c>
      <c r="B147" s="117" t="s">
        <v>755</v>
      </c>
      <c r="C147" s="118" t="s">
        <v>756</v>
      </c>
      <c r="D147" s="118" t="s">
        <v>463</v>
      </c>
      <c r="E147" s="118" t="s">
        <v>2101</v>
      </c>
      <c r="F147" s="122">
        <v>97.163550922944395</v>
      </c>
      <c r="G147" s="123">
        <v>104.30935092294439</v>
      </c>
      <c r="H147" s="121">
        <v>17.88</v>
      </c>
      <c r="I147" s="124">
        <v>750</v>
      </c>
      <c r="J147" s="118" t="s">
        <v>273</v>
      </c>
    </row>
    <row r="148" spans="1:10" x14ac:dyDescent="0.25">
      <c r="A148" s="120">
        <v>145</v>
      </c>
      <c r="B148" s="117" t="s">
        <v>441</v>
      </c>
      <c r="C148" s="118" t="s">
        <v>442</v>
      </c>
      <c r="D148" s="118" t="s">
        <v>463</v>
      </c>
      <c r="E148" s="118" t="s">
        <v>757</v>
      </c>
      <c r="F148" s="122">
        <v>99.023471929488409</v>
      </c>
      <c r="G148" s="123">
        <v>103.6713719294884</v>
      </c>
      <c r="H148" s="121">
        <v>18.079999999999998</v>
      </c>
      <c r="I148" s="124">
        <v>443</v>
      </c>
      <c r="J148" s="118" t="s">
        <v>273</v>
      </c>
    </row>
    <row r="149" spans="1:10" x14ac:dyDescent="0.25">
      <c r="A149" s="120">
        <v>146</v>
      </c>
      <c r="B149" s="117" t="s">
        <v>758</v>
      </c>
      <c r="C149" s="118" t="s">
        <v>759</v>
      </c>
      <c r="D149" s="118" t="s">
        <v>463</v>
      </c>
      <c r="E149" s="118" t="s">
        <v>757</v>
      </c>
      <c r="F149" s="122">
        <v>102.60188211289491</v>
      </c>
      <c r="G149" s="123">
        <v>104.62268211289492</v>
      </c>
      <c r="H149" s="121">
        <v>5.28</v>
      </c>
      <c r="I149" s="124">
        <v>443</v>
      </c>
      <c r="J149" s="118" t="s">
        <v>273</v>
      </c>
    </row>
    <row r="150" spans="1:10" x14ac:dyDescent="0.25">
      <c r="A150" s="120">
        <v>147</v>
      </c>
      <c r="B150" s="117" t="s">
        <v>2240</v>
      </c>
      <c r="C150" s="118" t="s">
        <v>2241</v>
      </c>
      <c r="D150" s="118" t="s">
        <v>463</v>
      </c>
      <c r="E150" s="118" t="s">
        <v>757</v>
      </c>
      <c r="F150" s="122">
        <v>100.6353</v>
      </c>
      <c r="G150" s="123">
        <v>104.3186</v>
      </c>
      <c r="H150" s="121">
        <v>19</v>
      </c>
      <c r="I150" s="124">
        <v>652</v>
      </c>
      <c r="J150" s="118" t="s">
        <v>273</v>
      </c>
    </row>
    <row r="151" spans="1:10" x14ac:dyDescent="0.25">
      <c r="A151" s="120">
        <v>148</v>
      </c>
      <c r="B151" s="117" t="s">
        <v>760</v>
      </c>
      <c r="C151" s="118" t="s">
        <v>761</v>
      </c>
      <c r="D151" s="118" t="s">
        <v>453</v>
      </c>
      <c r="E151" s="118" t="s">
        <v>762</v>
      </c>
      <c r="F151" s="122">
        <v>70371.823950000005</v>
      </c>
      <c r="G151" s="123">
        <v>70371.823950000005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2142</v>
      </c>
      <c r="C152" s="118" t="s">
        <v>1888</v>
      </c>
      <c r="D152" s="118" t="s">
        <v>765</v>
      </c>
      <c r="E152" s="118" t="s">
        <v>1889</v>
      </c>
      <c r="F152" s="122">
        <v>49152.02895</v>
      </c>
      <c r="G152" s="123">
        <v>49152.02895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763</v>
      </c>
      <c r="C153" s="118" t="s">
        <v>764</v>
      </c>
      <c r="D153" s="118" t="s">
        <v>765</v>
      </c>
      <c r="E153" s="118" t="s">
        <v>766</v>
      </c>
      <c r="F153" s="122">
        <v>11090.70045</v>
      </c>
      <c r="G153" s="123">
        <v>11090.70045</v>
      </c>
      <c r="H153" s="121">
        <v>0</v>
      </c>
      <c r="I153" s="124">
        <v>0</v>
      </c>
      <c r="J153" s="118" t="s">
        <v>242</v>
      </c>
    </row>
    <row r="154" spans="1:10" x14ac:dyDescent="0.25">
      <c r="A154" s="120">
        <v>151</v>
      </c>
      <c r="B154" s="117" t="s">
        <v>767</v>
      </c>
      <c r="C154" s="118" t="s">
        <v>768</v>
      </c>
      <c r="D154" s="118" t="s">
        <v>463</v>
      </c>
      <c r="E154" s="118" t="s">
        <v>769</v>
      </c>
      <c r="F154" s="122">
        <v>99.436391678137625</v>
      </c>
      <c r="G154" s="123">
        <v>104.21419167813762</v>
      </c>
      <c r="H154" s="121">
        <v>21.9</v>
      </c>
      <c r="I154" s="124">
        <v>460</v>
      </c>
      <c r="J154" s="118" t="s">
        <v>273</v>
      </c>
    </row>
    <row r="155" spans="1:10" x14ac:dyDescent="0.25">
      <c r="A155" s="120">
        <v>152</v>
      </c>
      <c r="B155" s="117" t="s">
        <v>770</v>
      </c>
      <c r="C155" s="118" t="s">
        <v>771</v>
      </c>
      <c r="D155" s="118" t="s">
        <v>765</v>
      </c>
      <c r="E155" s="118" t="s">
        <v>772</v>
      </c>
      <c r="F155" s="122">
        <v>18050.256000000001</v>
      </c>
      <c r="G155" s="123">
        <v>18050.256000000001</v>
      </c>
      <c r="H155" s="121">
        <v>0</v>
      </c>
      <c r="I155" s="124">
        <v>0</v>
      </c>
      <c r="J155" s="118" t="s">
        <v>242</v>
      </c>
    </row>
    <row r="156" spans="1:10" x14ac:dyDescent="0.25">
      <c r="A156" s="120">
        <v>153</v>
      </c>
      <c r="B156" s="117" t="s">
        <v>773</v>
      </c>
      <c r="C156" s="118" t="s">
        <v>774</v>
      </c>
      <c r="D156" s="118" t="s">
        <v>463</v>
      </c>
      <c r="E156" s="118" t="s">
        <v>775</v>
      </c>
      <c r="F156" s="122">
        <v>91.938124437663461</v>
      </c>
      <c r="G156" s="123">
        <v>101.16312443766347</v>
      </c>
      <c r="H156" s="121">
        <v>24.37</v>
      </c>
      <c r="I156" s="124">
        <v>1098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71.995788939878324</v>
      </c>
      <c r="G157" s="123">
        <v>77.152088939878325</v>
      </c>
      <c r="H157" s="121">
        <v>18.52</v>
      </c>
      <c r="I157" s="124">
        <v>2535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76.715960934144874</v>
      </c>
      <c r="G158" s="123">
        <v>81.840960934144874</v>
      </c>
      <c r="H158" s="121">
        <v>18.55</v>
      </c>
      <c r="I158" s="124">
        <v>1816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82.840881995437996</v>
      </c>
      <c r="G159" s="123">
        <v>87.821481995437992</v>
      </c>
      <c r="H159" s="121">
        <v>18.62</v>
      </c>
      <c r="I159" s="124">
        <v>1097</v>
      </c>
      <c r="J159" s="118" t="s">
        <v>273</v>
      </c>
    </row>
    <row r="160" spans="1:10" x14ac:dyDescent="0.25">
      <c r="A160" s="120">
        <v>157</v>
      </c>
      <c r="B160" s="117" t="s">
        <v>782</v>
      </c>
      <c r="C160" s="118" t="s">
        <v>783</v>
      </c>
      <c r="D160" s="118" t="s">
        <v>463</v>
      </c>
      <c r="E160" s="118" t="s">
        <v>29</v>
      </c>
      <c r="F160" s="122">
        <v>78.103704878646354</v>
      </c>
      <c r="G160" s="123">
        <v>80.059304878646344</v>
      </c>
      <c r="H160" s="121">
        <v>18.57</v>
      </c>
      <c r="I160" s="124">
        <v>1556</v>
      </c>
      <c r="J160" s="118" t="s">
        <v>273</v>
      </c>
    </row>
    <row r="161" spans="1:10" x14ac:dyDescent="0.25">
      <c r="A161" s="120">
        <v>158</v>
      </c>
      <c r="B161" s="117" t="s">
        <v>415</v>
      </c>
      <c r="C161" s="118" t="s">
        <v>416</v>
      </c>
      <c r="D161" s="118" t="s">
        <v>463</v>
      </c>
      <c r="E161" s="118" t="s">
        <v>29</v>
      </c>
      <c r="F161" s="122">
        <v>79.172019817699066</v>
      </c>
      <c r="G161" s="123">
        <v>80.669219817699073</v>
      </c>
      <c r="H161" s="121">
        <v>17.52</v>
      </c>
      <c r="I161" s="124">
        <v>1751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93.149640358788162</v>
      </c>
      <c r="G162" s="123">
        <v>94.510740358788155</v>
      </c>
      <c r="H162" s="121">
        <v>18.91</v>
      </c>
      <c r="I162" s="124">
        <v>311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8.959749223846579</v>
      </c>
      <c r="G163" s="123">
        <v>9.0097492238465779</v>
      </c>
      <c r="H163" s="121">
        <v>18.440000000000001</v>
      </c>
      <c r="I163" s="124">
        <v>5100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8.1400187657626493</v>
      </c>
      <c r="G164" s="123">
        <v>8.1746187657626503</v>
      </c>
      <c r="H164" s="121">
        <v>18.440000000000001</v>
      </c>
      <c r="I164" s="124">
        <v>5317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77.689019515691854</v>
      </c>
      <c r="G165" s="123">
        <v>79.590119515691853</v>
      </c>
      <c r="H165" s="121">
        <v>18.54</v>
      </c>
      <c r="I165" s="124">
        <v>1922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87.386765151112854</v>
      </c>
      <c r="G166" s="123">
        <v>89.287865151112854</v>
      </c>
      <c r="H166" s="121">
        <v>18.670000000000002</v>
      </c>
      <c r="I166" s="124">
        <v>842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57.590922657663228</v>
      </c>
      <c r="G167" s="123">
        <v>63.113122657663233</v>
      </c>
      <c r="H167" s="121">
        <v>19.37</v>
      </c>
      <c r="I167" s="124">
        <v>2240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22.95656886519868</v>
      </c>
      <c r="G168" s="123">
        <v>23.257968865198677</v>
      </c>
      <c r="H168" s="121">
        <v>18.440000000000001</v>
      </c>
      <c r="I168" s="124">
        <v>3188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20.682608328739235</v>
      </c>
      <c r="G169" s="123">
        <v>20.921508328739232</v>
      </c>
      <c r="H169" s="121">
        <v>19.329999999999998</v>
      </c>
      <c r="I169" s="124">
        <v>3428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96.469435750247229</v>
      </c>
      <c r="G170" s="123">
        <v>99.26943575024724</v>
      </c>
      <c r="H170" s="121">
        <v>18.850000000000001</v>
      </c>
      <c r="I170" s="124">
        <v>288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463</v>
      </c>
      <c r="E171" s="118" t="s">
        <v>29</v>
      </c>
      <c r="F171" s="122">
        <v>100</v>
      </c>
      <c r="G171" s="123">
        <v>102.2783</v>
      </c>
      <c r="H171" s="121">
        <v>17.38</v>
      </c>
      <c r="I171" s="124">
        <v>234</v>
      </c>
      <c r="J171" s="118" t="s">
        <v>273</v>
      </c>
    </row>
    <row r="172" spans="1:10" x14ac:dyDescent="0.25">
      <c r="A172" s="120">
        <v>169</v>
      </c>
      <c r="B172" s="117" t="s">
        <v>804</v>
      </c>
      <c r="C172" s="118" t="s">
        <v>805</v>
      </c>
      <c r="D172" s="118" t="s">
        <v>453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2993</v>
      </c>
      <c r="J172" s="118" t="s">
        <v>242</v>
      </c>
    </row>
    <row r="173" spans="1:10" x14ac:dyDescent="0.25">
      <c r="A173" s="120">
        <v>170</v>
      </c>
      <c r="B173" s="117" t="s">
        <v>1988</v>
      </c>
      <c r="C173" s="118" t="s">
        <v>1989</v>
      </c>
      <c r="D173" s="118" t="s">
        <v>463</v>
      </c>
      <c r="E173" s="118" t="s">
        <v>29</v>
      </c>
      <c r="F173" s="122">
        <v>47.762877070701592</v>
      </c>
      <c r="G173" s="123">
        <v>51.446177070701594</v>
      </c>
      <c r="H173" s="121">
        <v>18.41</v>
      </c>
      <c r="I173" s="124">
        <v>2989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95.771250794586365</v>
      </c>
      <c r="G174" s="123">
        <v>96.004550794586365</v>
      </c>
      <c r="H174" s="121">
        <v>18.899999999999999</v>
      </c>
      <c r="I174" s="124">
        <v>354</v>
      </c>
      <c r="J174" s="118" t="s">
        <v>273</v>
      </c>
    </row>
    <row r="175" spans="1:10" x14ac:dyDescent="0.25">
      <c r="A175" s="120">
        <v>172</v>
      </c>
      <c r="B175" s="117" t="s">
        <v>808</v>
      </c>
      <c r="C175" s="118" t="s">
        <v>809</v>
      </c>
      <c r="D175" s="118" t="s">
        <v>463</v>
      </c>
      <c r="E175" s="118" t="s">
        <v>29</v>
      </c>
      <c r="F175" s="122">
        <v>87.547841735536593</v>
      </c>
      <c r="G175" s="123">
        <v>87.922841735536593</v>
      </c>
      <c r="H175" s="121">
        <v>18.53</v>
      </c>
      <c r="I175" s="124">
        <v>2151</v>
      </c>
      <c r="J175" s="118" t="s">
        <v>273</v>
      </c>
    </row>
    <row r="176" spans="1:10" x14ac:dyDescent="0.25">
      <c r="A176" s="120">
        <v>173</v>
      </c>
      <c r="B176" s="117" t="s">
        <v>400</v>
      </c>
      <c r="C176" s="118" t="s">
        <v>401</v>
      </c>
      <c r="D176" s="118" t="s">
        <v>463</v>
      </c>
      <c r="E176" s="118" t="s">
        <v>29</v>
      </c>
      <c r="F176" s="122">
        <v>95.59177455998686</v>
      </c>
      <c r="G176" s="123">
        <v>98.359674559986857</v>
      </c>
      <c r="H176" s="121">
        <v>17.41</v>
      </c>
      <c r="I176" s="124">
        <v>269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87.810691383408184</v>
      </c>
      <c r="G177" s="123">
        <v>88.556391383408183</v>
      </c>
      <c r="H177" s="121">
        <v>5.45</v>
      </c>
      <c r="I177" s="124">
        <v>2069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101.248</v>
      </c>
      <c r="G178" s="123">
        <v>102.95910000000001</v>
      </c>
      <c r="H178" s="121">
        <v>4.72</v>
      </c>
      <c r="I178" s="124">
        <v>608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93.516051241343447</v>
      </c>
      <c r="G179" s="123">
        <v>97.560451241343443</v>
      </c>
      <c r="H179" s="121">
        <v>17.559999999999999</v>
      </c>
      <c r="I179" s="124">
        <v>608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101.245</v>
      </c>
      <c r="G180" s="123">
        <v>102.7617</v>
      </c>
      <c r="H180" s="121">
        <v>4.92</v>
      </c>
      <c r="I180" s="124">
        <v>1516</v>
      </c>
      <c r="J180" s="118" t="s">
        <v>273</v>
      </c>
    </row>
    <row r="181" spans="1:10" x14ac:dyDescent="0.25">
      <c r="A181" s="120">
        <v>178</v>
      </c>
      <c r="B181" s="117" t="s">
        <v>818</v>
      </c>
      <c r="C181" s="118" t="s">
        <v>819</v>
      </c>
      <c r="D181" s="118" t="s">
        <v>463</v>
      </c>
      <c r="E181" s="118" t="s">
        <v>29</v>
      </c>
      <c r="F181" s="122">
        <v>89.988</v>
      </c>
      <c r="G181" s="123">
        <v>92.760800000000003</v>
      </c>
      <c r="H181" s="121">
        <v>18.18</v>
      </c>
      <c r="I181" s="124">
        <v>1006</v>
      </c>
      <c r="J181" s="118" t="s">
        <v>273</v>
      </c>
    </row>
    <row r="182" spans="1:10" x14ac:dyDescent="0.25">
      <c r="A182" s="120">
        <v>179</v>
      </c>
      <c r="B182" s="117" t="s">
        <v>2150</v>
      </c>
      <c r="C182" s="118" t="s">
        <v>2151</v>
      </c>
      <c r="D182" s="118" t="s">
        <v>463</v>
      </c>
      <c r="E182" s="118" t="s">
        <v>29</v>
      </c>
      <c r="F182" s="122">
        <v>101.792</v>
      </c>
      <c r="G182" s="123">
        <v>103.667</v>
      </c>
      <c r="H182" s="121">
        <v>5.19</v>
      </c>
      <c r="I182" s="124">
        <v>1680</v>
      </c>
      <c r="J182" s="118" t="s">
        <v>273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463</v>
      </c>
      <c r="E183" s="118" t="s">
        <v>29</v>
      </c>
      <c r="F183" s="122">
        <v>100.1758175423753</v>
      </c>
      <c r="G183" s="123">
        <v>102.4091175423753</v>
      </c>
      <c r="H183" s="121">
        <v>5.7</v>
      </c>
      <c r="I183" s="124">
        <v>226</v>
      </c>
      <c r="J183" s="118" t="s">
        <v>273</v>
      </c>
    </row>
    <row r="184" spans="1:10" x14ac:dyDescent="0.25">
      <c r="A184" s="120">
        <v>181</v>
      </c>
      <c r="B184" s="117" t="s">
        <v>820</v>
      </c>
      <c r="C184" s="118" t="s">
        <v>821</v>
      </c>
      <c r="D184" s="118" t="s">
        <v>453</v>
      </c>
      <c r="E184" s="118" t="s">
        <v>822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242</v>
      </c>
    </row>
    <row r="185" spans="1:10" x14ac:dyDescent="0.25">
      <c r="A185" s="120">
        <v>182</v>
      </c>
      <c r="B185" s="117" t="s">
        <v>1990</v>
      </c>
      <c r="C185" s="118" t="s">
        <v>1991</v>
      </c>
      <c r="D185" s="118" t="s">
        <v>463</v>
      </c>
      <c r="E185" s="118" t="s">
        <v>2045</v>
      </c>
      <c r="F185" s="122">
        <v>103.54764094341574</v>
      </c>
      <c r="G185" s="123">
        <v>104.17264094341574</v>
      </c>
      <c r="H185" s="121">
        <v>5.23</v>
      </c>
      <c r="I185" s="124">
        <v>1404</v>
      </c>
      <c r="J185" s="118" t="s">
        <v>273</v>
      </c>
    </row>
    <row r="186" spans="1:10" x14ac:dyDescent="0.25">
      <c r="A186" s="120">
        <v>183</v>
      </c>
      <c r="B186" s="117" t="s">
        <v>823</v>
      </c>
      <c r="C186" s="118" t="s">
        <v>824</v>
      </c>
      <c r="D186" s="118" t="s">
        <v>453</v>
      </c>
      <c r="E186" s="118" t="s">
        <v>825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242</v>
      </c>
    </row>
    <row r="187" spans="1:10" x14ac:dyDescent="0.25">
      <c r="A187" s="120">
        <v>184</v>
      </c>
      <c r="B187" s="117" t="s">
        <v>826</v>
      </c>
      <c r="C187" s="118" t="s">
        <v>827</v>
      </c>
      <c r="D187" s="118" t="s">
        <v>463</v>
      </c>
      <c r="E187" s="118" t="s">
        <v>828</v>
      </c>
      <c r="F187" s="122">
        <v>61.850771335056592</v>
      </c>
      <c r="G187" s="123">
        <v>62.553071335056593</v>
      </c>
      <c r="H187" s="121">
        <v>18.54</v>
      </c>
      <c r="I187" s="124">
        <v>1758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828</v>
      </c>
      <c r="F188" s="122">
        <v>56.77152345869311</v>
      </c>
      <c r="G188" s="123">
        <v>62.674423458693106</v>
      </c>
      <c r="H188" s="121">
        <v>18.52</v>
      </c>
      <c r="I188" s="124">
        <v>2167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828</v>
      </c>
      <c r="F189" s="122">
        <v>52.285699652176859</v>
      </c>
      <c r="G189" s="123">
        <v>57.051499652176865</v>
      </c>
      <c r="H189" s="121">
        <v>18.510000000000002</v>
      </c>
      <c r="I189" s="124">
        <v>2595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828</v>
      </c>
      <c r="F190" s="122">
        <v>52.285699652176859</v>
      </c>
      <c r="G190" s="123">
        <v>57.051499652176865</v>
      </c>
      <c r="H190" s="121">
        <v>18.510000000000002</v>
      </c>
      <c r="I190" s="124">
        <v>2595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66.075392906721376</v>
      </c>
      <c r="G191" s="123">
        <v>67.130992906721374</v>
      </c>
      <c r="H191" s="121">
        <v>17.3</v>
      </c>
      <c r="I191" s="124">
        <v>3020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89.373755272965013</v>
      </c>
      <c r="G192" s="123">
        <v>92.140555272965017</v>
      </c>
      <c r="H192" s="121">
        <v>17.38</v>
      </c>
      <c r="I192" s="124">
        <v>1366</v>
      </c>
      <c r="J192" s="118" t="s">
        <v>273</v>
      </c>
    </row>
    <row r="193" spans="1:10" x14ac:dyDescent="0.25">
      <c r="A193" s="120">
        <v>190</v>
      </c>
      <c r="B193" s="117" t="s">
        <v>839</v>
      </c>
      <c r="C193" s="118" t="s">
        <v>840</v>
      </c>
      <c r="D193" s="118" t="s">
        <v>463</v>
      </c>
      <c r="E193" s="118" t="s">
        <v>393</v>
      </c>
      <c r="F193" s="122">
        <v>99.720600000000005</v>
      </c>
      <c r="G193" s="123">
        <v>105.38420000000001</v>
      </c>
      <c r="H193" s="121">
        <v>16.59</v>
      </c>
      <c r="I193" s="124">
        <v>33</v>
      </c>
      <c r="J193" s="118" t="s">
        <v>273</v>
      </c>
    </row>
    <row r="194" spans="1:10" x14ac:dyDescent="0.25">
      <c r="A194" s="120">
        <v>191</v>
      </c>
      <c r="B194" s="117" t="s">
        <v>417</v>
      </c>
      <c r="C194" s="118" t="s">
        <v>408</v>
      </c>
      <c r="D194" s="118" t="s">
        <v>463</v>
      </c>
      <c r="E194" s="118" t="s">
        <v>393</v>
      </c>
      <c r="F194" s="122">
        <v>97.812198261309831</v>
      </c>
      <c r="G194" s="123">
        <v>100.47449826130983</v>
      </c>
      <c r="H194" s="121">
        <v>17.38</v>
      </c>
      <c r="I194" s="124">
        <v>231</v>
      </c>
      <c r="J194" s="118" t="s">
        <v>273</v>
      </c>
    </row>
    <row r="195" spans="1:10" x14ac:dyDescent="0.25">
      <c r="A195" s="120">
        <v>192</v>
      </c>
      <c r="B195" s="117" t="s">
        <v>1992</v>
      </c>
      <c r="C195" s="118" t="s">
        <v>1993</v>
      </c>
      <c r="D195" s="118" t="s">
        <v>463</v>
      </c>
      <c r="E195" s="118" t="s">
        <v>393</v>
      </c>
      <c r="F195" s="122">
        <v>98.50016985658182</v>
      </c>
      <c r="G195" s="123">
        <v>100.20846985658183</v>
      </c>
      <c r="H195" s="121">
        <v>17.27</v>
      </c>
      <c r="I195" s="124">
        <v>229</v>
      </c>
      <c r="J195" s="118" t="s">
        <v>273</v>
      </c>
    </row>
    <row r="196" spans="1:10" x14ac:dyDescent="0.25">
      <c r="A196" s="120">
        <v>193</v>
      </c>
      <c r="B196" s="117" t="s">
        <v>2147</v>
      </c>
      <c r="C196" s="118" t="s">
        <v>2148</v>
      </c>
      <c r="D196" s="118" t="s">
        <v>463</v>
      </c>
      <c r="E196" s="118" t="s">
        <v>393</v>
      </c>
      <c r="F196" s="122">
        <v>99.458920694852921</v>
      </c>
      <c r="G196" s="123">
        <v>105.12562069485293</v>
      </c>
      <c r="H196" s="121">
        <v>17.309999999999999</v>
      </c>
      <c r="I196" s="124">
        <v>330</v>
      </c>
      <c r="J196" s="118" t="s">
        <v>273</v>
      </c>
    </row>
    <row r="197" spans="1:10" x14ac:dyDescent="0.25">
      <c r="A197" s="120">
        <v>194</v>
      </c>
      <c r="B197" s="117" t="s">
        <v>2154</v>
      </c>
      <c r="C197" s="118" t="s">
        <v>2149</v>
      </c>
      <c r="D197" s="118" t="s">
        <v>463</v>
      </c>
      <c r="E197" s="118" t="s">
        <v>393</v>
      </c>
      <c r="F197" s="122">
        <v>99.320933063663716</v>
      </c>
      <c r="G197" s="123">
        <v>104.74843306366373</v>
      </c>
      <c r="H197" s="121">
        <v>17.68</v>
      </c>
      <c r="I197" s="124">
        <v>243</v>
      </c>
      <c r="J197" s="118" t="s">
        <v>273</v>
      </c>
    </row>
    <row r="198" spans="1:10" x14ac:dyDescent="0.25">
      <c r="A198" s="120">
        <v>195</v>
      </c>
      <c r="B198" s="117" t="s">
        <v>2184</v>
      </c>
      <c r="C198" s="118" t="s">
        <v>2173</v>
      </c>
      <c r="D198" s="118" t="s">
        <v>463</v>
      </c>
      <c r="E198" s="118" t="s">
        <v>393</v>
      </c>
      <c r="F198" s="122">
        <v>97.915700000000001</v>
      </c>
      <c r="G198" s="123">
        <v>102.0938</v>
      </c>
      <c r="H198" s="121">
        <v>17.5</v>
      </c>
      <c r="I198" s="124">
        <v>1711</v>
      </c>
      <c r="J198" s="118" t="s">
        <v>273</v>
      </c>
    </row>
    <row r="199" spans="1:10" x14ac:dyDescent="0.25">
      <c r="A199" s="120">
        <v>196</v>
      </c>
      <c r="B199" s="117" t="s">
        <v>2272</v>
      </c>
      <c r="C199" s="118" t="s">
        <v>2273</v>
      </c>
      <c r="D199" s="118" t="s">
        <v>463</v>
      </c>
      <c r="E199" s="118" t="s">
        <v>393</v>
      </c>
      <c r="F199" s="122">
        <v>99.72793501765527</v>
      </c>
      <c r="G199" s="123">
        <v>102.40153501765528</v>
      </c>
      <c r="H199" s="121">
        <v>17.53</v>
      </c>
      <c r="I199" s="124">
        <v>1745</v>
      </c>
      <c r="J199" s="118" t="s">
        <v>273</v>
      </c>
    </row>
    <row r="200" spans="1:10" x14ac:dyDescent="0.25">
      <c r="A200" s="120">
        <v>197</v>
      </c>
      <c r="B200" s="117" t="s">
        <v>2274</v>
      </c>
      <c r="C200" s="118" t="s">
        <v>2275</v>
      </c>
      <c r="D200" s="118" t="s">
        <v>463</v>
      </c>
      <c r="E200" s="118" t="s">
        <v>393</v>
      </c>
      <c r="F200" s="122">
        <v>99.72793501765527</v>
      </c>
      <c r="G200" s="123">
        <v>102.40153501765528</v>
      </c>
      <c r="H200" s="121">
        <v>17.53</v>
      </c>
      <c r="I200" s="124">
        <v>1745</v>
      </c>
      <c r="J200" s="118" t="s">
        <v>273</v>
      </c>
    </row>
    <row r="201" spans="1:10" x14ac:dyDescent="0.25">
      <c r="A201" s="120">
        <v>198</v>
      </c>
      <c r="B201" s="117" t="s">
        <v>2206</v>
      </c>
      <c r="C201" s="118" t="s">
        <v>2207</v>
      </c>
      <c r="D201" s="118" t="s">
        <v>463</v>
      </c>
      <c r="E201" s="118" t="s">
        <v>393</v>
      </c>
      <c r="F201" s="122">
        <v>98.673984000219207</v>
      </c>
      <c r="G201" s="123">
        <v>102.57018400021921</v>
      </c>
      <c r="H201" s="121">
        <v>18.52</v>
      </c>
      <c r="I201" s="124">
        <v>286</v>
      </c>
      <c r="J201" s="118" t="s">
        <v>273</v>
      </c>
    </row>
    <row r="202" spans="1:10" x14ac:dyDescent="0.25">
      <c r="A202" s="120">
        <v>199</v>
      </c>
      <c r="B202" s="117" t="s">
        <v>2360</v>
      </c>
      <c r="C202" s="118" t="s">
        <v>2361</v>
      </c>
      <c r="D202" s="118" t="s">
        <v>463</v>
      </c>
      <c r="E202" s="118" t="s">
        <v>393</v>
      </c>
      <c r="F202" s="122">
        <v>99.973035930591962</v>
      </c>
      <c r="G202" s="123">
        <v>100.79743593059196</v>
      </c>
      <c r="H202" s="121">
        <v>17.7</v>
      </c>
      <c r="I202" s="124">
        <v>353</v>
      </c>
      <c r="J202" s="118" t="s">
        <v>273</v>
      </c>
    </row>
    <row r="203" spans="1:10" x14ac:dyDescent="0.25">
      <c r="A203" s="120">
        <v>200</v>
      </c>
      <c r="B203" s="117" t="s">
        <v>841</v>
      </c>
      <c r="C203" s="118" t="s">
        <v>842</v>
      </c>
      <c r="D203" s="118" t="s">
        <v>463</v>
      </c>
      <c r="E203" s="118" t="s">
        <v>393</v>
      </c>
      <c r="F203" s="122">
        <v>79.61341165283001</v>
      </c>
      <c r="G203" s="123">
        <v>82.312811652830021</v>
      </c>
      <c r="H203" s="121">
        <v>17.350000000000001</v>
      </c>
      <c r="I203" s="124">
        <v>1894</v>
      </c>
      <c r="J203" s="118" t="s">
        <v>273</v>
      </c>
    </row>
    <row r="204" spans="1:10" x14ac:dyDescent="0.25">
      <c r="A204" s="120">
        <v>201</v>
      </c>
      <c r="B204" s="117" t="s">
        <v>418</v>
      </c>
      <c r="C204" s="118" t="s">
        <v>419</v>
      </c>
      <c r="D204" s="118" t="s">
        <v>463</v>
      </c>
      <c r="E204" s="118" t="s">
        <v>393</v>
      </c>
      <c r="F204" s="122">
        <v>89.242215257438474</v>
      </c>
      <c r="G204" s="123">
        <v>91.062815257438487</v>
      </c>
      <c r="H204" s="121">
        <v>17.04</v>
      </c>
      <c r="I204" s="124">
        <v>842</v>
      </c>
      <c r="J204" s="118" t="s">
        <v>273</v>
      </c>
    </row>
    <row r="205" spans="1:10" x14ac:dyDescent="0.25">
      <c r="A205" s="120">
        <v>202</v>
      </c>
      <c r="B205" s="117" t="s">
        <v>843</v>
      </c>
      <c r="C205" s="118" t="s">
        <v>844</v>
      </c>
      <c r="D205" s="118" t="s">
        <v>463</v>
      </c>
      <c r="E205" s="118" t="s">
        <v>393</v>
      </c>
      <c r="F205" s="122">
        <v>79.444844565405504</v>
      </c>
      <c r="G205" s="123">
        <v>81.265444565405502</v>
      </c>
      <c r="H205" s="121">
        <v>17.34</v>
      </c>
      <c r="I205" s="124">
        <v>1922</v>
      </c>
      <c r="J205" s="118" t="s">
        <v>273</v>
      </c>
    </row>
    <row r="206" spans="1:10" x14ac:dyDescent="0.25">
      <c r="A206" s="120">
        <v>203</v>
      </c>
      <c r="B206" s="117" t="s">
        <v>420</v>
      </c>
      <c r="C206" s="118" t="s">
        <v>421</v>
      </c>
      <c r="D206" s="118" t="s">
        <v>463</v>
      </c>
      <c r="E206" s="118" t="s">
        <v>393</v>
      </c>
      <c r="F206" s="122">
        <v>78.717230996633177</v>
      </c>
      <c r="G206" s="123">
        <v>82.93393099663318</v>
      </c>
      <c r="H206" s="121">
        <v>17.02</v>
      </c>
      <c r="I206" s="124">
        <v>2022</v>
      </c>
      <c r="J206" s="118" t="s">
        <v>273</v>
      </c>
    </row>
    <row r="207" spans="1:10" x14ac:dyDescent="0.25">
      <c r="A207" s="120">
        <v>204</v>
      </c>
      <c r="B207" s="117" t="s">
        <v>422</v>
      </c>
      <c r="C207" s="118" t="s">
        <v>423</v>
      </c>
      <c r="D207" s="118" t="s">
        <v>463</v>
      </c>
      <c r="E207" s="118" t="s">
        <v>393</v>
      </c>
      <c r="F207" s="122">
        <v>77.077613390633132</v>
      </c>
      <c r="G207" s="123">
        <v>78.483213390633125</v>
      </c>
      <c r="H207" s="121">
        <v>17.02</v>
      </c>
      <c r="I207" s="124">
        <v>2294</v>
      </c>
      <c r="J207" s="118" t="s">
        <v>273</v>
      </c>
    </row>
    <row r="208" spans="1:10" x14ac:dyDescent="0.25">
      <c r="A208" s="120">
        <v>205</v>
      </c>
      <c r="B208" s="117" t="s">
        <v>378</v>
      </c>
      <c r="C208" s="118" t="s">
        <v>379</v>
      </c>
      <c r="D208" s="118" t="s">
        <v>463</v>
      </c>
      <c r="E208" s="118" t="s">
        <v>393</v>
      </c>
      <c r="F208" s="122">
        <v>80.741445518237057</v>
      </c>
      <c r="G208" s="123">
        <v>87.638645518237055</v>
      </c>
      <c r="H208" s="121">
        <v>16.61</v>
      </c>
      <c r="I208" s="124">
        <v>4849</v>
      </c>
      <c r="J208" s="118" t="s">
        <v>273</v>
      </c>
    </row>
    <row r="209" spans="1:10" x14ac:dyDescent="0.25">
      <c r="A209" s="120">
        <v>206</v>
      </c>
      <c r="B209" s="117" t="s">
        <v>2219</v>
      </c>
      <c r="C209" s="118" t="s">
        <v>2220</v>
      </c>
      <c r="D209" s="118" t="s">
        <v>463</v>
      </c>
      <c r="E209" s="118" t="s">
        <v>393</v>
      </c>
      <c r="F209" s="122">
        <v>100.87070799673792</v>
      </c>
      <c r="G209" s="123">
        <v>102.21810799673791</v>
      </c>
      <c r="H209" s="121">
        <v>5.0999999999999996</v>
      </c>
      <c r="I209" s="124">
        <v>991</v>
      </c>
      <c r="J209" s="118" t="s">
        <v>273</v>
      </c>
    </row>
    <row r="210" spans="1:10" x14ac:dyDescent="0.25">
      <c r="A210" s="120">
        <v>207</v>
      </c>
      <c r="B210" s="117" t="s">
        <v>845</v>
      </c>
      <c r="C210" s="118" t="s">
        <v>846</v>
      </c>
      <c r="D210" s="118" t="s">
        <v>463</v>
      </c>
      <c r="E210" s="118" t="s">
        <v>847</v>
      </c>
      <c r="F210" s="122">
        <v>96.629953572325974</v>
      </c>
      <c r="G210" s="123">
        <v>100.33415357232597</v>
      </c>
      <c r="H210" s="121">
        <v>21.96</v>
      </c>
      <c r="I210" s="124">
        <v>113</v>
      </c>
      <c r="J210" s="118" t="s">
        <v>273</v>
      </c>
    </row>
    <row r="211" spans="1:10" x14ac:dyDescent="0.25">
      <c r="A211" s="116">
        <v>208</v>
      </c>
      <c r="B211" s="117" t="s">
        <v>851</v>
      </c>
      <c r="C211" s="118" t="s">
        <v>852</v>
      </c>
      <c r="D211" s="118" t="s">
        <v>453</v>
      </c>
      <c r="E211" s="118" t="s">
        <v>853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854</v>
      </c>
      <c r="C212" s="118" t="s">
        <v>855</v>
      </c>
      <c r="D212" s="118" t="s">
        <v>453</v>
      </c>
      <c r="E212" s="118" t="s">
        <v>856</v>
      </c>
      <c r="F212" s="119">
        <v>231440.81219999999</v>
      </c>
      <c r="G212" s="119">
        <v>231440.81219999999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453</v>
      </c>
      <c r="E213" s="118" t="s">
        <v>34</v>
      </c>
      <c r="F213" s="119">
        <v>3694.3025368764643</v>
      </c>
      <c r="G213" s="119">
        <v>3694.3025368764643</v>
      </c>
      <c r="H213" s="119">
        <v>0</v>
      </c>
      <c r="I213" s="116">
        <v>0</v>
      </c>
      <c r="J213" s="118" t="s">
        <v>242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98.621106934349626</v>
      </c>
      <c r="G214" s="119">
        <v>102.17670693434962</v>
      </c>
      <c r="H214" s="119">
        <v>19.79</v>
      </c>
      <c r="I214" s="116">
        <v>52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39.822576100542193</v>
      </c>
      <c r="G215" s="119">
        <v>42.866976100542189</v>
      </c>
      <c r="H215" s="119">
        <v>20.75</v>
      </c>
      <c r="I215" s="116">
        <v>2606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84.9548694652092</v>
      </c>
      <c r="G216" s="119">
        <v>85.021569465209197</v>
      </c>
      <c r="H216" s="119">
        <v>19.940000000000001</v>
      </c>
      <c r="I216" s="116">
        <v>898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96.689062838825649</v>
      </c>
      <c r="G217" s="119">
        <v>97.905762838825652</v>
      </c>
      <c r="H217" s="119">
        <v>20.100000000000001</v>
      </c>
      <c r="I217" s="116">
        <v>140</v>
      </c>
      <c r="J217" s="118" t="s">
        <v>273</v>
      </c>
    </row>
    <row r="218" spans="1:10" x14ac:dyDescent="0.25">
      <c r="A218" s="116">
        <v>215</v>
      </c>
      <c r="B218" s="117" t="s">
        <v>865</v>
      </c>
      <c r="C218" s="118" t="s">
        <v>866</v>
      </c>
      <c r="D218" s="118" t="s">
        <v>463</v>
      </c>
      <c r="E218" s="118" t="s">
        <v>34</v>
      </c>
      <c r="F218" s="119">
        <v>80.517704347915029</v>
      </c>
      <c r="G218" s="119">
        <v>83.328804347915025</v>
      </c>
      <c r="H218" s="119">
        <v>19.88</v>
      </c>
      <c r="I218" s="116">
        <v>1172</v>
      </c>
      <c r="J218" s="118" t="s">
        <v>273</v>
      </c>
    </row>
    <row r="219" spans="1:10" x14ac:dyDescent="0.25">
      <c r="A219" s="116">
        <v>216</v>
      </c>
      <c r="B219" s="117" t="s">
        <v>2089</v>
      </c>
      <c r="C219" s="118" t="s">
        <v>2090</v>
      </c>
      <c r="D219" s="118" t="s">
        <v>463</v>
      </c>
      <c r="E219" s="118" t="s">
        <v>34</v>
      </c>
      <c r="F219" s="119">
        <v>98.580274860348624</v>
      </c>
      <c r="G219" s="119">
        <v>98.580274860348624</v>
      </c>
      <c r="H219" s="119">
        <v>4.8</v>
      </c>
      <c r="I219" s="116">
        <v>108</v>
      </c>
      <c r="J219" s="118" t="s">
        <v>273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453</v>
      </c>
      <c r="E220" s="118" t="s">
        <v>34</v>
      </c>
      <c r="F220" s="119">
        <v>5408.3290075848172</v>
      </c>
      <c r="G220" s="119">
        <v>5408.3290075848172</v>
      </c>
      <c r="H220" s="119">
        <v>0</v>
      </c>
      <c r="I220" s="116">
        <v>0</v>
      </c>
      <c r="J220" s="118" t="s">
        <v>242</v>
      </c>
    </row>
    <row r="221" spans="1:10" x14ac:dyDescent="0.25">
      <c r="A221" s="116">
        <v>218</v>
      </c>
      <c r="B221" s="117" t="s">
        <v>868</v>
      </c>
      <c r="C221" s="118" t="s">
        <v>869</v>
      </c>
      <c r="D221" s="118" t="s">
        <v>463</v>
      </c>
      <c r="E221" s="118" t="s">
        <v>867</v>
      </c>
      <c r="F221" s="119">
        <v>100.70860309871679</v>
      </c>
      <c r="G221" s="119">
        <v>101.12670309871679</v>
      </c>
      <c r="H221" s="119">
        <v>20.82</v>
      </c>
      <c r="I221" s="116">
        <v>443</v>
      </c>
      <c r="J221" s="118" t="s">
        <v>273</v>
      </c>
    </row>
    <row r="222" spans="1:10" x14ac:dyDescent="0.25">
      <c r="A222" s="116">
        <v>219</v>
      </c>
      <c r="B222" s="117" t="s">
        <v>870</v>
      </c>
      <c r="C222" s="118" t="s">
        <v>871</v>
      </c>
      <c r="D222" s="118" t="s">
        <v>463</v>
      </c>
      <c r="E222" s="118" t="s">
        <v>867</v>
      </c>
      <c r="F222" s="119">
        <v>99.724419780894323</v>
      </c>
      <c r="G222" s="119">
        <v>101.26191978089433</v>
      </c>
      <c r="H222" s="119">
        <v>20.66</v>
      </c>
      <c r="I222" s="116">
        <v>693</v>
      </c>
      <c r="J222" s="118" t="s">
        <v>273</v>
      </c>
    </row>
    <row r="223" spans="1:10" x14ac:dyDescent="0.25">
      <c r="A223" s="116">
        <v>220</v>
      </c>
      <c r="B223" s="117" t="s">
        <v>872</v>
      </c>
      <c r="C223" s="118" t="s">
        <v>873</v>
      </c>
      <c r="D223" s="118" t="s">
        <v>463</v>
      </c>
      <c r="E223" s="118" t="s">
        <v>867</v>
      </c>
      <c r="F223" s="119">
        <v>98.94807110375848</v>
      </c>
      <c r="G223" s="119">
        <v>100.33697110375849</v>
      </c>
      <c r="H223" s="119">
        <v>20.66</v>
      </c>
      <c r="I223" s="116">
        <v>695</v>
      </c>
      <c r="J223" s="118" t="s">
        <v>273</v>
      </c>
    </row>
    <row r="224" spans="1:10" x14ac:dyDescent="0.25">
      <c r="A224" s="116">
        <v>221</v>
      </c>
      <c r="B224" s="117" t="s">
        <v>2231</v>
      </c>
      <c r="C224" s="118" t="s">
        <v>2232</v>
      </c>
      <c r="D224" s="118" t="s">
        <v>463</v>
      </c>
      <c r="E224" s="118" t="s">
        <v>867</v>
      </c>
      <c r="F224" s="119">
        <v>100.0117881277754</v>
      </c>
      <c r="G224" s="119">
        <v>104.03678812777541</v>
      </c>
      <c r="H224" s="119">
        <v>20.49</v>
      </c>
      <c r="I224" s="116">
        <v>51</v>
      </c>
      <c r="J224" s="118" t="s">
        <v>273</v>
      </c>
    </row>
    <row r="225" spans="1:10" x14ac:dyDescent="0.25">
      <c r="A225" s="116">
        <v>222</v>
      </c>
      <c r="B225" s="117" t="s">
        <v>2366</v>
      </c>
      <c r="C225" s="118" t="s">
        <v>2367</v>
      </c>
      <c r="D225" s="118" t="s">
        <v>463</v>
      </c>
      <c r="E225" s="118" t="s">
        <v>867</v>
      </c>
      <c r="F225" s="119">
        <v>99.788436539908332</v>
      </c>
      <c r="G225" s="119">
        <v>100.54673653990834</v>
      </c>
      <c r="H225" s="119">
        <v>21.42</v>
      </c>
      <c r="I225" s="116">
        <v>167</v>
      </c>
      <c r="J225" s="118" t="s">
        <v>273</v>
      </c>
    </row>
    <row r="226" spans="1:10" x14ac:dyDescent="0.25">
      <c r="A226" s="116">
        <v>223</v>
      </c>
      <c r="B226" s="117" t="s">
        <v>874</v>
      </c>
      <c r="C226" s="118" t="s">
        <v>875</v>
      </c>
      <c r="D226" s="118" t="s">
        <v>453</v>
      </c>
      <c r="E226" s="118" t="s">
        <v>876</v>
      </c>
      <c r="F226" s="119">
        <v>50726.054250000001</v>
      </c>
      <c r="G226" s="119">
        <v>50726.054250000001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453</v>
      </c>
      <c r="E227" s="118" t="s">
        <v>882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877</v>
      </c>
      <c r="C228" s="118" t="s">
        <v>878</v>
      </c>
      <c r="D228" s="118" t="s">
        <v>453</v>
      </c>
      <c r="E228" s="118" t="s">
        <v>879</v>
      </c>
      <c r="F228" s="119">
        <v>133048.11465</v>
      </c>
      <c r="G228" s="119">
        <v>133048.11465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745</v>
      </c>
      <c r="E230" s="118" t="s">
        <v>39</v>
      </c>
      <c r="F230" s="119">
        <v>5932920.5049999999</v>
      </c>
      <c r="G230" s="119">
        <v>5932920.5049999999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885</v>
      </c>
      <c r="C231" s="118" t="s">
        <v>886</v>
      </c>
      <c r="D231" s="118" t="s">
        <v>745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745</v>
      </c>
      <c r="E232" s="118" t="s">
        <v>39</v>
      </c>
      <c r="F232" s="119">
        <v>1730745.9850000001</v>
      </c>
      <c r="G232" s="119">
        <v>1730745.9850000001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848</v>
      </c>
      <c r="C233" s="118" t="s">
        <v>849</v>
      </c>
      <c r="D233" s="118" t="s">
        <v>453</v>
      </c>
      <c r="E233" s="118" t="s">
        <v>850</v>
      </c>
      <c r="F233" s="119">
        <v>49417.947899999999</v>
      </c>
      <c r="G233" s="119">
        <v>49417.947899999999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887</v>
      </c>
      <c r="C234" s="118" t="s">
        <v>888</v>
      </c>
      <c r="D234" s="118" t="s">
        <v>453</v>
      </c>
      <c r="E234" s="118" t="s">
        <v>889</v>
      </c>
      <c r="F234" s="119">
        <v>61217.765549999996</v>
      </c>
      <c r="G234" s="119">
        <v>61217.765549999996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890</v>
      </c>
      <c r="C235" s="118" t="s">
        <v>891</v>
      </c>
      <c r="D235" s="118" t="s">
        <v>463</v>
      </c>
      <c r="E235" s="118" t="s">
        <v>892</v>
      </c>
      <c r="F235" s="119">
        <v>72.899163145789259</v>
      </c>
      <c r="G235" s="119">
        <v>73.062363145789263</v>
      </c>
      <c r="H235" s="119">
        <v>25.84</v>
      </c>
      <c r="I235" s="116">
        <v>1075</v>
      </c>
      <c r="J235" s="118" t="s">
        <v>273</v>
      </c>
    </row>
    <row r="236" spans="1:10" x14ac:dyDescent="0.25">
      <c r="A236" s="116">
        <v>233</v>
      </c>
      <c r="B236" s="117" t="s">
        <v>893</v>
      </c>
      <c r="C236" s="118" t="s">
        <v>894</v>
      </c>
      <c r="D236" s="118" t="s">
        <v>463</v>
      </c>
      <c r="E236" s="118" t="s">
        <v>895</v>
      </c>
      <c r="F236" s="119">
        <v>100</v>
      </c>
      <c r="G236" s="119">
        <v>100.1653</v>
      </c>
      <c r="H236" s="119">
        <v>4.24</v>
      </c>
      <c r="I236" s="116">
        <v>286</v>
      </c>
      <c r="J236" s="118" t="s">
        <v>273</v>
      </c>
    </row>
    <row r="237" spans="1:10" x14ac:dyDescent="0.25">
      <c r="A237" s="116">
        <v>234</v>
      </c>
      <c r="B237" s="117" t="s">
        <v>896</v>
      </c>
      <c r="C237" s="118" t="s">
        <v>897</v>
      </c>
      <c r="D237" s="118" t="s">
        <v>463</v>
      </c>
      <c r="E237" s="118" t="s">
        <v>895</v>
      </c>
      <c r="F237" s="119">
        <v>100</v>
      </c>
      <c r="G237" s="119">
        <v>100.07389999999999</v>
      </c>
      <c r="H237" s="119">
        <v>0.35</v>
      </c>
      <c r="I237" s="116">
        <v>104</v>
      </c>
      <c r="J237" s="118" t="s">
        <v>273</v>
      </c>
    </row>
    <row r="238" spans="1:10" x14ac:dyDescent="0.25">
      <c r="A238" s="116">
        <v>235</v>
      </c>
      <c r="B238" s="117" t="s">
        <v>898</v>
      </c>
      <c r="C238" s="118" t="s">
        <v>899</v>
      </c>
      <c r="D238" s="118" t="s">
        <v>463</v>
      </c>
      <c r="E238" s="118" t="s">
        <v>895</v>
      </c>
      <c r="F238" s="119">
        <v>100</v>
      </c>
      <c r="G238" s="119">
        <v>100.06610000000001</v>
      </c>
      <c r="H238" s="119">
        <v>0.35</v>
      </c>
      <c r="I238" s="116">
        <v>112</v>
      </c>
      <c r="J238" s="118" t="s">
        <v>273</v>
      </c>
    </row>
    <row r="239" spans="1:10" x14ac:dyDescent="0.25">
      <c r="A239" s="116">
        <v>236</v>
      </c>
      <c r="B239" s="117" t="s">
        <v>900</v>
      </c>
      <c r="C239" s="118" t="s">
        <v>901</v>
      </c>
      <c r="D239" s="118" t="s">
        <v>463</v>
      </c>
      <c r="E239" s="118" t="s">
        <v>895</v>
      </c>
      <c r="F239" s="119">
        <v>100</v>
      </c>
      <c r="G239" s="119">
        <v>100.0788</v>
      </c>
      <c r="H239" s="119">
        <v>0.35</v>
      </c>
      <c r="I239" s="116">
        <v>279</v>
      </c>
      <c r="J239" s="118" t="s">
        <v>273</v>
      </c>
    </row>
    <row r="240" spans="1:10" x14ac:dyDescent="0.25">
      <c r="A240" s="116">
        <v>237</v>
      </c>
      <c r="B240" s="117" t="s">
        <v>2155</v>
      </c>
      <c r="C240" s="118" t="s">
        <v>2156</v>
      </c>
      <c r="D240" s="118" t="s">
        <v>463</v>
      </c>
      <c r="E240" s="118" t="s">
        <v>895</v>
      </c>
      <c r="F240" s="119">
        <v>100</v>
      </c>
      <c r="G240" s="119">
        <v>100.10599999999999</v>
      </c>
      <c r="H240" s="119">
        <v>0.35</v>
      </c>
      <c r="I240" s="116">
        <v>611</v>
      </c>
      <c r="J240" s="118" t="s">
        <v>273</v>
      </c>
    </row>
    <row r="241" spans="1:10" x14ac:dyDescent="0.25">
      <c r="A241" s="116">
        <v>238</v>
      </c>
      <c r="B241" s="117" t="s">
        <v>902</v>
      </c>
      <c r="C241" s="118" t="s">
        <v>903</v>
      </c>
      <c r="D241" s="118" t="s">
        <v>463</v>
      </c>
      <c r="E241" s="118" t="s">
        <v>895</v>
      </c>
      <c r="F241" s="119">
        <v>100</v>
      </c>
      <c r="G241" s="119">
        <v>100.0027</v>
      </c>
      <c r="H241" s="119">
        <v>0.02</v>
      </c>
      <c r="I241" s="116">
        <v>3113</v>
      </c>
      <c r="J241" s="118" t="s">
        <v>273</v>
      </c>
    </row>
    <row r="242" spans="1:10" x14ac:dyDescent="0.25">
      <c r="A242" s="116">
        <v>239</v>
      </c>
      <c r="B242" s="117" t="s">
        <v>904</v>
      </c>
      <c r="C242" s="118" t="s">
        <v>905</v>
      </c>
      <c r="D242" s="118" t="s">
        <v>463</v>
      </c>
      <c r="E242" s="118" t="s">
        <v>895</v>
      </c>
      <c r="F242" s="119">
        <v>100</v>
      </c>
      <c r="G242" s="119">
        <v>100.71169999999999</v>
      </c>
      <c r="H242" s="119">
        <v>6.08</v>
      </c>
      <c r="I242" s="116">
        <v>1728</v>
      </c>
      <c r="J242" s="118" t="s">
        <v>273</v>
      </c>
    </row>
    <row r="243" spans="1:10" x14ac:dyDescent="0.25">
      <c r="A243" s="116">
        <v>240</v>
      </c>
      <c r="B243" s="117" t="s">
        <v>906</v>
      </c>
      <c r="C243" s="118" t="s">
        <v>907</v>
      </c>
      <c r="D243" s="118" t="s">
        <v>463</v>
      </c>
      <c r="E243" s="118" t="s">
        <v>895</v>
      </c>
      <c r="F243" s="119">
        <v>100</v>
      </c>
      <c r="G243" s="119">
        <v>105.5222</v>
      </c>
      <c r="H243" s="119">
        <v>7.08</v>
      </c>
      <c r="I243" s="116">
        <v>2210</v>
      </c>
      <c r="J243" s="118" t="s">
        <v>273</v>
      </c>
    </row>
    <row r="244" spans="1:10" x14ac:dyDescent="0.25">
      <c r="A244" s="116">
        <v>241</v>
      </c>
      <c r="B244" s="117" t="s">
        <v>908</v>
      </c>
      <c r="C244" s="118" t="s">
        <v>909</v>
      </c>
      <c r="D244" s="118" t="s">
        <v>463</v>
      </c>
      <c r="E244" s="118" t="s">
        <v>895</v>
      </c>
      <c r="F244" s="119">
        <v>100</v>
      </c>
      <c r="G244" s="119">
        <v>105.98139999999999</v>
      </c>
      <c r="H244" s="119">
        <v>6.09</v>
      </c>
      <c r="I244" s="116">
        <v>2137</v>
      </c>
      <c r="J244" s="118" t="s">
        <v>273</v>
      </c>
    </row>
    <row r="245" spans="1:10" x14ac:dyDescent="0.25">
      <c r="A245" s="116">
        <v>242</v>
      </c>
      <c r="B245" s="117" t="s">
        <v>910</v>
      </c>
      <c r="C245" s="118" t="s">
        <v>911</v>
      </c>
      <c r="D245" s="118" t="s">
        <v>463</v>
      </c>
      <c r="E245" s="118" t="s">
        <v>895</v>
      </c>
      <c r="F245" s="119">
        <v>100</v>
      </c>
      <c r="G245" s="119">
        <v>104.8292</v>
      </c>
      <c r="H245" s="119">
        <v>6.08</v>
      </c>
      <c r="I245" s="116">
        <v>2565</v>
      </c>
      <c r="J245" s="118" t="s">
        <v>273</v>
      </c>
    </row>
    <row r="246" spans="1:10" x14ac:dyDescent="0.25">
      <c r="A246" s="116">
        <v>243</v>
      </c>
      <c r="B246" s="117" t="s">
        <v>912</v>
      </c>
      <c r="C246" s="118" t="s">
        <v>913</v>
      </c>
      <c r="D246" s="118" t="s">
        <v>463</v>
      </c>
      <c r="E246" s="118" t="s">
        <v>895</v>
      </c>
      <c r="F246" s="119">
        <v>100</v>
      </c>
      <c r="G246" s="119">
        <v>104.8292</v>
      </c>
      <c r="H246" s="119">
        <v>6.08</v>
      </c>
      <c r="I246" s="116">
        <v>2565</v>
      </c>
      <c r="J246" s="118" t="s">
        <v>273</v>
      </c>
    </row>
    <row r="247" spans="1:10" x14ac:dyDescent="0.25">
      <c r="A247" s="116">
        <v>244</v>
      </c>
      <c r="B247" s="117" t="s">
        <v>914</v>
      </c>
      <c r="C247" s="118" t="s">
        <v>915</v>
      </c>
      <c r="D247" s="118" t="s">
        <v>463</v>
      </c>
      <c r="E247" s="118" t="s">
        <v>895</v>
      </c>
      <c r="F247" s="119">
        <v>100</v>
      </c>
      <c r="G247" s="119">
        <v>103.6939</v>
      </c>
      <c r="H247" s="119">
        <v>6.08</v>
      </c>
      <c r="I247" s="116">
        <v>2632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99.611975531880503</v>
      </c>
      <c r="G248" s="119">
        <v>101.7887755318805</v>
      </c>
      <c r="H248" s="119">
        <v>6.36</v>
      </c>
      <c r="I248" s="116">
        <v>223</v>
      </c>
      <c r="J248" s="118" t="s">
        <v>273</v>
      </c>
    </row>
    <row r="249" spans="1:10" x14ac:dyDescent="0.25">
      <c r="A249" s="116">
        <v>246</v>
      </c>
      <c r="B249" s="117" t="s">
        <v>2063</v>
      </c>
      <c r="C249" s="118" t="s">
        <v>2064</v>
      </c>
      <c r="D249" s="118" t="s">
        <v>463</v>
      </c>
      <c r="E249" s="118" t="s">
        <v>42</v>
      </c>
      <c r="F249" s="119">
        <v>97.576369024198911</v>
      </c>
      <c r="G249" s="119">
        <v>104.83316902419891</v>
      </c>
      <c r="H249" s="119">
        <v>17.46</v>
      </c>
      <c r="I249" s="116">
        <v>932</v>
      </c>
      <c r="J249" s="118" t="s">
        <v>273</v>
      </c>
    </row>
    <row r="250" spans="1:10" x14ac:dyDescent="0.25">
      <c r="A250" s="116">
        <v>247</v>
      </c>
      <c r="B250" s="117" t="s">
        <v>916</v>
      </c>
      <c r="C250" s="118" t="s">
        <v>917</v>
      </c>
      <c r="D250" s="118" t="s">
        <v>463</v>
      </c>
      <c r="E250" s="118" t="s">
        <v>42</v>
      </c>
      <c r="F250" s="119">
        <v>93.860317697415965</v>
      </c>
      <c r="G250" s="119">
        <v>102.49861769741597</v>
      </c>
      <c r="H250" s="119">
        <v>17.600000000000001</v>
      </c>
      <c r="I250" s="116">
        <v>681</v>
      </c>
      <c r="J250" s="118" t="s">
        <v>273</v>
      </c>
    </row>
    <row r="251" spans="1:10" x14ac:dyDescent="0.25">
      <c r="A251" s="116">
        <v>248</v>
      </c>
      <c r="B251" s="117" t="s">
        <v>918</v>
      </c>
      <c r="C251" s="118" t="s">
        <v>919</v>
      </c>
      <c r="D251" s="118" t="s">
        <v>463</v>
      </c>
      <c r="E251" s="118" t="s">
        <v>42</v>
      </c>
      <c r="F251" s="119">
        <v>90.565180018136488</v>
      </c>
      <c r="G251" s="119">
        <v>95.534480018136492</v>
      </c>
      <c r="H251" s="119">
        <v>17.59</v>
      </c>
      <c r="I251" s="116">
        <v>757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93.519746367564593</v>
      </c>
      <c r="G252" s="119">
        <v>106.7869463675646</v>
      </c>
      <c r="H252" s="119">
        <v>18.28</v>
      </c>
      <c r="I252" s="116">
        <v>746</v>
      </c>
      <c r="J252" s="118" t="s">
        <v>273</v>
      </c>
    </row>
    <row r="253" spans="1:10" x14ac:dyDescent="0.25">
      <c r="A253" s="116">
        <v>250</v>
      </c>
      <c r="B253" s="117" t="s">
        <v>2114</v>
      </c>
      <c r="C253" s="118" t="s">
        <v>2115</v>
      </c>
      <c r="D253" s="118" t="s">
        <v>463</v>
      </c>
      <c r="E253" s="118" t="s">
        <v>42</v>
      </c>
      <c r="F253" s="119">
        <v>100.04260222638963</v>
      </c>
      <c r="G253" s="119">
        <v>106.41930222638963</v>
      </c>
      <c r="H253" s="119">
        <v>17.440000000000001</v>
      </c>
      <c r="I253" s="116">
        <v>963</v>
      </c>
      <c r="J253" s="118" t="s">
        <v>273</v>
      </c>
    </row>
    <row r="254" spans="1:10" x14ac:dyDescent="0.25">
      <c r="A254" s="116">
        <v>251</v>
      </c>
      <c r="B254" s="117" t="s">
        <v>920</v>
      </c>
      <c r="C254" s="118" t="s">
        <v>921</v>
      </c>
      <c r="D254" s="118" t="s">
        <v>463</v>
      </c>
      <c r="E254" s="118" t="s">
        <v>42</v>
      </c>
      <c r="F254" s="119">
        <v>101.1920449052275</v>
      </c>
      <c r="G254" s="119">
        <v>101.40204490522751</v>
      </c>
      <c r="H254" s="119">
        <v>6.02</v>
      </c>
      <c r="I254" s="116">
        <v>1788</v>
      </c>
      <c r="J254" s="118" t="s">
        <v>273</v>
      </c>
    </row>
    <row r="255" spans="1:10" x14ac:dyDescent="0.25">
      <c r="A255" s="116">
        <v>252</v>
      </c>
      <c r="B255" s="117" t="s">
        <v>922</v>
      </c>
      <c r="C255" s="118" t="s">
        <v>923</v>
      </c>
      <c r="D255" s="118" t="s">
        <v>463</v>
      </c>
      <c r="E255" s="118" t="s">
        <v>42</v>
      </c>
      <c r="F255" s="119">
        <v>96.582009412110153</v>
      </c>
      <c r="G255" s="119">
        <v>96.973809412110157</v>
      </c>
      <c r="H255" s="119">
        <v>6.92</v>
      </c>
      <c r="I255" s="116">
        <v>222</v>
      </c>
      <c r="J255" s="118" t="s">
        <v>273</v>
      </c>
    </row>
    <row r="256" spans="1:10" x14ac:dyDescent="0.25">
      <c r="A256" s="116">
        <v>253</v>
      </c>
      <c r="B256" s="117" t="s">
        <v>924</v>
      </c>
      <c r="C256" s="118" t="s">
        <v>925</v>
      </c>
      <c r="D256" s="118" t="s">
        <v>463</v>
      </c>
      <c r="E256" s="118" t="s">
        <v>926</v>
      </c>
      <c r="F256" s="119">
        <v>97.855171400045876</v>
      </c>
      <c r="G256" s="119">
        <v>99.992071400045873</v>
      </c>
      <c r="H256" s="119">
        <v>15.91</v>
      </c>
      <c r="I256" s="116">
        <v>852</v>
      </c>
      <c r="J256" s="118" t="s">
        <v>273</v>
      </c>
    </row>
    <row r="257" spans="1:10" x14ac:dyDescent="0.25">
      <c r="A257" s="116">
        <v>254</v>
      </c>
      <c r="B257" s="117" t="s">
        <v>927</v>
      </c>
      <c r="C257" s="118" t="s">
        <v>928</v>
      </c>
      <c r="D257" s="118" t="s">
        <v>463</v>
      </c>
      <c r="E257" s="118" t="s">
        <v>926</v>
      </c>
      <c r="F257" s="119">
        <v>98.162582878473955</v>
      </c>
      <c r="G257" s="119">
        <v>103.69768287847396</v>
      </c>
      <c r="H257" s="119">
        <v>15.87</v>
      </c>
      <c r="I257" s="116">
        <v>1092</v>
      </c>
      <c r="J257" s="118" t="s">
        <v>273</v>
      </c>
    </row>
    <row r="258" spans="1:10" x14ac:dyDescent="0.25">
      <c r="A258" s="116">
        <v>255</v>
      </c>
      <c r="B258" s="117" t="s">
        <v>929</v>
      </c>
      <c r="C258" s="118" t="s">
        <v>930</v>
      </c>
      <c r="D258" s="118" t="s">
        <v>463</v>
      </c>
      <c r="E258" s="118" t="s">
        <v>926</v>
      </c>
      <c r="F258" s="119">
        <v>98.206246280396542</v>
      </c>
      <c r="G258" s="119">
        <v>100.90624628039654</v>
      </c>
      <c r="H258" s="119">
        <v>15.81</v>
      </c>
      <c r="I258" s="116">
        <v>1561</v>
      </c>
      <c r="J258" s="118" t="s">
        <v>273</v>
      </c>
    </row>
    <row r="259" spans="1:10" x14ac:dyDescent="0.25">
      <c r="A259" s="116">
        <v>256</v>
      </c>
      <c r="B259" s="117" t="s">
        <v>931</v>
      </c>
      <c r="C259" s="118" t="s">
        <v>932</v>
      </c>
      <c r="D259" s="118" t="s">
        <v>453</v>
      </c>
      <c r="E259" s="118" t="s">
        <v>926</v>
      </c>
      <c r="F259" s="119">
        <v>1</v>
      </c>
      <c r="G259" s="119">
        <v>1</v>
      </c>
      <c r="H259" s="119">
        <v>0</v>
      </c>
      <c r="I259" s="116">
        <v>370</v>
      </c>
      <c r="J259" s="118" t="s">
        <v>242</v>
      </c>
    </row>
    <row r="260" spans="1:10" x14ac:dyDescent="0.25">
      <c r="A260" s="116">
        <v>257</v>
      </c>
      <c r="B260" s="117" t="s">
        <v>933</v>
      </c>
      <c r="C260" s="118" t="s">
        <v>934</v>
      </c>
      <c r="D260" s="118" t="s">
        <v>453</v>
      </c>
      <c r="E260" s="118" t="s">
        <v>926</v>
      </c>
      <c r="F260" s="119">
        <v>0.8</v>
      </c>
      <c r="G260" s="119">
        <v>0.8</v>
      </c>
      <c r="H260" s="119">
        <v>0</v>
      </c>
      <c r="I260" s="116">
        <v>437</v>
      </c>
      <c r="J260" s="118" t="s">
        <v>242</v>
      </c>
    </row>
    <row r="261" spans="1:10" x14ac:dyDescent="0.25">
      <c r="A261" s="116">
        <v>258</v>
      </c>
      <c r="B261" s="117" t="s">
        <v>935</v>
      </c>
      <c r="C261" s="118" t="s">
        <v>936</v>
      </c>
      <c r="D261" s="118" t="s">
        <v>463</v>
      </c>
      <c r="E261" s="118" t="s">
        <v>926</v>
      </c>
      <c r="F261" s="119">
        <v>98.472800593993128</v>
      </c>
      <c r="G261" s="119">
        <v>107.00540059399313</v>
      </c>
      <c r="H261" s="119">
        <v>17.41</v>
      </c>
      <c r="I261" s="116">
        <v>136</v>
      </c>
      <c r="J261" s="118" t="s">
        <v>273</v>
      </c>
    </row>
    <row r="262" spans="1:10" x14ac:dyDescent="0.25">
      <c r="A262" s="116">
        <v>259</v>
      </c>
      <c r="B262" s="117" t="s">
        <v>937</v>
      </c>
      <c r="C262" s="118" t="s">
        <v>938</v>
      </c>
      <c r="D262" s="118" t="s">
        <v>463</v>
      </c>
      <c r="E262" s="118" t="s">
        <v>926</v>
      </c>
      <c r="F262" s="119">
        <v>100</v>
      </c>
      <c r="G262" s="119">
        <v>103.9641</v>
      </c>
      <c r="H262" s="119">
        <v>15.65</v>
      </c>
      <c r="I262" s="116">
        <v>550</v>
      </c>
      <c r="J262" s="118" t="s">
        <v>273</v>
      </c>
    </row>
    <row r="263" spans="1:10" x14ac:dyDescent="0.25">
      <c r="A263" s="116">
        <v>260</v>
      </c>
      <c r="B263" s="117" t="s">
        <v>939</v>
      </c>
      <c r="C263" s="118" t="s">
        <v>940</v>
      </c>
      <c r="D263" s="118" t="s">
        <v>463</v>
      </c>
      <c r="E263" s="118" t="s">
        <v>926</v>
      </c>
      <c r="F263" s="119">
        <v>100</v>
      </c>
      <c r="G263" s="119">
        <v>101.7205</v>
      </c>
      <c r="H263" s="119">
        <v>15.69</v>
      </c>
      <c r="I263" s="116">
        <v>1329</v>
      </c>
      <c r="J263" s="118" t="s">
        <v>273</v>
      </c>
    </row>
    <row r="264" spans="1:10" x14ac:dyDescent="0.25">
      <c r="A264" s="116">
        <v>261</v>
      </c>
      <c r="B264" s="117" t="s">
        <v>941</v>
      </c>
      <c r="C264" s="118" t="s">
        <v>942</v>
      </c>
      <c r="D264" s="118" t="s">
        <v>463</v>
      </c>
      <c r="E264" s="118" t="s">
        <v>926</v>
      </c>
      <c r="F264" s="119">
        <v>101.38991483974161</v>
      </c>
      <c r="G264" s="119">
        <v>103.1885148397416</v>
      </c>
      <c r="H264" s="119">
        <v>3.8</v>
      </c>
      <c r="I264" s="116">
        <v>932</v>
      </c>
      <c r="J264" s="118" t="s">
        <v>273</v>
      </c>
    </row>
    <row r="265" spans="1:10" x14ac:dyDescent="0.25">
      <c r="A265" s="116">
        <v>262</v>
      </c>
      <c r="B265" s="117" t="s">
        <v>943</v>
      </c>
      <c r="C265" s="118" t="s">
        <v>944</v>
      </c>
      <c r="D265" s="118" t="s">
        <v>463</v>
      </c>
      <c r="E265" s="118" t="s">
        <v>926</v>
      </c>
      <c r="F265" s="119">
        <v>101.188</v>
      </c>
      <c r="G265" s="119">
        <v>101.32550000000001</v>
      </c>
      <c r="H265" s="119">
        <v>3.76</v>
      </c>
      <c r="I265" s="116">
        <v>1248</v>
      </c>
      <c r="J265" s="118" t="s">
        <v>273</v>
      </c>
    </row>
    <row r="266" spans="1:10" x14ac:dyDescent="0.25">
      <c r="A266" s="116">
        <v>263</v>
      </c>
      <c r="B266" s="117" t="s">
        <v>2065</v>
      </c>
      <c r="C266" s="118" t="s">
        <v>2066</v>
      </c>
      <c r="D266" s="118" t="s">
        <v>463</v>
      </c>
      <c r="E266" s="118" t="s">
        <v>926</v>
      </c>
      <c r="F266" s="119">
        <v>100</v>
      </c>
      <c r="G266" s="119">
        <v>103.2486</v>
      </c>
      <c r="H266" s="119">
        <v>15.8</v>
      </c>
      <c r="I266" s="116">
        <v>566</v>
      </c>
      <c r="J266" s="118" t="s">
        <v>273</v>
      </c>
    </row>
    <row r="267" spans="1:10" x14ac:dyDescent="0.25">
      <c r="A267" s="116">
        <v>264</v>
      </c>
      <c r="B267" s="117" t="s">
        <v>2186</v>
      </c>
      <c r="C267" s="118" t="s">
        <v>2187</v>
      </c>
      <c r="D267" s="118" t="s">
        <v>463</v>
      </c>
      <c r="E267" s="118" t="s">
        <v>926</v>
      </c>
      <c r="F267" s="119">
        <v>100</v>
      </c>
      <c r="G267" s="119">
        <v>104.004</v>
      </c>
      <c r="H267" s="119">
        <v>16.02</v>
      </c>
      <c r="I267" s="116">
        <v>1005</v>
      </c>
      <c r="J267" s="118" t="s">
        <v>273</v>
      </c>
    </row>
    <row r="268" spans="1:10" x14ac:dyDescent="0.25">
      <c r="A268" s="116">
        <v>265</v>
      </c>
      <c r="B268" s="117" t="s">
        <v>945</v>
      </c>
      <c r="C268" s="118" t="s">
        <v>946</v>
      </c>
      <c r="D268" s="118" t="s">
        <v>463</v>
      </c>
      <c r="E268" s="118" t="s">
        <v>926</v>
      </c>
      <c r="F268" s="119">
        <v>98.729922515968994</v>
      </c>
      <c r="G268" s="119">
        <v>103.525822515969</v>
      </c>
      <c r="H268" s="119">
        <v>16.170000000000002</v>
      </c>
      <c r="I268" s="116">
        <v>201</v>
      </c>
      <c r="J268" s="118" t="s">
        <v>273</v>
      </c>
    </row>
    <row r="269" spans="1:10" x14ac:dyDescent="0.25">
      <c r="A269" s="116">
        <v>266</v>
      </c>
      <c r="B269" s="117" t="s">
        <v>947</v>
      </c>
      <c r="C269" s="118" t="s">
        <v>948</v>
      </c>
      <c r="D269" s="118" t="s">
        <v>463</v>
      </c>
      <c r="E269" s="118" t="s">
        <v>926</v>
      </c>
      <c r="F269" s="119">
        <v>98.574889058911964</v>
      </c>
      <c r="G269" s="119">
        <v>100.51708905891196</v>
      </c>
      <c r="H269" s="119">
        <v>16.36</v>
      </c>
      <c r="I269" s="116">
        <v>314</v>
      </c>
      <c r="J269" s="118" t="s">
        <v>273</v>
      </c>
    </row>
    <row r="270" spans="1:10" x14ac:dyDescent="0.25">
      <c r="A270" s="116">
        <v>267</v>
      </c>
      <c r="B270" s="117" t="s">
        <v>949</v>
      </c>
      <c r="C270" s="118" t="s">
        <v>950</v>
      </c>
      <c r="D270" s="118" t="s">
        <v>463</v>
      </c>
      <c r="E270" s="118" t="s">
        <v>926</v>
      </c>
      <c r="F270" s="119">
        <v>97.354934873097292</v>
      </c>
      <c r="G270" s="119">
        <v>98.187634873097295</v>
      </c>
      <c r="H270" s="119">
        <v>15.95</v>
      </c>
      <c r="I270" s="116">
        <v>701</v>
      </c>
      <c r="J270" s="118" t="s">
        <v>273</v>
      </c>
    </row>
    <row r="271" spans="1:10" x14ac:dyDescent="0.25">
      <c r="A271" s="116">
        <v>268</v>
      </c>
      <c r="B271" s="117" t="s">
        <v>951</v>
      </c>
      <c r="C271" s="118" t="s">
        <v>952</v>
      </c>
      <c r="D271" s="118" t="s">
        <v>463</v>
      </c>
      <c r="E271" s="118" t="s">
        <v>926</v>
      </c>
      <c r="F271" s="119">
        <v>98.611988057926482</v>
      </c>
      <c r="G271" s="119">
        <v>100.74888805792649</v>
      </c>
      <c r="H271" s="119">
        <v>16.059999999999999</v>
      </c>
      <c r="I271" s="116">
        <v>492</v>
      </c>
      <c r="J271" s="118" t="s">
        <v>273</v>
      </c>
    </row>
    <row r="272" spans="1:10" x14ac:dyDescent="0.25">
      <c r="A272" s="116">
        <v>269</v>
      </c>
      <c r="B272" s="117" t="s">
        <v>953</v>
      </c>
      <c r="C272" s="118" t="s">
        <v>954</v>
      </c>
      <c r="D272" s="118" t="s">
        <v>463</v>
      </c>
      <c r="E272" s="118" t="s">
        <v>955</v>
      </c>
      <c r="F272" s="119">
        <v>98.872643078161119</v>
      </c>
      <c r="G272" s="119">
        <v>99.612943078161123</v>
      </c>
      <c r="H272" s="119">
        <v>3.77</v>
      </c>
      <c r="I272" s="116">
        <v>818</v>
      </c>
      <c r="J272" s="118" t="s">
        <v>273</v>
      </c>
    </row>
    <row r="273" spans="1:10" x14ac:dyDescent="0.25">
      <c r="A273" s="116">
        <v>270</v>
      </c>
      <c r="B273" s="117" t="s">
        <v>956</v>
      </c>
      <c r="C273" s="118" t="s">
        <v>957</v>
      </c>
      <c r="D273" s="118" t="s">
        <v>463</v>
      </c>
      <c r="E273" s="118" t="s">
        <v>955</v>
      </c>
      <c r="F273" s="119">
        <v>99.201999999999998</v>
      </c>
      <c r="G273" s="119">
        <v>99.423500000000004</v>
      </c>
      <c r="H273" s="119">
        <v>3.8</v>
      </c>
      <c r="I273" s="116">
        <v>1778</v>
      </c>
      <c r="J273" s="118" t="s">
        <v>273</v>
      </c>
    </row>
    <row r="274" spans="1:10" x14ac:dyDescent="0.25">
      <c r="A274" s="116">
        <v>271</v>
      </c>
      <c r="B274" s="117" t="s">
        <v>958</v>
      </c>
      <c r="C274" s="118" t="s">
        <v>959</v>
      </c>
      <c r="D274" s="118" t="s">
        <v>453</v>
      </c>
      <c r="E274" s="118" t="s">
        <v>960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962</v>
      </c>
      <c r="C275" s="118" t="s">
        <v>963</v>
      </c>
      <c r="D275" s="118" t="s">
        <v>463</v>
      </c>
      <c r="E275" s="118" t="s">
        <v>961</v>
      </c>
      <c r="F275" s="119">
        <v>46.618326637459695</v>
      </c>
      <c r="G275" s="119">
        <v>49.829426637459697</v>
      </c>
      <c r="H275" s="119">
        <v>17.649999999999999</v>
      </c>
      <c r="I275" s="116">
        <v>2591</v>
      </c>
      <c r="J275" s="118" t="s">
        <v>273</v>
      </c>
    </row>
    <row r="276" spans="1:10" x14ac:dyDescent="0.25">
      <c r="A276" s="116">
        <v>273</v>
      </c>
      <c r="B276" s="117" t="s">
        <v>964</v>
      </c>
      <c r="C276" s="118" t="s">
        <v>965</v>
      </c>
      <c r="D276" s="118" t="s">
        <v>463</v>
      </c>
      <c r="E276" s="118" t="s">
        <v>961</v>
      </c>
      <c r="F276" s="119">
        <v>94.245138214178567</v>
      </c>
      <c r="G276" s="119">
        <v>99.476838214178557</v>
      </c>
      <c r="H276" s="119">
        <v>17.32</v>
      </c>
      <c r="I276" s="116">
        <v>368</v>
      </c>
      <c r="J276" s="118" t="s">
        <v>273</v>
      </c>
    </row>
    <row r="277" spans="1:10" x14ac:dyDescent="0.25">
      <c r="A277" s="116">
        <v>274</v>
      </c>
      <c r="B277" s="117" t="s">
        <v>966</v>
      </c>
      <c r="C277" s="118" t="s">
        <v>967</v>
      </c>
      <c r="D277" s="118" t="s">
        <v>463</v>
      </c>
      <c r="E277" s="118" t="s">
        <v>968</v>
      </c>
      <c r="F277" s="119">
        <v>87.022859153838809</v>
      </c>
      <c r="G277" s="119">
        <v>88.495059153838795</v>
      </c>
      <c r="H277" s="119">
        <v>18.559999999999999</v>
      </c>
      <c r="I277" s="116">
        <v>667</v>
      </c>
      <c r="J277" s="118" t="s">
        <v>273</v>
      </c>
    </row>
    <row r="278" spans="1:10" x14ac:dyDescent="0.25">
      <c r="A278" s="116">
        <v>275</v>
      </c>
      <c r="B278" s="117" t="s">
        <v>969</v>
      </c>
      <c r="C278" s="118" t="s">
        <v>970</v>
      </c>
      <c r="D278" s="118" t="s">
        <v>765</v>
      </c>
      <c r="E278" s="118" t="s">
        <v>971</v>
      </c>
      <c r="F278" s="119">
        <v>22546.703699999998</v>
      </c>
      <c r="G278" s="119">
        <v>22546.703699999998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972</v>
      </c>
      <c r="C279" s="118" t="s">
        <v>973</v>
      </c>
      <c r="D279" s="118" t="s">
        <v>453</v>
      </c>
      <c r="E279" s="118" t="s">
        <v>974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975</v>
      </c>
      <c r="C280" s="118" t="s">
        <v>976</v>
      </c>
      <c r="D280" s="118" t="s">
        <v>453</v>
      </c>
      <c r="E280" s="118" t="s">
        <v>974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977</v>
      </c>
      <c r="C281" s="118" t="s">
        <v>978</v>
      </c>
      <c r="D281" s="118" t="s">
        <v>453</v>
      </c>
      <c r="E281" s="118" t="s">
        <v>979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463</v>
      </c>
      <c r="E282" s="118" t="s">
        <v>500</v>
      </c>
      <c r="F282" s="119">
        <v>95.2409819155435</v>
      </c>
      <c r="G282" s="119">
        <v>96.275981915543497</v>
      </c>
      <c r="H282" s="119">
        <v>17.829999999999998</v>
      </c>
      <c r="I282" s="116">
        <v>233</v>
      </c>
      <c r="J282" s="118" t="s">
        <v>273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463</v>
      </c>
      <c r="E283" s="118" t="s">
        <v>500</v>
      </c>
      <c r="F283" s="119">
        <v>94.734289501846362</v>
      </c>
      <c r="G283" s="119">
        <v>97.699389501846369</v>
      </c>
      <c r="H283" s="119">
        <v>18.28</v>
      </c>
      <c r="I283" s="116">
        <v>254</v>
      </c>
      <c r="J283" s="118" t="s">
        <v>273</v>
      </c>
    </row>
    <row r="284" spans="1:10" x14ac:dyDescent="0.25">
      <c r="A284" s="116">
        <v>281</v>
      </c>
      <c r="B284" s="117" t="s">
        <v>987</v>
      </c>
      <c r="C284" s="118" t="s">
        <v>988</v>
      </c>
      <c r="D284" s="118" t="s">
        <v>453</v>
      </c>
      <c r="E284" s="118" t="s">
        <v>989</v>
      </c>
      <c r="F284" s="119">
        <v>1054.2494300000001</v>
      </c>
      <c r="G284" s="119">
        <v>1054.2494300000001</v>
      </c>
      <c r="H284" s="119">
        <v>0</v>
      </c>
      <c r="I284" s="116">
        <v>2087</v>
      </c>
      <c r="J284" s="118" t="s">
        <v>242</v>
      </c>
    </row>
    <row r="285" spans="1:10" x14ac:dyDescent="0.25">
      <c r="A285" s="116">
        <v>282</v>
      </c>
      <c r="B285" s="117" t="s">
        <v>990</v>
      </c>
      <c r="C285" s="118" t="s">
        <v>991</v>
      </c>
      <c r="D285" s="118" t="s">
        <v>463</v>
      </c>
      <c r="E285" s="118" t="s">
        <v>989</v>
      </c>
      <c r="F285" s="119">
        <v>73.077659820637521</v>
      </c>
      <c r="G285" s="119">
        <v>73.474859820637519</v>
      </c>
      <c r="H285" s="119">
        <v>17.91</v>
      </c>
      <c r="I285" s="116">
        <v>2507</v>
      </c>
      <c r="J285" s="118" t="s">
        <v>273</v>
      </c>
    </row>
    <row r="286" spans="1:10" x14ac:dyDescent="0.25">
      <c r="A286" s="116">
        <v>283</v>
      </c>
      <c r="B286" s="117" t="s">
        <v>992</v>
      </c>
      <c r="C286" s="118" t="s">
        <v>993</v>
      </c>
      <c r="D286" s="118" t="s">
        <v>463</v>
      </c>
      <c r="E286" s="118" t="s">
        <v>989</v>
      </c>
      <c r="F286" s="119">
        <v>96.098882506105127</v>
      </c>
      <c r="G286" s="119">
        <v>100.96968250610512</v>
      </c>
      <c r="H286" s="119">
        <v>18.440000000000001</v>
      </c>
      <c r="I286" s="116">
        <v>193</v>
      </c>
      <c r="J286" s="118" t="s">
        <v>273</v>
      </c>
    </row>
    <row r="287" spans="1:10" x14ac:dyDescent="0.25">
      <c r="A287" s="116">
        <v>284</v>
      </c>
      <c r="B287" s="117" t="s">
        <v>994</v>
      </c>
      <c r="C287" s="118" t="s">
        <v>995</v>
      </c>
      <c r="D287" s="118" t="s">
        <v>453</v>
      </c>
      <c r="E287" s="118" t="s">
        <v>996</v>
      </c>
      <c r="F287" s="119">
        <v>21568.981500000002</v>
      </c>
      <c r="G287" s="119">
        <v>21568.981500000002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997</v>
      </c>
      <c r="C288" s="118" t="s">
        <v>998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745</v>
      </c>
      <c r="E289" s="118" t="s">
        <v>47</v>
      </c>
      <c r="F289" s="119">
        <v>89796.414200859494</v>
      </c>
      <c r="G289" s="119">
        <v>89796.414200859494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745</v>
      </c>
      <c r="E290" s="118" t="s">
        <v>47</v>
      </c>
      <c r="F290" s="119">
        <v>5366.1234363452222</v>
      </c>
      <c r="G290" s="119">
        <v>5366.1234363452222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999</v>
      </c>
      <c r="C291" s="118" t="s">
        <v>1000</v>
      </c>
      <c r="D291" s="118" t="s">
        <v>745</v>
      </c>
      <c r="E291" s="118" t="s">
        <v>2638</v>
      </c>
      <c r="F291" s="119">
        <v>545477.66189999995</v>
      </c>
      <c r="G291" s="119">
        <v>545477.66189999995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1001</v>
      </c>
      <c r="C292" s="118" t="s">
        <v>1002</v>
      </c>
      <c r="D292" s="118" t="s">
        <v>745</v>
      </c>
      <c r="E292" s="118" t="s">
        <v>2638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1003</v>
      </c>
      <c r="C293" s="118" t="s">
        <v>1004</v>
      </c>
      <c r="D293" s="118" t="s">
        <v>745</v>
      </c>
      <c r="E293" s="118" t="s">
        <v>2638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1005</v>
      </c>
      <c r="C294" s="118" t="s">
        <v>1006</v>
      </c>
      <c r="D294" s="118" t="s">
        <v>745</v>
      </c>
      <c r="E294" s="118" t="s">
        <v>2638</v>
      </c>
      <c r="F294" s="119">
        <v>623577.25170000002</v>
      </c>
      <c r="G294" s="119">
        <v>623577.25170000002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1007</v>
      </c>
      <c r="C295" s="118" t="s">
        <v>1008</v>
      </c>
      <c r="D295" s="118" t="s">
        <v>453</v>
      </c>
      <c r="E295" s="118" t="s">
        <v>1009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1010</v>
      </c>
      <c r="C296" s="118" t="s">
        <v>1011</v>
      </c>
      <c r="D296" s="118" t="s">
        <v>463</v>
      </c>
      <c r="E296" s="118" t="s">
        <v>1012</v>
      </c>
      <c r="F296" s="119">
        <v>100</v>
      </c>
      <c r="G296" s="119">
        <v>101.2139</v>
      </c>
      <c r="H296" s="119">
        <v>11.48</v>
      </c>
      <c r="I296" s="116">
        <v>1042</v>
      </c>
      <c r="J296" s="118" t="s">
        <v>273</v>
      </c>
    </row>
    <row r="297" spans="1:10" x14ac:dyDescent="0.25">
      <c r="A297" s="116">
        <v>294</v>
      </c>
      <c r="B297" s="117" t="s">
        <v>1013</v>
      </c>
      <c r="C297" s="118" t="s">
        <v>1014</v>
      </c>
      <c r="D297" s="118" t="s">
        <v>463</v>
      </c>
      <c r="E297" s="118" t="s">
        <v>1012</v>
      </c>
      <c r="F297" s="119">
        <v>100</v>
      </c>
      <c r="G297" s="119">
        <v>109.25</v>
      </c>
      <c r="H297" s="119">
        <v>9.99</v>
      </c>
      <c r="I297" s="116">
        <v>3267</v>
      </c>
      <c r="J297" s="118" t="s">
        <v>273</v>
      </c>
    </row>
    <row r="298" spans="1:10" x14ac:dyDescent="0.25">
      <c r="A298" s="116">
        <v>295</v>
      </c>
      <c r="B298" s="117" t="s">
        <v>2075</v>
      </c>
      <c r="C298" s="118" t="s">
        <v>2076</v>
      </c>
      <c r="D298" s="118" t="s">
        <v>463</v>
      </c>
      <c r="E298" s="118" t="s">
        <v>1015</v>
      </c>
      <c r="F298" s="119">
        <v>100.72585879176633</v>
      </c>
      <c r="G298" s="119">
        <v>104.47585879176633</v>
      </c>
      <c r="H298" s="119">
        <v>23.59</v>
      </c>
      <c r="I298" s="116">
        <v>216</v>
      </c>
      <c r="J298" s="118" t="s">
        <v>273</v>
      </c>
    </row>
    <row r="299" spans="1:10" x14ac:dyDescent="0.25">
      <c r="A299" s="116">
        <v>296</v>
      </c>
      <c r="B299" s="117" t="s">
        <v>1016</v>
      </c>
      <c r="C299" s="118" t="s">
        <v>1017</v>
      </c>
      <c r="D299" s="118" t="s">
        <v>765</v>
      </c>
      <c r="E299" s="118" t="s">
        <v>2122</v>
      </c>
      <c r="F299" s="119">
        <v>16683.056550000001</v>
      </c>
      <c r="G299" s="119">
        <v>16683.056550000001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1018</v>
      </c>
      <c r="C300" s="118" t="s">
        <v>1019</v>
      </c>
      <c r="D300" s="118" t="s">
        <v>463</v>
      </c>
      <c r="E300" s="118" t="s">
        <v>1020</v>
      </c>
      <c r="F300" s="119">
        <v>100.17661041816304</v>
      </c>
      <c r="G300" s="119">
        <v>103.57661041816304</v>
      </c>
      <c r="H300" s="119">
        <v>11.67</v>
      </c>
      <c r="I300" s="116">
        <v>258</v>
      </c>
      <c r="J300" s="118" t="s">
        <v>273</v>
      </c>
    </row>
    <row r="301" spans="1:10" x14ac:dyDescent="0.25">
      <c r="A301" s="116">
        <v>298</v>
      </c>
      <c r="B301" s="117" t="s">
        <v>1021</v>
      </c>
      <c r="C301" s="118" t="s">
        <v>1022</v>
      </c>
      <c r="D301" s="118" t="s">
        <v>463</v>
      </c>
      <c r="E301" s="118" t="s">
        <v>1020</v>
      </c>
      <c r="F301" s="119">
        <v>99.978999999999999</v>
      </c>
      <c r="G301" s="119">
        <v>104.654</v>
      </c>
      <c r="H301" s="119">
        <v>11</v>
      </c>
      <c r="I301" s="116">
        <v>387</v>
      </c>
      <c r="J301" s="118" t="s">
        <v>273</v>
      </c>
    </row>
    <row r="302" spans="1:10" x14ac:dyDescent="0.25">
      <c r="A302" s="116">
        <v>299</v>
      </c>
      <c r="B302" s="117" t="s">
        <v>2091</v>
      </c>
      <c r="C302" s="118" t="s">
        <v>2092</v>
      </c>
      <c r="D302" s="118" t="s">
        <v>463</v>
      </c>
      <c r="E302" s="118" t="s">
        <v>1020</v>
      </c>
      <c r="F302" s="119">
        <v>99.566088029435534</v>
      </c>
      <c r="G302" s="119">
        <v>103.75218802943553</v>
      </c>
      <c r="H302" s="119">
        <v>11.7</v>
      </c>
      <c r="I302" s="116">
        <v>223</v>
      </c>
      <c r="J302" s="118" t="s">
        <v>273</v>
      </c>
    </row>
    <row r="303" spans="1:10" x14ac:dyDescent="0.25">
      <c r="A303" s="116">
        <v>300</v>
      </c>
      <c r="B303" s="117" t="s">
        <v>1023</v>
      </c>
      <c r="C303" s="118" t="s">
        <v>1024</v>
      </c>
      <c r="D303" s="118" t="s">
        <v>453</v>
      </c>
      <c r="E303" s="118" t="s">
        <v>1025</v>
      </c>
      <c r="F303" s="119">
        <v>103351.14585</v>
      </c>
      <c r="G303" s="119">
        <v>103351.14585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1026</v>
      </c>
      <c r="C304" s="118" t="s">
        <v>1027</v>
      </c>
      <c r="D304" s="118" t="s">
        <v>463</v>
      </c>
      <c r="E304" s="118" t="s">
        <v>1028</v>
      </c>
      <c r="F304" s="119">
        <v>93.634072595789874</v>
      </c>
      <c r="G304" s="119">
        <v>98.327972595789873</v>
      </c>
      <c r="H304" s="119">
        <v>18.48</v>
      </c>
      <c r="I304" s="116">
        <v>398</v>
      </c>
      <c r="J304" s="118" t="s">
        <v>273</v>
      </c>
    </row>
    <row r="305" spans="1:10" x14ac:dyDescent="0.25">
      <c r="A305" s="116">
        <v>302</v>
      </c>
      <c r="B305" s="117" t="s">
        <v>1029</v>
      </c>
      <c r="C305" s="118" t="s">
        <v>1030</v>
      </c>
      <c r="D305" s="118" t="s">
        <v>453</v>
      </c>
      <c r="E305" s="118" t="s">
        <v>2123</v>
      </c>
      <c r="F305" s="119">
        <v>51967.00935</v>
      </c>
      <c r="G305" s="119">
        <v>51967.00935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980</v>
      </c>
      <c r="C306" s="118" t="s">
        <v>981</v>
      </c>
      <c r="D306" s="118" t="s">
        <v>453</v>
      </c>
      <c r="E306" s="118" t="s">
        <v>982</v>
      </c>
      <c r="F306" s="119">
        <v>5981.8333499999999</v>
      </c>
      <c r="G306" s="119">
        <v>5981.8333499999999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1031</v>
      </c>
      <c r="C307" s="118" t="s">
        <v>1032</v>
      </c>
      <c r="D307" s="118" t="s">
        <v>453</v>
      </c>
      <c r="E307" s="118" t="s">
        <v>1033</v>
      </c>
      <c r="F307" s="119">
        <v>4337.0757000000003</v>
      </c>
      <c r="G307" s="119">
        <v>4337.0757000000003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1034</v>
      </c>
      <c r="C308" s="118" t="s">
        <v>1035</v>
      </c>
      <c r="D308" s="118" t="s">
        <v>765</v>
      </c>
      <c r="E308" s="118" t="s">
        <v>1036</v>
      </c>
      <c r="F308" s="119">
        <v>30623.656050000001</v>
      </c>
      <c r="G308" s="119">
        <v>30623.656050000001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2102</v>
      </c>
      <c r="C309" s="118" t="s">
        <v>1890</v>
      </c>
      <c r="D309" s="118" t="s">
        <v>765</v>
      </c>
      <c r="E309" s="118" t="s">
        <v>1891</v>
      </c>
      <c r="F309" s="119">
        <v>166948.75169999999</v>
      </c>
      <c r="G309" s="119">
        <v>166948.75169999999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1037</v>
      </c>
      <c r="C310" s="118" t="s">
        <v>1038</v>
      </c>
      <c r="D310" s="118" t="s">
        <v>453</v>
      </c>
      <c r="E310" s="118" t="s">
        <v>1039</v>
      </c>
      <c r="F310" s="119">
        <v>104533.00784999999</v>
      </c>
      <c r="G310" s="119">
        <v>104533.00784999999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98.475399999999993</v>
      </c>
      <c r="G311" s="119">
        <v>98.796199999999999</v>
      </c>
      <c r="H311" s="119">
        <v>18.25</v>
      </c>
      <c r="I311" s="116">
        <v>353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96.626800000000003</v>
      </c>
      <c r="G312" s="119">
        <v>104.831</v>
      </c>
      <c r="H312" s="119">
        <v>18</v>
      </c>
      <c r="I312" s="116">
        <v>1081</v>
      </c>
      <c r="J312" s="118" t="s">
        <v>273</v>
      </c>
    </row>
    <row r="313" spans="1:10" x14ac:dyDescent="0.25">
      <c r="A313" s="116">
        <v>310</v>
      </c>
      <c r="B313" s="117" t="s">
        <v>2071</v>
      </c>
      <c r="C313" s="118" t="s">
        <v>2072</v>
      </c>
      <c r="D313" s="118" t="s">
        <v>463</v>
      </c>
      <c r="E313" s="118" t="s">
        <v>52</v>
      </c>
      <c r="F313" s="119">
        <v>98.889649763181367</v>
      </c>
      <c r="G313" s="119">
        <v>106.95634976318136</v>
      </c>
      <c r="H313" s="119">
        <v>18.7</v>
      </c>
      <c r="I313" s="116">
        <v>920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97.667762401610446</v>
      </c>
      <c r="G314" s="119">
        <v>99.680262401610449</v>
      </c>
      <c r="H314" s="119">
        <v>18.73</v>
      </c>
      <c r="I314" s="116">
        <v>678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97.903199999999998</v>
      </c>
      <c r="G315" s="119">
        <v>99.436499999999995</v>
      </c>
      <c r="H315" s="119">
        <v>18</v>
      </c>
      <c r="I315" s="116">
        <v>1408</v>
      </c>
      <c r="J315" s="118" t="s">
        <v>273</v>
      </c>
    </row>
    <row r="316" spans="1:10" x14ac:dyDescent="0.25">
      <c r="A316" s="116">
        <v>313</v>
      </c>
      <c r="B316" s="117" t="s">
        <v>2362</v>
      </c>
      <c r="C316" s="118" t="s">
        <v>2363</v>
      </c>
      <c r="D316" s="118" t="s">
        <v>463</v>
      </c>
      <c r="E316" s="118" t="s">
        <v>52</v>
      </c>
      <c r="F316" s="119">
        <v>101.5829206528105</v>
      </c>
      <c r="G316" s="119">
        <v>102.80322065281051</v>
      </c>
      <c r="H316" s="119">
        <v>18.579999999999998</v>
      </c>
      <c r="I316" s="116">
        <v>1777</v>
      </c>
      <c r="J316" s="118" t="s">
        <v>273</v>
      </c>
    </row>
    <row r="317" spans="1:10" x14ac:dyDescent="0.25">
      <c r="A317" s="116">
        <v>314</v>
      </c>
      <c r="B317" s="117" t="s">
        <v>2328</v>
      </c>
      <c r="C317" s="118" t="s">
        <v>2329</v>
      </c>
      <c r="D317" s="118" t="s">
        <v>463</v>
      </c>
      <c r="E317" s="118" t="s">
        <v>52</v>
      </c>
      <c r="F317" s="119">
        <v>100.74220642306574</v>
      </c>
      <c r="G317" s="119">
        <v>102.50680642306573</v>
      </c>
      <c r="H317" s="119">
        <v>18.73</v>
      </c>
      <c r="I317" s="116">
        <v>687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745</v>
      </c>
      <c r="E318" s="118" t="s">
        <v>1040</v>
      </c>
      <c r="F318" s="119">
        <v>53003.025000000001</v>
      </c>
      <c r="G318" s="119">
        <v>53003.025000000001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745</v>
      </c>
      <c r="E319" s="118" t="s">
        <v>1040</v>
      </c>
      <c r="F319" s="119">
        <v>73296.994999999995</v>
      </c>
      <c r="G319" s="119">
        <v>73296.994999999995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745</v>
      </c>
      <c r="E320" s="118" t="s">
        <v>1040</v>
      </c>
      <c r="F320" s="119">
        <v>72395.475000000006</v>
      </c>
      <c r="G320" s="119">
        <v>72395.475000000006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745</v>
      </c>
      <c r="E321" s="118" t="s">
        <v>1040</v>
      </c>
      <c r="F321" s="119">
        <v>577166.26</v>
      </c>
      <c r="G321" s="119">
        <v>577166.26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1044</v>
      </c>
      <c r="C322" s="118" t="s">
        <v>1045</v>
      </c>
      <c r="D322" s="118" t="s">
        <v>745</v>
      </c>
      <c r="E322" s="118" t="s">
        <v>1040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1041</v>
      </c>
      <c r="C323" s="118" t="s">
        <v>1042</v>
      </c>
      <c r="D323" s="118" t="s">
        <v>453</v>
      </c>
      <c r="E323" s="118" t="s">
        <v>1043</v>
      </c>
      <c r="F323" s="119">
        <v>532.27572614999997</v>
      </c>
      <c r="G323" s="119">
        <v>532.27572614999997</v>
      </c>
      <c r="H323" s="119">
        <v>0</v>
      </c>
      <c r="I323" s="116">
        <v>561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335.30490694162472</v>
      </c>
      <c r="G324" s="119">
        <v>335.30490694162472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1046</v>
      </c>
      <c r="C325" s="118" t="s">
        <v>1047</v>
      </c>
      <c r="D325" s="118" t="s">
        <v>463</v>
      </c>
      <c r="E325" s="118" t="s">
        <v>65</v>
      </c>
      <c r="F325" s="119">
        <v>102.57593959418917</v>
      </c>
      <c r="G325" s="119">
        <v>103.19693959418916</v>
      </c>
      <c r="H325" s="119">
        <v>17.899999999999999</v>
      </c>
      <c r="I325" s="116">
        <v>2148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103.0274</v>
      </c>
      <c r="H326" s="119">
        <v>16.96</v>
      </c>
      <c r="I326" s="116">
        <v>848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13269.087</v>
      </c>
      <c r="G327" s="119">
        <v>13269.087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1048</v>
      </c>
      <c r="C328" s="118" t="s">
        <v>1049</v>
      </c>
      <c r="D328" s="118" t="s">
        <v>765</v>
      </c>
      <c r="E328" s="118" t="s">
        <v>2124</v>
      </c>
      <c r="F328" s="119">
        <v>43076.183850000001</v>
      </c>
      <c r="G328" s="119">
        <v>43076.183850000001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1050</v>
      </c>
      <c r="C329" s="118" t="s">
        <v>1051</v>
      </c>
      <c r="D329" s="118" t="s">
        <v>453</v>
      </c>
      <c r="E329" s="118" t="s">
        <v>1052</v>
      </c>
      <c r="F329" s="119">
        <v>134084.92994999999</v>
      </c>
      <c r="G329" s="119">
        <v>134084.92994999999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1053</v>
      </c>
      <c r="C330" s="118" t="s">
        <v>1054</v>
      </c>
      <c r="D330" s="118" t="s">
        <v>463</v>
      </c>
      <c r="E330" s="118" t="s">
        <v>1055</v>
      </c>
      <c r="F330" s="119">
        <v>102.39017304146138</v>
      </c>
      <c r="G330" s="119">
        <v>102.46727304146138</v>
      </c>
      <c r="H330" s="119">
        <v>3.77</v>
      </c>
      <c r="I330" s="116">
        <v>1074</v>
      </c>
      <c r="J330" s="118" t="s">
        <v>273</v>
      </c>
    </row>
    <row r="331" spans="1:10" x14ac:dyDescent="0.25">
      <c r="A331" s="116">
        <v>328</v>
      </c>
      <c r="B331" s="117" t="s">
        <v>1056</v>
      </c>
      <c r="C331" s="118" t="s">
        <v>1057</v>
      </c>
      <c r="D331" s="118" t="s">
        <v>463</v>
      </c>
      <c r="E331" s="118" t="s">
        <v>1055</v>
      </c>
      <c r="F331" s="119">
        <v>99.260650708532864</v>
      </c>
      <c r="G331" s="119">
        <v>100.63005070853286</v>
      </c>
      <c r="H331" s="119">
        <v>3.82</v>
      </c>
      <c r="I331" s="116">
        <v>1484</v>
      </c>
      <c r="J331" s="118" t="s">
        <v>273</v>
      </c>
    </row>
    <row r="332" spans="1:10" x14ac:dyDescent="0.25">
      <c r="A332" s="116">
        <v>329</v>
      </c>
      <c r="B332" s="117" t="s">
        <v>1058</v>
      </c>
      <c r="C332" s="118" t="s">
        <v>1059</v>
      </c>
      <c r="D332" s="118" t="s">
        <v>463</v>
      </c>
      <c r="E332" s="118" t="s">
        <v>1055</v>
      </c>
      <c r="F332" s="119">
        <v>100.599</v>
      </c>
      <c r="G332" s="119">
        <v>100.899</v>
      </c>
      <c r="H332" s="119">
        <v>3.88</v>
      </c>
      <c r="I332" s="116">
        <v>1953</v>
      </c>
      <c r="J332" s="118" t="s">
        <v>273</v>
      </c>
    </row>
    <row r="333" spans="1:10" x14ac:dyDescent="0.25">
      <c r="A333" s="116">
        <v>330</v>
      </c>
      <c r="B333" s="117" t="s">
        <v>1060</v>
      </c>
      <c r="C333" s="118" t="s">
        <v>1061</v>
      </c>
      <c r="D333" s="118" t="s">
        <v>463</v>
      </c>
      <c r="E333" s="118" t="s">
        <v>1055</v>
      </c>
      <c r="F333" s="119">
        <v>102.995</v>
      </c>
      <c r="G333" s="119">
        <v>104.4575</v>
      </c>
      <c r="H333" s="119">
        <v>3.91</v>
      </c>
      <c r="I333" s="116">
        <v>2043</v>
      </c>
      <c r="J333" s="118" t="s">
        <v>273</v>
      </c>
    </row>
    <row r="334" spans="1:10" x14ac:dyDescent="0.25">
      <c r="A334" s="116">
        <v>331</v>
      </c>
      <c r="B334" s="117" t="s">
        <v>1062</v>
      </c>
      <c r="C334" s="118" t="s">
        <v>1063</v>
      </c>
      <c r="D334" s="118" t="s">
        <v>453</v>
      </c>
      <c r="E334" s="118" t="s">
        <v>1064</v>
      </c>
      <c r="F334" s="119">
        <v>1</v>
      </c>
      <c r="G334" s="119">
        <v>1</v>
      </c>
      <c r="H334" s="119">
        <v>0</v>
      </c>
      <c r="I334" s="116">
        <v>1034</v>
      </c>
      <c r="J334" s="118" t="s">
        <v>242</v>
      </c>
    </row>
    <row r="335" spans="1:10" x14ac:dyDescent="0.25">
      <c r="A335" s="116">
        <v>332</v>
      </c>
      <c r="B335" s="117" t="s">
        <v>2103</v>
      </c>
      <c r="C335" s="118" t="s">
        <v>1892</v>
      </c>
      <c r="D335" s="118" t="s">
        <v>765</v>
      </c>
      <c r="E335" s="118" t="s">
        <v>1090</v>
      </c>
      <c r="F335" s="119">
        <v>7324.8583500000004</v>
      </c>
      <c r="G335" s="119">
        <v>7324.8583500000004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2257</v>
      </c>
      <c r="C336" s="118" t="s">
        <v>2258</v>
      </c>
      <c r="D336" s="118" t="s">
        <v>463</v>
      </c>
      <c r="E336" s="118" t="s">
        <v>2259</v>
      </c>
      <c r="F336" s="119">
        <v>100.18506711121798</v>
      </c>
      <c r="G336" s="119">
        <v>100.52256711121798</v>
      </c>
      <c r="H336" s="119">
        <v>12.88</v>
      </c>
      <c r="I336" s="116">
        <v>111</v>
      </c>
      <c r="J336" s="118" t="s">
        <v>273</v>
      </c>
    </row>
    <row r="337" spans="1:10" x14ac:dyDescent="0.25">
      <c r="A337" s="116">
        <v>334</v>
      </c>
      <c r="B337" s="117" t="s">
        <v>1065</v>
      </c>
      <c r="C337" s="118" t="s">
        <v>1066</v>
      </c>
      <c r="D337" s="118" t="s">
        <v>463</v>
      </c>
      <c r="E337" s="118" t="s">
        <v>1067</v>
      </c>
      <c r="F337" s="119">
        <v>79.612833584607159</v>
      </c>
      <c r="G337" s="119">
        <v>82.431733584607173</v>
      </c>
      <c r="H337" s="119">
        <v>17.93</v>
      </c>
      <c r="I337" s="116">
        <v>1894</v>
      </c>
      <c r="J337" s="118" t="s">
        <v>273</v>
      </c>
    </row>
    <row r="338" spans="1:10" x14ac:dyDescent="0.25">
      <c r="A338" s="116">
        <v>335</v>
      </c>
      <c r="B338" s="117" t="s">
        <v>1068</v>
      </c>
      <c r="C338" s="118" t="s">
        <v>1069</v>
      </c>
      <c r="D338" s="118" t="s">
        <v>463</v>
      </c>
      <c r="E338" s="118" t="s">
        <v>1067</v>
      </c>
      <c r="F338" s="119">
        <v>77.835766380673064</v>
      </c>
      <c r="G338" s="119">
        <v>82.244066380673061</v>
      </c>
      <c r="H338" s="119">
        <v>17.91</v>
      </c>
      <c r="I338" s="116">
        <v>2022</v>
      </c>
      <c r="J338" s="118" t="s">
        <v>273</v>
      </c>
    </row>
    <row r="339" spans="1:10" x14ac:dyDescent="0.25">
      <c r="A339" s="116">
        <v>336</v>
      </c>
      <c r="B339" s="117" t="s">
        <v>1070</v>
      </c>
      <c r="C339" s="118" t="s">
        <v>1071</v>
      </c>
      <c r="D339" s="118" t="s">
        <v>463</v>
      </c>
      <c r="E339" s="118" t="s">
        <v>1067</v>
      </c>
      <c r="F339" s="119">
        <v>87.576021679029921</v>
      </c>
      <c r="G339" s="119">
        <v>90.503821679029912</v>
      </c>
      <c r="H339" s="119">
        <v>17.53</v>
      </c>
      <c r="I339" s="116">
        <v>1175</v>
      </c>
      <c r="J339" s="118" t="s">
        <v>273</v>
      </c>
    </row>
    <row r="340" spans="1:10" x14ac:dyDescent="0.25">
      <c r="A340" s="116">
        <v>337</v>
      </c>
      <c r="B340" s="117" t="s">
        <v>1072</v>
      </c>
      <c r="C340" s="118" t="s">
        <v>1073</v>
      </c>
      <c r="D340" s="118" t="s">
        <v>463</v>
      </c>
      <c r="E340" s="118" t="s">
        <v>1067</v>
      </c>
      <c r="F340" s="119">
        <v>73.074406648027804</v>
      </c>
      <c r="G340" s="119">
        <v>80.051206648027801</v>
      </c>
      <c r="H340" s="119">
        <v>18.68</v>
      </c>
      <c r="I340" s="116">
        <v>4849</v>
      </c>
      <c r="J340" s="118" t="s">
        <v>273</v>
      </c>
    </row>
    <row r="341" spans="1:10" x14ac:dyDescent="0.25">
      <c r="A341" s="116">
        <v>338</v>
      </c>
      <c r="B341" s="117" t="s">
        <v>1074</v>
      </c>
      <c r="C341" s="118" t="s">
        <v>1075</v>
      </c>
      <c r="D341" s="118" t="s">
        <v>453</v>
      </c>
      <c r="E341" s="118" t="s">
        <v>1067</v>
      </c>
      <c r="F341" s="119">
        <v>1037.19</v>
      </c>
      <c r="G341" s="119">
        <v>1037.19</v>
      </c>
      <c r="H341" s="119">
        <v>0</v>
      </c>
      <c r="I341" s="116">
        <v>2993</v>
      </c>
      <c r="J341" s="118" t="s">
        <v>242</v>
      </c>
    </row>
    <row r="342" spans="1:10" x14ac:dyDescent="0.25">
      <c r="A342" s="116">
        <v>339</v>
      </c>
      <c r="B342" s="117" t="s">
        <v>1076</v>
      </c>
      <c r="C342" s="118" t="s">
        <v>1077</v>
      </c>
      <c r="D342" s="118" t="s">
        <v>765</v>
      </c>
      <c r="E342" s="118" t="s">
        <v>1078</v>
      </c>
      <c r="F342" s="119">
        <v>4259.1492623107879</v>
      </c>
      <c r="G342" s="119">
        <v>4259.1492623107879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1079</v>
      </c>
      <c r="C343" s="118" t="s">
        <v>1080</v>
      </c>
      <c r="D343" s="118" t="s">
        <v>453</v>
      </c>
      <c r="E343" s="118" t="s">
        <v>1081</v>
      </c>
      <c r="F343" s="119">
        <v>74700.737754955553</v>
      </c>
      <c r="G343" s="119">
        <v>74700.737754955553</v>
      </c>
      <c r="H343" s="119">
        <v>0</v>
      </c>
      <c r="I343" s="116">
        <v>161</v>
      </c>
      <c r="J343" s="118" t="s">
        <v>242</v>
      </c>
    </row>
    <row r="344" spans="1:10" x14ac:dyDescent="0.25">
      <c r="A344" s="116">
        <v>341</v>
      </c>
      <c r="B344" s="117" t="s">
        <v>1082</v>
      </c>
      <c r="C344" s="118" t="s">
        <v>1083</v>
      </c>
      <c r="D344" s="118" t="s">
        <v>453</v>
      </c>
      <c r="E344" s="118" t="s">
        <v>1081</v>
      </c>
      <c r="F344" s="119">
        <v>1</v>
      </c>
      <c r="G344" s="119">
        <v>1</v>
      </c>
      <c r="H344" s="119">
        <v>0</v>
      </c>
      <c r="I344" s="116">
        <v>308</v>
      </c>
      <c r="J344" s="118" t="s">
        <v>242</v>
      </c>
    </row>
    <row r="345" spans="1:10" x14ac:dyDescent="0.25">
      <c r="A345" s="116">
        <v>342</v>
      </c>
      <c r="B345" s="117" t="s">
        <v>1084</v>
      </c>
      <c r="C345" s="118" t="s">
        <v>1085</v>
      </c>
      <c r="D345" s="118" t="s">
        <v>453</v>
      </c>
      <c r="E345" s="118" t="s">
        <v>1081</v>
      </c>
      <c r="F345" s="119">
        <v>1</v>
      </c>
      <c r="G345" s="119">
        <v>1</v>
      </c>
      <c r="H345" s="119">
        <v>0</v>
      </c>
      <c r="I345" s="116">
        <v>1130</v>
      </c>
      <c r="J345" s="118" t="s">
        <v>242</v>
      </c>
    </row>
    <row r="346" spans="1:10" x14ac:dyDescent="0.25">
      <c r="A346" s="116">
        <v>343</v>
      </c>
      <c r="B346" s="117" t="s">
        <v>1086</v>
      </c>
      <c r="C346" s="118" t="s">
        <v>1087</v>
      </c>
      <c r="D346" s="118" t="s">
        <v>463</v>
      </c>
      <c r="E346" s="118" t="s">
        <v>1081</v>
      </c>
      <c r="F346" s="119">
        <v>102.107</v>
      </c>
      <c r="G346" s="119">
        <v>102.407</v>
      </c>
      <c r="H346" s="119">
        <v>3.73</v>
      </c>
      <c r="I346" s="116">
        <v>1056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1088</v>
      </c>
      <c r="C348" s="118" t="s">
        <v>1089</v>
      </c>
      <c r="D348" s="118" t="s">
        <v>765</v>
      </c>
      <c r="E348" s="118" t="s">
        <v>1090</v>
      </c>
      <c r="F348" s="119">
        <v>27056.58165</v>
      </c>
      <c r="G348" s="119">
        <v>27056.58165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1091</v>
      </c>
      <c r="C349" s="118" t="s">
        <v>1092</v>
      </c>
      <c r="D349" s="118" t="s">
        <v>463</v>
      </c>
      <c r="E349" s="118" t="s">
        <v>1093</v>
      </c>
      <c r="F349" s="119">
        <v>93.364214335945633</v>
      </c>
      <c r="G349" s="119">
        <v>98.711414335945634</v>
      </c>
      <c r="H349" s="119">
        <v>19.21</v>
      </c>
      <c r="I349" s="116">
        <v>2590</v>
      </c>
      <c r="J349" s="118" t="s">
        <v>273</v>
      </c>
    </row>
    <row r="350" spans="1:10" x14ac:dyDescent="0.25">
      <c r="A350" s="116">
        <v>347</v>
      </c>
      <c r="B350" s="117" t="s">
        <v>1094</v>
      </c>
      <c r="C350" s="118" t="s">
        <v>1095</v>
      </c>
      <c r="D350" s="118" t="s">
        <v>463</v>
      </c>
      <c r="E350" s="118" t="s">
        <v>1093</v>
      </c>
      <c r="F350" s="119">
        <v>93.304483946856251</v>
      </c>
      <c r="G350" s="119">
        <v>95.832283946856265</v>
      </c>
      <c r="H350" s="119">
        <v>19.22</v>
      </c>
      <c r="I350" s="116">
        <v>2648</v>
      </c>
      <c r="J350" s="118" t="s">
        <v>273</v>
      </c>
    </row>
    <row r="351" spans="1:10" x14ac:dyDescent="0.25">
      <c r="A351" s="116">
        <v>348</v>
      </c>
      <c r="B351" s="117" t="s">
        <v>1096</v>
      </c>
      <c r="C351" s="118" t="s">
        <v>1097</v>
      </c>
      <c r="D351" s="118" t="s">
        <v>463</v>
      </c>
      <c r="E351" s="118" t="s">
        <v>1093</v>
      </c>
      <c r="F351" s="119">
        <v>38.728837380141719</v>
      </c>
      <c r="G351" s="119">
        <v>39.151037380141716</v>
      </c>
      <c r="H351" s="119">
        <v>20.100000000000001</v>
      </c>
      <c r="I351" s="116">
        <v>2842</v>
      </c>
      <c r="J351" s="118" t="s">
        <v>273</v>
      </c>
    </row>
    <row r="352" spans="1:10" x14ac:dyDescent="0.25">
      <c r="A352" s="116">
        <v>349</v>
      </c>
      <c r="B352" s="117" t="s">
        <v>1098</v>
      </c>
      <c r="C352" s="118" t="s">
        <v>1099</v>
      </c>
      <c r="D352" s="118" t="s">
        <v>463</v>
      </c>
      <c r="E352" s="118" t="s">
        <v>1093</v>
      </c>
      <c r="F352" s="119">
        <v>38.205184215525989</v>
      </c>
      <c r="G352" s="119">
        <v>41.994084215525987</v>
      </c>
      <c r="H352" s="119">
        <v>20.100000000000001</v>
      </c>
      <c r="I352" s="116">
        <v>2899</v>
      </c>
      <c r="J352" s="118" t="s">
        <v>273</v>
      </c>
    </row>
    <row r="353" spans="1:10" x14ac:dyDescent="0.25">
      <c r="A353" s="116">
        <v>350</v>
      </c>
      <c r="B353" s="117" t="s">
        <v>1100</v>
      </c>
      <c r="C353" s="118" t="s">
        <v>1101</v>
      </c>
      <c r="D353" s="118" t="s">
        <v>463</v>
      </c>
      <c r="E353" s="118" t="s">
        <v>1093</v>
      </c>
      <c r="F353" s="119">
        <v>75.387618121432538</v>
      </c>
      <c r="G353" s="119">
        <v>82.391618121432543</v>
      </c>
      <c r="H353" s="119">
        <v>25.68</v>
      </c>
      <c r="I353" s="116">
        <v>2196</v>
      </c>
      <c r="J353" s="118" t="s">
        <v>273</v>
      </c>
    </row>
    <row r="354" spans="1:10" x14ac:dyDescent="0.25">
      <c r="A354" s="116">
        <v>351</v>
      </c>
      <c r="B354" s="117" t="s">
        <v>1102</v>
      </c>
      <c r="C354" s="118" t="s">
        <v>1103</v>
      </c>
      <c r="D354" s="118" t="s">
        <v>463</v>
      </c>
      <c r="E354" s="118" t="s">
        <v>1093</v>
      </c>
      <c r="F354" s="119">
        <v>40.854990084584713</v>
      </c>
      <c r="G354" s="119">
        <v>43.688290084584715</v>
      </c>
      <c r="H354" s="119">
        <v>20.12</v>
      </c>
      <c r="I354" s="116">
        <v>2625</v>
      </c>
      <c r="J354" s="118" t="s">
        <v>273</v>
      </c>
    </row>
    <row r="355" spans="1:10" x14ac:dyDescent="0.25">
      <c r="A355" s="116">
        <v>352</v>
      </c>
      <c r="B355" s="117" t="s">
        <v>1104</v>
      </c>
      <c r="C355" s="118" t="s">
        <v>1105</v>
      </c>
      <c r="D355" s="118" t="s">
        <v>463</v>
      </c>
      <c r="E355" s="118" t="s">
        <v>1093</v>
      </c>
      <c r="F355" s="119">
        <v>91.569983447671405</v>
      </c>
      <c r="G355" s="119">
        <v>95.615383447671405</v>
      </c>
      <c r="H355" s="119">
        <v>19.57</v>
      </c>
      <c r="I355" s="116">
        <v>407</v>
      </c>
      <c r="J355" s="118" t="s">
        <v>273</v>
      </c>
    </row>
    <row r="356" spans="1:10" x14ac:dyDescent="0.25">
      <c r="A356" s="116">
        <v>353</v>
      </c>
      <c r="B356" s="117" t="s">
        <v>1106</v>
      </c>
      <c r="C356" s="118" t="s">
        <v>1107</v>
      </c>
      <c r="D356" s="118" t="s">
        <v>463</v>
      </c>
      <c r="E356" s="118" t="s">
        <v>1093</v>
      </c>
      <c r="F356" s="119">
        <v>72.70029745887669</v>
      </c>
      <c r="G356" s="119">
        <v>74.3880974588767</v>
      </c>
      <c r="H356" s="119">
        <v>19.23</v>
      </c>
      <c r="I356" s="116">
        <v>1924</v>
      </c>
      <c r="J356" s="118" t="s">
        <v>273</v>
      </c>
    </row>
    <row r="357" spans="1:10" x14ac:dyDescent="0.25">
      <c r="A357" s="116">
        <v>354</v>
      </c>
      <c r="B357" s="117" t="s">
        <v>1108</v>
      </c>
      <c r="C357" s="118" t="s">
        <v>1109</v>
      </c>
      <c r="D357" s="118" t="s">
        <v>453</v>
      </c>
      <c r="E357" s="118" t="s">
        <v>1093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1110</v>
      </c>
      <c r="C358" s="118" t="s">
        <v>1111</v>
      </c>
      <c r="D358" s="118" t="s">
        <v>453</v>
      </c>
      <c r="E358" s="118" t="s">
        <v>1112</v>
      </c>
      <c r="F358" s="119">
        <v>10822.095450000001</v>
      </c>
      <c r="G358" s="119">
        <v>10822.095450000001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97.639490370955627</v>
      </c>
      <c r="G359" s="119">
        <v>100.29089037095562</v>
      </c>
      <c r="H359" s="119">
        <v>22.75</v>
      </c>
      <c r="I359" s="116">
        <v>494</v>
      </c>
      <c r="J359" s="118" t="s">
        <v>273</v>
      </c>
    </row>
    <row r="360" spans="1:10" x14ac:dyDescent="0.25">
      <c r="A360" s="116">
        <v>357</v>
      </c>
      <c r="B360" s="117" t="s">
        <v>1113</v>
      </c>
      <c r="C360" s="118" t="s">
        <v>1114</v>
      </c>
      <c r="D360" s="118" t="s">
        <v>453</v>
      </c>
      <c r="E360" s="118" t="s">
        <v>1115</v>
      </c>
      <c r="F360" s="119">
        <v>91809.188999999998</v>
      </c>
      <c r="G360" s="119">
        <v>91809.188999999998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1116</v>
      </c>
      <c r="C361" s="118" t="s">
        <v>1117</v>
      </c>
      <c r="D361" s="118" t="s">
        <v>453</v>
      </c>
      <c r="E361" s="118" t="s">
        <v>1118</v>
      </c>
      <c r="F361" s="119">
        <v>156572.54055000001</v>
      </c>
      <c r="G361" s="119">
        <v>156572.54055000001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1119</v>
      </c>
      <c r="C362" s="118" t="s">
        <v>1120</v>
      </c>
      <c r="D362" s="118" t="s">
        <v>453</v>
      </c>
      <c r="E362" s="118" t="s">
        <v>1121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463</v>
      </c>
      <c r="E363" s="118" t="s">
        <v>355</v>
      </c>
      <c r="F363" s="119">
        <v>94.248205654560238</v>
      </c>
      <c r="G363" s="119">
        <v>94.818805654560236</v>
      </c>
      <c r="H363" s="119">
        <v>17.100000000000001</v>
      </c>
      <c r="I363" s="116">
        <v>340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92.828788914270959</v>
      </c>
      <c r="G364" s="119">
        <v>93.34338891427096</v>
      </c>
      <c r="H364" s="119">
        <v>16.79</v>
      </c>
      <c r="I364" s="116">
        <v>1427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92.828788914270959</v>
      </c>
      <c r="G365" s="119">
        <v>93.34338891427096</v>
      </c>
      <c r="H365" s="119">
        <v>16.79</v>
      </c>
      <c r="I365" s="116">
        <v>1427</v>
      </c>
      <c r="J365" s="118" t="s">
        <v>273</v>
      </c>
    </row>
    <row r="366" spans="1:10" x14ac:dyDescent="0.25">
      <c r="A366" s="116">
        <v>363</v>
      </c>
      <c r="B366" s="117" t="s">
        <v>1994</v>
      </c>
      <c r="C366" s="118" t="s">
        <v>1995</v>
      </c>
      <c r="D366" s="118" t="s">
        <v>463</v>
      </c>
      <c r="E366" s="118" t="s">
        <v>355</v>
      </c>
      <c r="F366" s="119">
        <v>95.310056171474358</v>
      </c>
      <c r="G366" s="119">
        <v>97.597556171474352</v>
      </c>
      <c r="H366" s="119">
        <v>16.79</v>
      </c>
      <c r="I366" s="116">
        <v>1566</v>
      </c>
      <c r="J366" s="118" t="s">
        <v>273</v>
      </c>
    </row>
    <row r="367" spans="1:10" x14ac:dyDescent="0.25">
      <c r="A367" s="116">
        <v>364</v>
      </c>
      <c r="B367" s="117" t="s">
        <v>2208</v>
      </c>
      <c r="C367" s="118" t="s">
        <v>2209</v>
      </c>
      <c r="D367" s="118" t="s">
        <v>463</v>
      </c>
      <c r="E367" s="118" t="s">
        <v>355</v>
      </c>
      <c r="F367" s="119">
        <v>99.050424622436111</v>
      </c>
      <c r="G367" s="119">
        <v>103.77122462243611</v>
      </c>
      <c r="H367" s="119">
        <v>16.77</v>
      </c>
      <c r="I367" s="116">
        <v>1697</v>
      </c>
      <c r="J367" s="118" t="s">
        <v>273</v>
      </c>
    </row>
    <row r="368" spans="1:10" x14ac:dyDescent="0.25">
      <c r="A368" s="116">
        <v>365</v>
      </c>
      <c r="B368" s="117" t="s">
        <v>2280</v>
      </c>
      <c r="C368" s="118" t="s">
        <v>2281</v>
      </c>
      <c r="D368" s="118" t="s">
        <v>463</v>
      </c>
      <c r="E368" s="118" t="s">
        <v>355</v>
      </c>
      <c r="F368" s="119">
        <v>99.050017931466854</v>
      </c>
      <c r="G368" s="119">
        <v>102.57921793146686</v>
      </c>
      <c r="H368" s="119">
        <v>16.77</v>
      </c>
      <c r="I368" s="116">
        <v>1723</v>
      </c>
      <c r="J368" s="118" t="s">
        <v>273</v>
      </c>
    </row>
    <row r="369" spans="1:10" x14ac:dyDescent="0.25">
      <c r="A369" s="116">
        <v>366</v>
      </c>
      <c r="B369" s="117" t="s">
        <v>1124</v>
      </c>
      <c r="C369" s="118" t="s">
        <v>1125</v>
      </c>
      <c r="D369" s="118" t="s">
        <v>463</v>
      </c>
      <c r="E369" s="118" t="s">
        <v>1126</v>
      </c>
      <c r="F369" s="119">
        <v>100</v>
      </c>
      <c r="G369" s="119">
        <v>100.1157</v>
      </c>
      <c r="H369" s="119">
        <v>0.35</v>
      </c>
      <c r="I369" s="116">
        <v>361</v>
      </c>
      <c r="J369" s="118" t="s">
        <v>273</v>
      </c>
    </row>
    <row r="370" spans="1:10" x14ac:dyDescent="0.25">
      <c r="A370" s="116">
        <v>367</v>
      </c>
      <c r="B370" s="117" t="s">
        <v>1127</v>
      </c>
      <c r="C370" s="118" t="s">
        <v>1128</v>
      </c>
      <c r="D370" s="118" t="s">
        <v>463</v>
      </c>
      <c r="E370" s="118" t="s">
        <v>1126</v>
      </c>
      <c r="F370" s="119">
        <v>100</v>
      </c>
      <c r="G370" s="119">
        <v>101.38120000000001</v>
      </c>
      <c r="H370" s="119">
        <v>4.24</v>
      </c>
      <c r="I370" s="116">
        <v>363</v>
      </c>
      <c r="J370" s="118" t="s">
        <v>273</v>
      </c>
    </row>
    <row r="371" spans="1:10" x14ac:dyDescent="0.25">
      <c r="A371" s="116">
        <v>368</v>
      </c>
      <c r="B371" s="117" t="s">
        <v>1129</v>
      </c>
      <c r="C371" s="118" t="s">
        <v>1130</v>
      </c>
      <c r="D371" s="118" t="s">
        <v>463</v>
      </c>
      <c r="E371" s="118" t="s">
        <v>1126</v>
      </c>
      <c r="F371" s="119">
        <v>100</v>
      </c>
      <c r="G371" s="119">
        <v>100.0972</v>
      </c>
      <c r="H371" s="119">
        <v>0.35</v>
      </c>
      <c r="I371" s="116">
        <v>80</v>
      </c>
      <c r="J371" s="118" t="s">
        <v>273</v>
      </c>
    </row>
    <row r="372" spans="1:10" x14ac:dyDescent="0.25">
      <c r="A372" s="116">
        <v>369</v>
      </c>
      <c r="B372" s="117" t="s">
        <v>2297</v>
      </c>
      <c r="C372" s="118" t="s">
        <v>2298</v>
      </c>
      <c r="D372" s="118" t="s">
        <v>463</v>
      </c>
      <c r="E372" s="118" t="s">
        <v>1126</v>
      </c>
      <c r="F372" s="119">
        <v>100</v>
      </c>
      <c r="G372" s="119">
        <v>100.036</v>
      </c>
      <c r="H372" s="119">
        <v>0.35</v>
      </c>
      <c r="I372" s="116">
        <v>683</v>
      </c>
      <c r="J372" s="118" t="s">
        <v>273</v>
      </c>
    </row>
    <row r="373" spans="1:10" x14ac:dyDescent="0.25">
      <c r="A373" s="116">
        <v>370</v>
      </c>
      <c r="B373" s="117" t="s">
        <v>1131</v>
      </c>
      <c r="C373" s="118" t="s">
        <v>1132</v>
      </c>
      <c r="D373" s="118" t="s">
        <v>463</v>
      </c>
      <c r="E373" s="118" t="s">
        <v>1126</v>
      </c>
      <c r="F373" s="119">
        <v>100</v>
      </c>
      <c r="G373" s="119">
        <v>100.0012</v>
      </c>
      <c r="H373" s="119">
        <v>0.02</v>
      </c>
      <c r="I373" s="116">
        <v>3113</v>
      </c>
      <c r="J373" s="118" t="s">
        <v>273</v>
      </c>
    </row>
    <row r="374" spans="1:10" x14ac:dyDescent="0.25">
      <c r="A374" s="116">
        <v>371</v>
      </c>
      <c r="B374" s="117" t="s">
        <v>2439</v>
      </c>
      <c r="C374" s="118" t="s">
        <v>2440</v>
      </c>
      <c r="D374" s="118" t="s">
        <v>463</v>
      </c>
      <c r="E374" s="118" t="s">
        <v>1126</v>
      </c>
      <c r="F374" s="119">
        <v>91.146934647447111</v>
      </c>
      <c r="G374" s="119">
        <v>91.500834647447107</v>
      </c>
      <c r="H374" s="119">
        <v>20.329999999999998</v>
      </c>
      <c r="I374" s="116">
        <v>3593</v>
      </c>
      <c r="J374" s="118" t="s">
        <v>273</v>
      </c>
    </row>
    <row r="375" spans="1:10" x14ac:dyDescent="0.25">
      <c r="A375" s="116">
        <v>372</v>
      </c>
      <c r="B375" s="117" t="s">
        <v>2347</v>
      </c>
      <c r="C375" s="118" t="s">
        <v>2348</v>
      </c>
      <c r="D375" s="118" t="s">
        <v>463</v>
      </c>
      <c r="E375" s="118" t="s">
        <v>1126</v>
      </c>
      <c r="F375" s="119">
        <v>91.142901693916656</v>
      </c>
      <c r="G375" s="119">
        <v>92.103501693916655</v>
      </c>
      <c r="H375" s="119">
        <v>20.32</v>
      </c>
      <c r="I375" s="116">
        <v>3581</v>
      </c>
      <c r="J375" s="118" t="s">
        <v>273</v>
      </c>
    </row>
    <row r="376" spans="1:10" x14ac:dyDescent="0.25">
      <c r="A376" s="116">
        <v>373</v>
      </c>
      <c r="B376" s="117" t="s">
        <v>1133</v>
      </c>
      <c r="C376" s="118" t="s">
        <v>1134</v>
      </c>
      <c r="D376" s="118" t="s">
        <v>463</v>
      </c>
      <c r="E376" s="118" t="s">
        <v>1135</v>
      </c>
      <c r="F376" s="119">
        <v>100</v>
      </c>
      <c r="G376" s="119">
        <v>105.5222</v>
      </c>
      <c r="H376" s="119">
        <v>7.09</v>
      </c>
      <c r="I376" s="116">
        <v>2240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89.908245670724483</v>
      </c>
      <c r="G377" s="119">
        <v>95.428545670724489</v>
      </c>
      <c r="H377" s="119">
        <v>16.23</v>
      </c>
      <c r="I377" s="116">
        <v>1093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101.88369876080429</v>
      </c>
      <c r="G378" s="119">
        <v>102.3049987608043</v>
      </c>
      <c r="H378" s="119">
        <v>16.18</v>
      </c>
      <c r="I378" s="116">
        <v>1431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110.17574749441566</v>
      </c>
      <c r="G379" s="119">
        <v>111.51254749441566</v>
      </c>
      <c r="H379" s="119">
        <v>16.16</v>
      </c>
      <c r="I379" s="116">
        <v>1775</v>
      </c>
      <c r="J379" s="118" t="s">
        <v>273</v>
      </c>
    </row>
    <row r="380" spans="1:10" x14ac:dyDescent="0.25">
      <c r="A380" s="116">
        <v>377</v>
      </c>
      <c r="B380" s="117" t="s">
        <v>2248</v>
      </c>
      <c r="C380" s="118" t="s">
        <v>2249</v>
      </c>
      <c r="D380" s="118" t="s">
        <v>463</v>
      </c>
      <c r="E380" s="118" t="s">
        <v>2250</v>
      </c>
      <c r="F380" s="119">
        <v>100.7019520475768</v>
      </c>
      <c r="G380" s="119">
        <v>101.91165204757679</v>
      </c>
      <c r="H380" s="119">
        <v>6.22</v>
      </c>
      <c r="I380" s="116">
        <v>1013</v>
      </c>
      <c r="J380" s="118" t="s">
        <v>273</v>
      </c>
    </row>
    <row r="381" spans="1:10" x14ac:dyDescent="0.25">
      <c r="A381" s="116">
        <v>378</v>
      </c>
      <c r="B381" s="117" t="s">
        <v>1136</v>
      </c>
      <c r="C381" s="118" t="s">
        <v>1137</v>
      </c>
      <c r="D381" s="118" t="s">
        <v>453</v>
      </c>
      <c r="E381" s="118" t="s">
        <v>1138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1139</v>
      </c>
      <c r="C382" s="118" t="s">
        <v>1140</v>
      </c>
      <c r="D382" s="118" t="s">
        <v>453</v>
      </c>
      <c r="E382" s="118" t="s">
        <v>1141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1142</v>
      </c>
      <c r="C383" s="118" t="s">
        <v>1143</v>
      </c>
      <c r="D383" s="118" t="s">
        <v>453</v>
      </c>
      <c r="E383" s="118" t="s">
        <v>1141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3367.5117786563733</v>
      </c>
      <c r="G384" s="119">
        <v>3367.5117786563733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1447.15712607775</v>
      </c>
      <c r="G385" s="119">
        <v>1447.15712607775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1144</v>
      </c>
      <c r="C386" s="118" t="s">
        <v>1145</v>
      </c>
      <c r="D386" s="118" t="s">
        <v>463</v>
      </c>
      <c r="E386" s="118" t="s">
        <v>84</v>
      </c>
      <c r="F386" s="119">
        <v>84.431360793267942</v>
      </c>
      <c r="G386" s="119">
        <v>86.975560793267931</v>
      </c>
      <c r="H386" s="119">
        <v>17.32</v>
      </c>
      <c r="I386" s="116">
        <v>2089</v>
      </c>
      <c r="J386" s="118" t="s">
        <v>273</v>
      </c>
    </row>
    <row r="387" spans="1:10" x14ac:dyDescent="0.25">
      <c r="A387" s="116">
        <v>384</v>
      </c>
      <c r="B387" s="117" t="s">
        <v>1146</v>
      </c>
      <c r="C387" s="118" t="s">
        <v>1147</v>
      </c>
      <c r="D387" s="118" t="s">
        <v>463</v>
      </c>
      <c r="E387" s="118" t="s">
        <v>84</v>
      </c>
      <c r="F387" s="119">
        <v>77.260703107668675</v>
      </c>
      <c r="G387" s="119">
        <v>88.057903107668665</v>
      </c>
      <c r="H387" s="119">
        <v>17.309999999999999</v>
      </c>
      <c r="I387" s="116">
        <v>2542</v>
      </c>
      <c r="J387" s="118" t="s">
        <v>273</v>
      </c>
    </row>
    <row r="388" spans="1:10" x14ac:dyDescent="0.25">
      <c r="A388" s="116">
        <v>385</v>
      </c>
      <c r="B388" s="117" t="s">
        <v>1148</v>
      </c>
      <c r="C388" s="118" t="s">
        <v>1149</v>
      </c>
      <c r="D388" s="118" t="s">
        <v>463</v>
      </c>
      <c r="E388" s="118" t="s">
        <v>84</v>
      </c>
      <c r="F388" s="119">
        <v>73.286110655013644</v>
      </c>
      <c r="G388" s="119">
        <v>75.394410655013644</v>
      </c>
      <c r="H388" s="119">
        <v>16.600000000000001</v>
      </c>
      <c r="I388" s="116">
        <v>3531</v>
      </c>
      <c r="J388" s="118" t="s">
        <v>273</v>
      </c>
    </row>
    <row r="389" spans="1:10" x14ac:dyDescent="0.25">
      <c r="A389" s="116">
        <v>386</v>
      </c>
      <c r="B389" s="117" t="s">
        <v>1150</v>
      </c>
      <c r="C389" s="118" t="s">
        <v>1151</v>
      </c>
      <c r="D389" s="118" t="s">
        <v>463</v>
      </c>
      <c r="E389" s="118" t="s">
        <v>84</v>
      </c>
      <c r="F389" s="119">
        <v>100</v>
      </c>
      <c r="G389" s="119">
        <v>102.4041</v>
      </c>
      <c r="H389" s="119">
        <v>18.649999999999999</v>
      </c>
      <c r="I389" s="116">
        <v>4519</v>
      </c>
      <c r="J389" s="118" t="s">
        <v>273</v>
      </c>
    </row>
    <row r="390" spans="1:10" x14ac:dyDescent="0.25">
      <c r="A390" s="116">
        <v>387</v>
      </c>
      <c r="B390" s="117" t="s">
        <v>1152</v>
      </c>
      <c r="C390" s="118" t="s">
        <v>1153</v>
      </c>
      <c r="D390" s="118" t="s">
        <v>463</v>
      </c>
      <c r="E390" s="118" t="s">
        <v>25</v>
      </c>
      <c r="F390" s="119">
        <v>81.231657679358392</v>
      </c>
      <c r="G390" s="119">
        <v>90.764957679358389</v>
      </c>
      <c r="H390" s="119">
        <v>16.62</v>
      </c>
      <c r="I390" s="116">
        <v>2594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83.365218586877077</v>
      </c>
      <c r="G391" s="119">
        <v>87.983318586877076</v>
      </c>
      <c r="H391" s="119">
        <v>18.22</v>
      </c>
      <c r="I391" s="116">
        <v>905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74.297970232529963</v>
      </c>
      <c r="G392" s="119">
        <v>78.309070232529962</v>
      </c>
      <c r="H392" s="119">
        <v>16.920000000000002</v>
      </c>
      <c r="I392" s="116">
        <v>2008</v>
      </c>
      <c r="J392" s="118" t="s">
        <v>273</v>
      </c>
    </row>
    <row r="393" spans="1:10" x14ac:dyDescent="0.25">
      <c r="A393" s="116">
        <v>390</v>
      </c>
      <c r="B393" s="117" t="s">
        <v>1154</v>
      </c>
      <c r="C393" s="118" t="s">
        <v>1155</v>
      </c>
      <c r="D393" s="118" t="s">
        <v>463</v>
      </c>
      <c r="E393" s="118" t="s">
        <v>25</v>
      </c>
      <c r="F393" s="119">
        <v>99.896386479328413</v>
      </c>
      <c r="G393" s="119">
        <v>109.29078647932842</v>
      </c>
      <c r="H393" s="119">
        <v>18.78</v>
      </c>
      <c r="I393" s="116">
        <v>4</v>
      </c>
      <c r="J393" s="118" t="s">
        <v>273</v>
      </c>
    </row>
    <row r="394" spans="1:10" x14ac:dyDescent="0.25">
      <c r="A394" s="116">
        <v>391</v>
      </c>
      <c r="B394" s="117" t="s">
        <v>409</v>
      </c>
      <c r="C394" s="118" t="s">
        <v>410</v>
      </c>
      <c r="D394" s="118" t="s">
        <v>463</v>
      </c>
      <c r="E394" s="118" t="s">
        <v>25</v>
      </c>
      <c r="F394" s="119">
        <v>99.155952152848116</v>
      </c>
      <c r="G394" s="119">
        <v>106.85315215284811</v>
      </c>
      <c r="H394" s="119">
        <v>17.579999999999998</v>
      </c>
      <c r="I394" s="116">
        <v>34</v>
      </c>
      <c r="J394" s="118" t="s">
        <v>273</v>
      </c>
    </row>
    <row r="395" spans="1:10" x14ac:dyDescent="0.25">
      <c r="A395" s="116">
        <v>392</v>
      </c>
      <c r="B395" s="117" t="s">
        <v>274</v>
      </c>
      <c r="C395" s="118" t="s">
        <v>275</v>
      </c>
      <c r="D395" s="118" t="s">
        <v>463</v>
      </c>
      <c r="E395" s="118" t="s">
        <v>25</v>
      </c>
      <c r="F395" s="119">
        <v>100</v>
      </c>
      <c r="G395" s="119">
        <v>103.262</v>
      </c>
      <c r="H395" s="119">
        <v>17.739999999999998</v>
      </c>
      <c r="I395" s="116">
        <v>117</v>
      </c>
      <c r="J395" s="118" t="s">
        <v>273</v>
      </c>
    </row>
    <row r="396" spans="1:10" x14ac:dyDescent="0.25">
      <c r="A396" s="116">
        <v>393</v>
      </c>
      <c r="B396" s="117" t="s">
        <v>276</v>
      </c>
      <c r="C396" s="118" t="s">
        <v>277</v>
      </c>
      <c r="D396" s="118" t="s">
        <v>463</v>
      </c>
      <c r="E396" s="118" t="s">
        <v>25</v>
      </c>
      <c r="F396" s="119">
        <v>100</v>
      </c>
      <c r="G396" s="119">
        <v>106.2449</v>
      </c>
      <c r="H396" s="119">
        <v>16.86</v>
      </c>
      <c r="I396" s="116">
        <v>53</v>
      </c>
      <c r="J396" s="118" t="s">
        <v>273</v>
      </c>
    </row>
    <row r="397" spans="1:10" x14ac:dyDescent="0.25">
      <c r="A397" s="116">
        <v>394</v>
      </c>
      <c r="B397" s="117" t="s">
        <v>278</v>
      </c>
      <c r="C397" s="118" t="s">
        <v>279</v>
      </c>
      <c r="D397" s="118" t="s">
        <v>463</v>
      </c>
      <c r="E397" s="118" t="s">
        <v>25</v>
      </c>
      <c r="F397" s="119">
        <v>100</v>
      </c>
      <c r="G397" s="119">
        <v>103.68989999999999</v>
      </c>
      <c r="H397" s="119">
        <v>18.149999999999999</v>
      </c>
      <c r="I397" s="116">
        <v>840</v>
      </c>
      <c r="J397" s="118" t="s">
        <v>273</v>
      </c>
    </row>
    <row r="398" spans="1:10" x14ac:dyDescent="0.25">
      <c r="A398" s="116">
        <v>395</v>
      </c>
      <c r="B398" s="117" t="s">
        <v>280</v>
      </c>
      <c r="C398" s="118" t="s">
        <v>281</v>
      </c>
      <c r="D398" s="118" t="s">
        <v>463</v>
      </c>
      <c r="E398" s="118" t="s">
        <v>25</v>
      </c>
      <c r="F398" s="119">
        <v>100</v>
      </c>
      <c r="G398" s="119">
        <v>100.899</v>
      </c>
      <c r="H398" s="119">
        <v>18.22</v>
      </c>
      <c r="I398" s="116">
        <v>896</v>
      </c>
      <c r="J398" s="118" t="s">
        <v>273</v>
      </c>
    </row>
    <row r="399" spans="1:10" x14ac:dyDescent="0.25">
      <c r="A399" s="116">
        <v>396</v>
      </c>
      <c r="B399" s="117" t="s">
        <v>282</v>
      </c>
      <c r="C399" s="118" t="s">
        <v>271</v>
      </c>
      <c r="D399" s="118" t="s">
        <v>463</v>
      </c>
      <c r="E399" s="118" t="s">
        <v>25</v>
      </c>
      <c r="F399" s="119">
        <v>100</v>
      </c>
      <c r="G399" s="119">
        <v>100.9089</v>
      </c>
      <c r="H399" s="119">
        <v>18.420000000000002</v>
      </c>
      <c r="I399" s="116">
        <v>1627</v>
      </c>
      <c r="J399" s="118" t="s">
        <v>273</v>
      </c>
    </row>
    <row r="400" spans="1:10" x14ac:dyDescent="0.25">
      <c r="A400" s="116">
        <v>397</v>
      </c>
      <c r="B400" s="117" t="s">
        <v>283</v>
      </c>
      <c r="C400" s="118" t="s">
        <v>284</v>
      </c>
      <c r="D400" s="118" t="s">
        <v>463</v>
      </c>
      <c r="E400" s="118" t="s">
        <v>25</v>
      </c>
      <c r="F400" s="119">
        <v>100</v>
      </c>
      <c r="G400" s="119">
        <v>103.7101</v>
      </c>
      <c r="H400" s="119">
        <v>18.27</v>
      </c>
      <c r="I400" s="116">
        <v>1571</v>
      </c>
      <c r="J400" s="118" t="s">
        <v>273</v>
      </c>
    </row>
    <row r="401" spans="1:10" x14ac:dyDescent="0.25">
      <c r="A401" s="116">
        <v>398</v>
      </c>
      <c r="B401" s="117" t="s">
        <v>407</v>
      </c>
      <c r="C401" s="118" t="s">
        <v>406</v>
      </c>
      <c r="D401" s="118" t="s">
        <v>463</v>
      </c>
      <c r="E401" s="118" t="s">
        <v>25</v>
      </c>
      <c r="F401" s="119">
        <v>97.091419356875548</v>
      </c>
      <c r="G401" s="119">
        <v>103.31921935687555</v>
      </c>
      <c r="H401" s="119">
        <v>18.37</v>
      </c>
      <c r="I401" s="116">
        <v>124</v>
      </c>
      <c r="J401" s="118" t="s">
        <v>273</v>
      </c>
    </row>
    <row r="402" spans="1:10" x14ac:dyDescent="0.25">
      <c r="A402" s="116">
        <v>399</v>
      </c>
      <c r="B402" s="117" t="s">
        <v>1156</v>
      </c>
      <c r="C402" s="118" t="s">
        <v>1157</v>
      </c>
      <c r="D402" s="118" t="s">
        <v>463</v>
      </c>
      <c r="E402" s="118" t="s">
        <v>25</v>
      </c>
      <c r="F402" s="119">
        <v>99.832675002581382</v>
      </c>
      <c r="G402" s="119">
        <v>111.95077500258138</v>
      </c>
      <c r="H402" s="119">
        <v>17.37</v>
      </c>
      <c r="I402" s="116">
        <v>11</v>
      </c>
      <c r="J402" s="118" t="s">
        <v>273</v>
      </c>
    </row>
    <row r="403" spans="1:10" x14ac:dyDescent="0.25">
      <c r="A403" s="116">
        <v>400</v>
      </c>
      <c r="B403" s="117" t="s">
        <v>1158</v>
      </c>
      <c r="C403" s="118" t="s">
        <v>1159</v>
      </c>
      <c r="D403" s="118" t="s">
        <v>463</v>
      </c>
      <c r="E403" s="118" t="s">
        <v>25</v>
      </c>
      <c r="F403" s="119">
        <v>99.273246106260089</v>
      </c>
      <c r="G403" s="119">
        <v>109.96764610626009</v>
      </c>
      <c r="H403" s="119">
        <v>17.07</v>
      </c>
      <c r="I403" s="116">
        <v>52</v>
      </c>
      <c r="J403" s="118" t="s">
        <v>273</v>
      </c>
    </row>
    <row r="404" spans="1:10" x14ac:dyDescent="0.25">
      <c r="A404" s="116">
        <v>401</v>
      </c>
      <c r="B404" s="117" t="s">
        <v>285</v>
      </c>
      <c r="C404" s="118" t="s">
        <v>286</v>
      </c>
      <c r="D404" s="118" t="s">
        <v>463</v>
      </c>
      <c r="E404" s="118" t="s">
        <v>25</v>
      </c>
      <c r="F404" s="119">
        <v>100</v>
      </c>
      <c r="G404" s="119">
        <v>106.3935</v>
      </c>
      <c r="H404" s="119">
        <v>17.95</v>
      </c>
      <c r="I404" s="116">
        <v>236</v>
      </c>
      <c r="J404" s="118" t="s">
        <v>273</v>
      </c>
    </row>
    <row r="405" spans="1:10" x14ac:dyDescent="0.25">
      <c r="A405" s="116">
        <v>402</v>
      </c>
      <c r="B405" s="117" t="s">
        <v>1160</v>
      </c>
      <c r="C405" s="118" t="s">
        <v>1161</v>
      </c>
      <c r="D405" s="118" t="s">
        <v>463</v>
      </c>
      <c r="E405" s="118" t="s">
        <v>25</v>
      </c>
      <c r="F405" s="119">
        <v>100</v>
      </c>
      <c r="G405" s="119">
        <v>101.1027</v>
      </c>
      <c r="H405" s="119">
        <v>16.72</v>
      </c>
      <c r="I405" s="116">
        <v>341</v>
      </c>
      <c r="J405" s="118" t="s">
        <v>273</v>
      </c>
    </row>
    <row r="406" spans="1:10" x14ac:dyDescent="0.25">
      <c r="A406" s="116">
        <v>403</v>
      </c>
      <c r="B406" s="117" t="s">
        <v>397</v>
      </c>
      <c r="C406" s="118" t="s">
        <v>398</v>
      </c>
      <c r="D406" s="118" t="s">
        <v>463</v>
      </c>
      <c r="E406" s="118" t="s">
        <v>25</v>
      </c>
      <c r="F406" s="119">
        <v>84.260537210293194</v>
      </c>
      <c r="G406" s="119">
        <v>90.409137210293196</v>
      </c>
      <c r="H406" s="119">
        <v>18.21</v>
      </c>
      <c r="I406" s="116">
        <v>847</v>
      </c>
      <c r="J406" s="118" t="s">
        <v>273</v>
      </c>
    </row>
    <row r="407" spans="1:10" x14ac:dyDescent="0.25">
      <c r="A407" s="116">
        <v>404</v>
      </c>
      <c r="B407" s="117" t="s">
        <v>1162</v>
      </c>
      <c r="C407" s="118" t="s">
        <v>1163</v>
      </c>
      <c r="D407" s="118" t="s">
        <v>463</v>
      </c>
      <c r="E407" s="118" t="s">
        <v>25</v>
      </c>
      <c r="F407" s="119">
        <v>97.017446426345401</v>
      </c>
      <c r="G407" s="119">
        <v>103.19804642634541</v>
      </c>
      <c r="H407" s="119">
        <v>18.61</v>
      </c>
      <c r="I407" s="116">
        <v>182</v>
      </c>
      <c r="J407" s="118" t="s">
        <v>273</v>
      </c>
    </row>
    <row r="408" spans="1:10" x14ac:dyDescent="0.25">
      <c r="A408" s="116">
        <v>405</v>
      </c>
      <c r="B408" s="117" t="s">
        <v>426</v>
      </c>
      <c r="C408" s="118" t="s">
        <v>427</v>
      </c>
      <c r="D408" s="118" t="s">
        <v>463</v>
      </c>
      <c r="E408" s="118" t="s">
        <v>25</v>
      </c>
      <c r="F408" s="119">
        <v>72.113602944852843</v>
      </c>
      <c r="G408" s="119">
        <v>78.895502944852836</v>
      </c>
      <c r="H408" s="119">
        <v>18.07</v>
      </c>
      <c r="I408" s="116">
        <v>1903</v>
      </c>
      <c r="J408" s="118" t="s">
        <v>273</v>
      </c>
    </row>
    <row r="409" spans="1:10" x14ac:dyDescent="0.25">
      <c r="A409" s="116">
        <v>406</v>
      </c>
      <c r="B409" s="117" t="s">
        <v>1164</v>
      </c>
      <c r="C409" s="118" t="s">
        <v>1165</v>
      </c>
      <c r="D409" s="118" t="s">
        <v>463</v>
      </c>
      <c r="E409" s="118" t="s">
        <v>25</v>
      </c>
      <c r="F409" s="119">
        <v>94.436316016128004</v>
      </c>
      <c r="G409" s="119">
        <v>105.721016016128</v>
      </c>
      <c r="H409" s="119">
        <v>18.45</v>
      </c>
      <c r="I409" s="116">
        <v>395</v>
      </c>
      <c r="J409" s="118" t="s">
        <v>273</v>
      </c>
    </row>
    <row r="410" spans="1:10" x14ac:dyDescent="0.25">
      <c r="A410" s="116">
        <v>407</v>
      </c>
      <c r="B410" s="117" t="s">
        <v>1166</v>
      </c>
      <c r="C410" s="118" t="s">
        <v>1167</v>
      </c>
      <c r="D410" s="118" t="s">
        <v>463</v>
      </c>
      <c r="E410" s="118" t="s">
        <v>25</v>
      </c>
      <c r="F410" s="119">
        <v>94.248837842786884</v>
      </c>
      <c r="G410" s="119">
        <v>105.04743784278689</v>
      </c>
      <c r="H410" s="119">
        <v>18.43</v>
      </c>
      <c r="I410" s="116">
        <v>409</v>
      </c>
      <c r="J410" s="118" t="s">
        <v>273</v>
      </c>
    </row>
    <row r="411" spans="1:10" x14ac:dyDescent="0.25">
      <c r="A411" s="116">
        <v>408</v>
      </c>
      <c r="B411" s="117" t="s">
        <v>2152</v>
      </c>
      <c r="C411" s="118" t="s">
        <v>2153</v>
      </c>
      <c r="D411" s="118" t="s">
        <v>463</v>
      </c>
      <c r="E411" s="118" t="s">
        <v>25</v>
      </c>
      <c r="F411" s="119">
        <v>96.36319959884537</v>
      </c>
      <c r="G411" s="119">
        <v>100.66879959884537</v>
      </c>
      <c r="H411" s="119">
        <v>18.47</v>
      </c>
      <c r="I411" s="116">
        <v>236</v>
      </c>
      <c r="J411" s="118" t="s">
        <v>273</v>
      </c>
    </row>
    <row r="412" spans="1:10" x14ac:dyDescent="0.25">
      <c r="A412" s="116">
        <v>409</v>
      </c>
      <c r="B412" s="117" t="s">
        <v>2178</v>
      </c>
      <c r="C412" s="118" t="s">
        <v>2179</v>
      </c>
      <c r="D412" s="118" t="s">
        <v>463</v>
      </c>
      <c r="E412" s="118" t="s">
        <v>25</v>
      </c>
      <c r="F412" s="119">
        <v>96.021050964179182</v>
      </c>
      <c r="G412" s="119">
        <v>99.319650964179189</v>
      </c>
      <c r="H412" s="119">
        <v>18.45</v>
      </c>
      <c r="I412" s="116">
        <v>265</v>
      </c>
      <c r="J412" s="118" t="s">
        <v>273</v>
      </c>
    </row>
    <row r="413" spans="1:10" x14ac:dyDescent="0.25">
      <c r="A413" s="116">
        <v>410</v>
      </c>
      <c r="B413" s="117" t="s">
        <v>1168</v>
      </c>
      <c r="C413" s="118" t="s">
        <v>1169</v>
      </c>
      <c r="D413" s="118" t="s">
        <v>463</v>
      </c>
      <c r="E413" s="118" t="s">
        <v>25</v>
      </c>
      <c r="F413" s="119">
        <v>99.090818037373836</v>
      </c>
      <c r="G413" s="119">
        <v>109.64641803737385</v>
      </c>
      <c r="H413" s="119">
        <v>17.96</v>
      </c>
      <c r="I413" s="116">
        <v>56</v>
      </c>
      <c r="J413" s="118" t="s">
        <v>273</v>
      </c>
    </row>
    <row r="414" spans="1:10" x14ac:dyDescent="0.25">
      <c r="A414" s="116">
        <v>411</v>
      </c>
      <c r="B414" s="117" t="s">
        <v>2050</v>
      </c>
      <c r="C414" s="118" t="s">
        <v>2051</v>
      </c>
      <c r="D414" s="118" t="s">
        <v>463</v>
      </c>
      <c r="E414" s="118" t="s">
        <v>25</v>
      </c>
      <c r="F414" s="119">
        <v>97.05890700851441</v>
      </c>
      <c r="G414" s="119">
        <v>103.34360700851441</v>
      </c>
      <c r="H414" s="119">
        <v>18.62</v>
      </c>
      <c r="I414" s="116">
        <v>179</v>
      </c>
      <c r="J414" s="118" t="s">
        <v>273</v>
      </c>
    </row>
    <row r="415" spans="1:10" x14ac:dyDescent="0.25">
      <c r="A415" s="116">
        <v>412</v>
      </c>
      <c r="B415" s="117" t="s">
        <v>2278</v>
      </c>
      <c r="C415" s="118" t="s">
        <v>2279</v>
      </c>
      <c r="D415" s="118" t="s">
        <v>463</v>
      </c>
      <c r="E415" s="118" t="s">
        <v>25</v>
      </c>
      <c r="F415" s="119">
        <v>95.543185910855641</v>
      </c>
      <c r="G415" s="119">
        <v>97.452885910855642</v>
      </c>
      <c r="H415" s="119">
        <v>18.47</v>
      </c>
      <c r="I415" s="116">
        <v>305</v>
      </c>
      <c r="J415" s="118" t="s">
        <v>273</v>
      </c>
    </row>
    <row r="416" spans="1:10" x14ac:dyDescent="0.25">
      <c r="A416" s="116">
        <v>413</v>
      </c>
      <c r="B416" s="117" t="s">
        <v>2268</v>
      </c>
      <c r="C416" s="118" t="s">
        <v>2269</v>
      </c>
      <c r="D416" s="118" t="s">
        <v>463</v>
      </c>
      <c r="E416" s="118" t="s">
        <v>25</v>
      </c>
      <c r="F416" s="119">
        <v>95.615568883754165</v>
      </c>
      <c r="G416" s="119">
        <v>97.768368883754164</v>
      </c>
      <c r="H416" s="119">
        <v>18.48</v>
      </c>
      <c r="I416" s="116">
        <v>298</v>
      </c>
      <c r="J416" s="118" t="s">
        <v>273</v>
      </c>
    </row>
    <row r="417" spans="1:10" x14ac:dyDescent="0.25">
      <c r="A417" s="116">
        <v>414</v>
      </c>
      <c r="B417" s="117" t="s">
        <v>2326</v>
      </c>
      <c r="C417" s="118" t="s">
        <v>2327</v>
      </c>
      <c r="D417" s="118" t="s">
        <v>463</v>
      </c>
      <c r="E417" s="118" t="s">
        <v>25</v>
      </c>
      <c r="F417" s="119">
        <v>95.333876653676228</v>
      </c>
      <c r="G417" s="119">
        <v>96.514476653676226</v>
      </c>
      <c r="H417" s="119">
        <v>18.440000000000001</v>
      </c>
      <c r="I417" s="116">
        <v>326</v>
      </c>
      <c r="J417" s="118" t="s">
        <v>273</v>
      </c>
    </row>
    <row r="418" spans="1:10" x14ac:dyDescent="0.25">
      <c r="A418" s="116">
        <v>415</v>
      </c>
      <c r="B418" s="117" t="s">
        <v>411</v>
      </c>
      <c r="C418" s="118" t="s">
        <v>412</v>
      </c>
      <c r="D418" s="118" t="s">
        <v>463</v>
      </c>
      <c r="E418" s="118" t="s">
        <v>25</v>
      </c>
      <c r="F418" s="119">
        <v>96.147058076125859</v>
      </c>
      <c r="G418" s="119">
        <v>101.29285807612585</v>
      </c>
      <c r="H418" s="119">
        <v>18.53</v>
      </c>
      <c r="I418" s="116">
        <v>165</v>
      </c>
      <c r="J418" s="118" t="s">
        <v>273</v>
      </c>
    </row>
    <row r="419" spans="1:10" x14ac:dyDescent="0.25">
      <c r="A419" s="116">
        <v>416</v>
      </c>
      <c r="B419" s="117" t="s">
        <v>2093</v>
      </c>
      <c r="C419" s="118" t="s">
        <v>2094</v>
      </c>
      <c r="D419" s="118" t="s">
        <v>463</v>
      </c>
      <c r="E419" s="118" t="s">
        <v>25</v>
      </c>
      <c r="F419" s="119">
        <v>92.508573779942196</v>
      </c>
      <c r="G419" s="119">
        <v>98.550273779942202</v>
      </c>
      <c r="H419" s="119">
        <v>18.38</v>
      </c>
      <c r="I419" s="116">
        <v>546</v>
      </c>
      <c r="J419" s="118" t="s">
        <v>273</v>
      </c>
    </row>
    <row r="420" spans="1:10" x14ac:dyDescent="0.25">
      <c r="A420" s="116">
        <v>417</v>
      </c>
      <c r="B420" s="117" t="s">
        <v>2109</v>
      </c>
      <c r="C420" s="118" t="s">
        <v>2110</v>
      </c>
      <c r="D420" s="118" t="s">
        <v>463</v>
      </c>
      <c r="E420" s="118" t="s">
        <v>25</v>
      </c>
      <c r="F420" s="119">
        <v>92.238114932495847</v>
      </c>
      <c r="G420" s="119">
        <v>96.995014932495849</v>
      </c>
      <c r="H420" s="119">
        <v>18.27</v>
      </c>
      <c r="I420" s="116">
        <v>583</v>
      </c>
      <c r="J420" s="118" t="s">
        <v>273</v>
      </c>
    </row>
    <row r="421" spans="1:10" x14ac:dyDescent="0.25">
      <c r="A421" s="116">
        <v>418</v>
      </c>
      <c r="B421" s="117" t="s">
        <v>2180</v>
      </c>
      <c r="C421" s="118" t="s">
        <v>2181</v>
      </c>
      <c r="D421" s="118" t="s">
        <v>463</v>
      </c>
      <c r="E421" s="118" t="s">
        <v>25</v>
      </c>
      <c r="F421" s="119">
        <v>91.822235110988402</v>
      </c>
      <c r="G421" s="119">
        <v>95.120835110988395</v>
      </c>
      <c r="H421" s="119">
        <v>18.27</v>
      </c>
      <c r="I421" s="116">
        <v>625</v>
      </c>
      <c r="J421" s="118" t="s">
        <v>273</v>
      </c>
    </row>
    <row r="422" spans="1:10" x14ac:dyDescent="0.25">
      <c r="A422" s="116">
        <v>419</v>
      </c>
      <c r="B422" s="117" t="s">
        <v>1171</v>
      </c>
      <c r="C422" s="118" t="s">
        <v>1172</v>
      </c>
      <c r="D422" s="118" t="s">
        <v>463</v>
      </c>
      <c r="E422" s="118" t="s">
        <v>1170</v>
      </c>
      <c r="F422" s="119">
        <v>100</v>
      </c>
      <c r="G422" s="119">
        <v>100.0175</v>
      </c>
      <c r="H422" s="119">
        <v>0.35</v>
      </c>
      <c r="I422" s="116">
        <v>342</v>
      </c>
      <c r="J422" s="118" t="s">
        <v>273</v>
      </c>
    </row>
    <row r="423" spans="1:10" x14ac:dyDescent="0.25">
      <c r="A423" s="116">
        <v>420</v>
      </c>
      <c r="B423" s="117" t="s">
        <v>1173</v>
      </c>
      <c r="C423" s="118" t="s">
        <v>1174</v>
      </c>
      <c r="D423" s="118" t="s">
        <v>463</v>
      </c>
      <c r="E423" s="118" t="s">
        <v>1170</v>
      </c>
      <c r="F423" s="119">
        <v>100</v>
      </c>
      <c r="G423" s="119">
        <v>100.0012</v>
      </c>
      <c r="H423" s="119">
        <v>0.02</v>
      </c>
      <c r="I423" s="116">
        <v>3113</v>
      </c>
      <c r="J423" s="118" t="s">
        <v>273</v>
      </c>
    </row>
    <row r="424" spans="1:10" x14ac:dyDescent="0.25">
      <c r="A424" s="116">
        <v>421</v>
      </c>
      <c r="B424" s="117" t="s">
        <v>1175</v>
      </c>
      <c r="C424" s="118" t="s">
        <v>1176</v>
      </c>
      <c r="D424" s="118" t="s">
        <v>463</v>
      </c>
      <c r="E424" s="118" t="s">
        <v>1170</v>
      </c>
      <c r="F424" s="119">
        <v>100</v>
      </c>
      <c r="G424" s="119">
        <v>104.3981</v>
      </c>
      <c r="H424" s="119">
        <v>7.05</v>
      </c>
      <c r="I424" s="116">
        <v>2210</v>
      </c>
      <c r="J424" s="118" t="s">
        <v>273</v>
      </c>
    </row>
    <row r="425" spans="1:10" x14ac:dyDescent="0.25">
      <c r="A425" s="116">
        <v>422</v>
      </c>
      <c r="B425" s="117" t="s">
        <v>1177</v>
      </c>
      <c r="C425" s="118" t="s">
        <v>1178</v>
      </c>
      <c r="D425" s="118" t="s">
        <v>463</v>
      </c>
      <c r="E425" s="118" t="s">
        <v>1170</v>
      </c>
      <c r="F425" s="119">
        <v>100</v>
      </c>
      <c r="G425" s="119">
        <v>100.71169999999999</v>
      </c>
      <c r="H425" s="119">
        <v>6.08</v>
      </c>
      <c r="I425" s="116">
        <v>1728</v>
      </c>
      <c r="J425" s="118" t="s">
        <v>273</v>
      </c>
    </row>
    <row r="426" spans="1:10" x14ac:dyDescent="0.25">
      <c r="A426" s="116">
        <v>423</v>
      </c>
      <c r="B426" s="117" t="s">
        <v>1179</v>
      </c>
      <c r="C426" s="118" t="s">
        <v>1180</v>
      </c>
      <c r="D426" s="118" t="s">
        <v>463</v>
      </c>
      <c r="E426" s="118" t="s">
        <v>1170</v>
      </c>
      <c r="F426" s="119">
        <v>100</v>
      </c>
      <c r="G426" s="119">
        <v>105.5222</v>
      </c>
      <c r="H426" s="119">
        <v>7.08</v>
      </c>
      <c r="I426" s="116">
        <v>2210</v>
      </c>
      <c r="J426" s="118" t="s">
        <v>273</v>
      </c>
    </row>
    <row r="427" spans="1:10" x14ac:dyDescent="0.25">
      <c r="A427" s="116">
        <v>424</v>
      </c>
      <c r="B427" s="117" t="s">
        <v>1181</v>
      </c>
      <c r="C427" s="118" t="s">
        <v>1182</v>
      </c>
      <c r="D427" s="118" t="s">
        <v>463</v>
      </c>
      <c r="E427" s="118" t="s">
        <v>1170</v>
      </c>
      <c r="F427" s="119">
        <v>100</v>
      </c>
      <c r="G427" s="119">
        <v>105.98139999999999</v>
      </c>
      <c r="H427" s="119">
        <v>6.09</v>
      </c>
      <c r="I427" s="116">
        <v>2137</v>
      </c>
      <c r="J427" s="118" t="s">
        <v>273</v>
      </c>
    </row>
    <row r="428" spans="1:10" x14ac:dyDescent="0.25">
      <c r="A428" s="116">
        <v>425</v>
      </c>
      <c r="B428" s="117" t="s">
        <v>1183</v>
      </c>
      <c r="C428" s="118" t="s">
        <v>1184</v>
      </c>
      <c r="D428" s="118" t="s">
        <v>463</v>
      </c>
      <c r="E428" s="118" t="s">
        <v>1170</v>
      </c>
      <c r="F428" s="119">
        <v>100</v>
      </c>
      <c r="G428" s="119">
        <v>104.8292</v>
      </c>
      <c r="H428" s="119">
        <v>6.08</v>
      </c>
      <c r="I428" s="116">
        <v>2565</v>
      </c>
      <c r="J428" s="118" t="s">
        <v>273</v>
      </c>
    </row>
    <row r="429" spans="1:10" x14ac:dyDescent="0.25">
      <c r="A429" s="116">
        <v>426</v>
      </c>
      <c r="B429" s="117" t="s">
        <v>1185</v>
      </c>
      <c r="C429" s="118" t="s">
        <v>1186</v>
      </c>
      <c r="D429" s="118" t="s">
        <v>463</v>
      </c>
      <c r="E429" s="118" t="s">
        <v>1170</v>
      </c>
      <c r="F429" s="119">
        <v>100</v>
      </c>
      <c r="G429" s="119">
        <v>104.8292</v>
      </c>
      <c r="H429" s="119">
        <v>6.08</v>
      </c>
      <c r="I429" s="116">
        <v>2565</v>
      </c>
      <c r="J429" s="118" t="s">
        <v>273</v>
      </c>
    </row>
    <row r="430" spans="1:10" x14ac:dyDescent="0.25">
      <c r="A430" s="116">
        <v>427</v>
      </c>
      <c r="B430" s="117" t="s">
        <v>1187</v>
      </c>
      <c r="C430" s="118" t="s">
        <v>1188</v>
      </c>
      <c r="D430" s="118" t="s">
        <v>463</v>
      </c>
      <c r="E430" s="118" t="s">
        <v>65</v>
      </c>
      <c r="F430" s="119">
        <v>98.159381039312748</v>
      </c>
      <c r="G430" s="119">
        <v>105.70658103931274</v>
      </c>
      <c r="H430" s="119">
        <v>18.71</v>
      </c>
      <c r="I430" s="116">
        <v>74</v>
      </c>
      <c r="J430" s="118" t="s">
        <v>273</v>
      </c>
    </row>
    <row r="431" spans="1:10" x14ac:dyDescent="0.25">
      <c r="A431" s="116">
        <v>428</v>
      </c>
      <c r="B431" s="117" t="s">
        <v>1189</v>
      </c>
      <c r="C431" s="118" t="s">
        <v>1190</v>
      </c>
      <c r="D431" s="118" t="s">
        <v>453</v>
      </c>
      <c r="E431" s="118" t="s">
        <v>1191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1192</v>
      </c>
      <c r="C432" s="118" t="s">
        <v>1193</v>
      </c>
      <c r="D432" s="118" t="s">
        <v>453</v>
      </c>
      <c r="E432" s="118" t="s">
        <v>1194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453</v>
      </c>
      <c r="E433" s="118" t="s">
        <v>87</v>
      </c>
      <c r="F433" s="119">
        <v>20128.801357676621</v>
      </c>
      <c r="G433" s="119">
        <v>20128.801357676621</v>
      </c>
      <c r="H433" s="119">
        <v>0</v>
      </c>
      <c r="I433" s="116">
        <v>0</v>
      </c>
      <c r="J433" s="118" t="s">
        <v>242</v>
      </c>
    </row>
    <row r="434" spans="1:10" x14ac:dyDescent="0.25">
      <c r="A434" s="116">
        <v>431</v>
      </c>
      <c r="B434" s="117" t="s">
        <v>1195</v>
      </c>
      <c r="C434" s="118" t="s">
        <v>1196</v>
      </c>
      <c r="D434" s="118" t="s">
        <v>463</v>
      </c>
      <c r="E434" s="118" t="s">
        <v>87</v>
      </c>
      <c r="F434" s="119">
        <v>99.956999999999994</v>
      </c>
      <c r="G434" s="119">
        <v>101.38200000000001</v>
      </c>
      <c r="H434" s="119">
        <v>4.7699999999999996</v>
      </c>
      <c r="I434" s="116">
        <v>612</v>
      </c>
      <c r="J434" s="118" t="s">
        <v>273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463</v>
      </c>
      <c r="E435" s="118" t="s">
        <v>87</v>
      </c>
      <c r="F435" s="119">
        <v>88.692999999999998</v>
      </c>
      <c r="G435" s="119">
        <v>90.418000000000006</v>
      </c>
      <c r="H435" s="119">
        <v>6.75</v>
      </c>
      <c r="I435" s="116">
        <v>7812</v>
      </c>
      <c r="J435" s="118" t="s">
        <v>273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463</v>
      </c>
      <c r="E436" s="118" t="s">
        <v>87</v>
      </c>
      <c r="F436" s="119">
        <v>101.349</v>
      </c>
      <c r="G436" s="119">
        <v>102.88679999999999</v>
      </c>
      <c r="H436" s="119">
        <v>5.05</v>
      </c>
      <c r="I436" s="116">
        <v>1697</v>
      </c>
      <c r="J436" s="118" t="s">
        <v>273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463</v>
      </c>
      <c r="E437" s="118" t="s">
        <v>87</v>
      </c>
      <c r="F437" s="119">
        <v>94.602999999999994</v>
      </c>
      <c r="G437" s="119">
        <v>96.427000000000007</v>
      </c>
      <c r="H437" s="119">
        <v>6.84</v>
      </c>
      <c r="I437" s="116">
        <v>8357</v>
      </c>
      <c r="J437" s="118" t="s">
        <v>273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463</v>
      </c>
      <c r="E438" s="118" t="s">
        <v>87</v>
      </c>
      <c r="F438" s="119">
        <v>87.680999999999997</v>
      </c>
      <c r="G438" s="119">
        <v>88.779600000000002</v>
      </c>
      <c r="H438" s="119">
        <v>5.48</v>
      </c>
      <c r="I438" s="116">
        <v>2767</v>
      </c>
      <c r="J438" s="118" t="s">
        <v>273</v>
      </c>
    </row>
    <row r="439" spans="1:10" x14ac:dyDescent="0.25">
      <c r="A439" s="116">
        <v>436</v>
      </c>
      <c r="B439" s="117" t="s">
        <v>1200</v>
      </c>
      <c r="C439" s="118" t="s">
        <v>1201</v>
      </c>
      <c r="D439" s="118" t="s">
        <v>463</v>
      </c>
      <c r="E439" s="118" t="s">
        <v>1202</v>
      </c>
      <c r="F439" s="119">
        <v>100</v>
      </c>
      <c r="G439" s="119">
        <v>102.0424</v>
      </c>
      <c r="H439" s="119">
        <v>4.24</v>
      </c>
      <c r="I439" s="116">
        <v>307</v>
      </c>
      <c r="J439" s="118" t="s">
        <v>273</v>
      </c>
    </row>
    <row r="440" spans="1:10" x14ac:dyDescent="0.25">
      <c r="A440" s="116">
        <v>437</v>
      </c>
      <c r="B440" s="117" t="s">
        <v>1203</v>
      </c>
      <c r="C440" s="118" t="s">
        <v>1204</v>
      </c>
      <c r="D440" s="118" t="s">
        <v>463</v>
      </c>
      <c r="E440" s="118" t="s">
        <v>1202</v>
      </c>
      <c r="F440" s="119">
        <v>100</v>
      </c>
      <c r="G440" s="119">
        <v>100.06610000000001</v>
      </c>
      <c r="H440" s="119">
        <v>0.35</v>
      </c>
      <c r="I440" s="116">
        <v>112</v>
      </c>
      <c r="J440" s="118" t="s">
        <v>273</v>
      </c>
    </row>
    <row r="441" spans="1:10" x14ac:dyDescent="0.25">
      <c r="A441" s="116">
        <v>438</v>
      </c>
      <c r="B441" s="117" t="s">
        <v>1205</v>
      </c>
      <c r="C441" s="118" t="s">
        <v>1206</v>
      </c>
      <c r="D441" s="118" t="s">
        <v>463</v>
      </c>
      <c r="E441" s="118" t="s">
        <v>1202</v>
      </c>
      <c r="F441" s="119">
        <v>100</v>
      </c>
      <c r="G441" s="119">
        <v>100.02630000000001</v>
      </c>
      <c r="H441" s="119">
        <v>0.35</v>
      </c>
      <c r="I441" s="116">
        <v>333</v>
      </c>
      <c r="J441" s="118" t="s">
        <v>273</v>
      </c>
    </row>
    <row r="442" spans="1:10" x14ac:dyDescent="0.25">
      <c r="A442" s="116">
        <v>439</v>
      </c>
      <c r="B442" s="117" t="s">
        <v>2191</v>
      </c>
      <c r="C442" s="118" t="s">
        <v>2192</v>
      </c>
      <c r="D442" s="118" t="s">
        <v>463</v>
      </c>
      <c r="E442" s="118" t="s">
        <v>1202</v>
      </c>
      <c r="F442" s="119">
        <v>100</v>
      </c>
      <c r="G442" s="119">
        <v>100.08069999999999</v>
      </c>
      <c r="H442" s="119">
        <v>0.35</v>
      </c>
      <c r="I442" s="116">
        <v>637</v>
      </c>
      <c r="J442" s="118" t="s">
        <v>273</v>
      </c>
    </row>
    <row r="443" spans="1:10" x14ac:dyDescent="0.25">
      <c r="A443" s="116">
        <v>440</v>
      </c>
      <c r="B443" s="117" t="s">
        <v>1996</v>
      </c>
      <c r="C443" s="118" t="s">
        <v>1997</v>
      </c>
      <c r="D443" s="118" t="s">
        <v>463</v>
      </c>
      <c r="E443" s="118" t="s">
        <v>1202</v>
      </c>
      <c r="F443" s="119">
        <v>100</v>
      </c>
      <c r="G443" s="119">
        <v>100.0128</v>
      </c>
      <c r="H443" s="119">
        <v>0.02</v>
      </c>
      <c r="I443" s="116">
        <v>3113</v>
      </c>
      <c r="J443" s="118" t="s">
        <v>273</v>
      </c>
    </row>
    <row r="444" spans="1:10" x14ac:dyDescent="0.25">
      <c r="A444" s="116">
        <v>441</v>
      </c>
      <c r="B444" s="117" t="s">
        <v>1207</v>
      </c>
      <c r="C444" s="118" t="s">
        <v>1208</v>
      </c>
      <c r="D444" s="118" t="s">
        <v>463</v>
      </c>
      <c r="E444" s="118" t="s">
        <v>1202</v>
      </c>
      <c r="F444" s="119">
        <v>100</v>
      </c>
      <c r="G444" s="119">
        <v>100.0027</v>
      </c>
      <c r="H444" s="119">
        <v>0.02</v>
      </c>
      <c r="I444" s="116">
        <v>3113</v>
      </c>
      <c r="J444" s="118" t="s">
        <v>273</v>
      </c>
    </row>
    <row r="445" spans="1:10" x14ac:dyDescent="0.25">
      <c r="A445" s="116">
        <v>442</v>
      </c>
      <c r="B445" s="117" t="s">
        <v>1209</v>
      </c>
      <c r="C445" s="118" t="s">
        <v>1210</v>
      </c>
      <c r="D445" s="118" t="s">
        <v>463</v>
      </c>
      <c r="E445" s="118" t="s">
        <v>1202</v>
      </c>
      <c r="F445" s="119">
        <v>100</v>
      </c>
      <c r="G445" s="119">
        <v>100.71169999999999</v>
      </c>
      <c r="H445" s="119">
        <v>6.08</v>
      </c>
      <c r="I445" s="116">
        <v>1728</v>
      </c>
      <c r="J445" s="118" t="s">
        <v>273</v>
      </c>
    </row>
    <row r="446" spans="1:10" x14ac:dyDescent="0.25">
      <c r="A446" s="116">
        <v>443</v>
      </c>
      <c r="B446" s="117" t="s">
        <v>2441</v>
      </c>
      <c r="C446" s="118" t="s">
        <v>2442</v>
      </c>
      <c r="D446" s="118" t="s">
        <v>463</v>
      </c>
      <c r="E446" s="118" t="s">
        <v>1202</v>
      </c>
      <c r="F446" s="119">
        <v>91.146934647447111</v>
      </c>
      <c r="G446" s="119">
        <v>91.500834647447107</v>
      </c>
      <c r="H446" s="119">
        <v>20.329999999999998</v>
      </c>
      <c r="I446" s="116">
        <v>3593</v>
      </c>
      <c r="J446" s="118" t="s">
        <v>273</v>
      </c>
    </row>
    <row r="447" spans="1:10" x14ac:dyDescent="0.25">
      <c r="A447" s="116">
        <v>444</v>
      </c>
      <c r="B447" s="117" t="s">
        <v>1211</v>
      </c>
      <c r="C447" s="118" t="s">
        <v>1212</v>
      </c>
      <c r="D447" s="118" t="s">
        <v>463</v>
      </c>
      <c r="E447" s="118" t="s">
        <v>1202</v>
      </c>
      <c r="F447" s="119">
        <v>100</v>
      </c>
      <c r="G447" s="119">
        <v>105.98139999999999</v>
      </c>
      <c r="H447" s="119">
        <v>6.09</v>
      </c>
      <c r="I447" s="116">
        <v>2137</v>
      </c>
      <c r="J447" s="118" t="s">
        <v>273</v>
      </c>
    </row>
    <row r="448" spans="1:10" x14ac:dyDescent="0.25">
      <c r="A448" s="116">
        <v>445</v>
      </c>
      <c r="B448" s="117" t="s">
        <v>1213</v>
      </c>
      <c r="C448" s="118" t="s">
        <v>1214</v>
      </c>
      <c r="D448" s="118" t="s">
        <v>463</v>
      </c>
      <c r="E448" s="118" t="s">
        <v>1202</v>
      </c>
      <c r="F448" s="119">
        <v>100</v>
      </c>
      <c r="G448" s="119">
        <v>104.8292</v>
      </c>
      <c r="H448" s="119">
        <v>6.08</v>
      </c>
      <c r="I448" s="116">
        <v>2565</v>
      </c>
      <c r="J448" s="118" t="s">
        <v>273</v>
      </c>
    </row>
    <row r="449" spans="1:10" x14ac:dyDescent="0.25">
      <c r="A449" s="116">
        <v>446</v>
      </c>
      <c r="B449" s="117" t="s">
        <v>1215</v>
      </c>
      <c r="C449" s="118" t="s">
        <v>1216</v>
      </c>
      <c r="D449" s="118" t="s">
        <v>463</v>
      </c>
      <c r="E449" s="118" t="s">
        <v>1202</v>
      </c>
      <c r="F449" s="119">
        <v>100</v>
      </c>
      <c r="G449" s="119">
        <v>104.8292</v>
      </c>
      <c r="H449" s="119">
        <v>6.08</v>
      </c>
      <c r="I449" s="116">
        <v>2565</v>
      </c>
      <c r="J449" s="118" t="s">
        <v>273</v>
      </c>
    </row>
    <row r="450" spans="1:10" x14ac:dyDescent="0.25">
      <c r="A450" s="116">
        <v>447</v>
      </c>
      <c r="B450" s="117" t="s">
        <v>1217</v>
      </c>
      <c r="C450" s="118" t="s">
        <v>1218</v>
      </c>
      <c r="D450" s="118" t="s">
        <v>463</v>
      </c>
      <c r="E450" s="118" t="s">
        <v>1202</v>
      </c>
      <c r="F450" s="119">
        <v>100</v>
      </c>
      <c r="G450" s="119">
        <v>103.6939</v>
      </c>
      <c r="H450" s="119">
        <v>6.08</v>
      </c>
      <c r="I450" s="116">
        <v>2632</v>
      </c>
      <c r="J450" s="118" t="s">
        <v>273</v>
      </c>
    </row>
    <row r="451" spans="1:10" x14ac:dyDescent="0.25">
      <c r="A451" s="116">
        <v>448</v>
      </c>
      <c r="B451" s="117" t="s">
        <v>1219</v>
      </c>
      <c r="C451" s="118" t="s">
        <v>1220</v>
      </c>
      <c r="D451" s="118" t="s">
        <v>453</v>
      </c>
      <c r="E451" s="118" t="s">
        <v>1221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1197</v>
      </c>
      <c r="C452" s="118" t="s">
        <v>1198</v>
      </c>
      <c r="D452" s="118" t="s">
        <v>453</v>
      </c>
      <c r="E452" s="118" t="s">
        <v>1199</v>
      </c>
      <c r="F452" s="119">
        <v>37188.362249999998</v>
      </c>
      <c r="G452" s="119">
        <v>37188.362249999998</v>
      </c>
      <c r="H452" s="119">
        <v>0</v>
      </c>
      <c r="I452" s="116">
        <v>0</v>
      </c>
      <c r="J452" s="118" t="s">
        <v>242</v>
      </c>
    </row>
    <row r="453" spans="1:10" x14ac:dyDescent="0.25">
      <c r="A453" s="116">
        <v>450</v>
      </c>
      <c r="B453" s="117" t="s">
        <v>1222</v>
      </c>
      <c r="C453" s="118" t="s">
        <v>1223</v>
      </c>
      <c r="D453" s="118" t="s">
        <v>463</v>
      </c>
      <c r="E453" s="118" t="s">
        <v>1224</v>
      </c>
      <c r="F453" s="119">
        <v>100</v>
      </c>
      <c r="G453" s="119">
        <v>101.0035</v>
      </c>
      <c r="H453" s="119">
        <v>4.2300000000000004</v>
      </c>
      <c r="I453" s="116">
        <v>395</v>
      </c>
      <c r="J453" s="118" t="s">
        <v>273</v>
      </c>
    </row>
    <row r="454" spans="1:10" x14ac:dyDescent="0.25">
      <c r="A454" s="116">
        <v>451</v>
      </c>
      <c r="B454" s="117" t="s">
        <v>1225</v>
      </c>
      <c r="C454" s="118" t="s">
        <v>1226</v>
      </c>
      <c r="D454" s="118" t="s">
        <v>463</v>
      </c>
      <c r="E454" s="118" t="s">
        <v>1224</v>
      </c>
      <c r="F454" s="119">
        <v>100</v>
      </c>
      <c r="G454" s="119">
        <v>100.0729</v>
      </c>
      <c r="H454" s="119">
        <v>0.35</v>
      </c>
      <c r="I454" s="116">
        <v>105</v>
      </c>
      <c r="J454" s="118" t="s">
        <v>273</v>
      </c>
    </row>
    <row r="455" spans="1:10" x14ac:dyDescent="0.25">
      <c r="A455" s="116">
        <v>452</v>
      </c>
      <c r="B455" s="117" t="s">
        <v>1227</v>
      </c>
      <c r="C455" s="118" t="s">
        <v>1228</v>
      </c>
      <c r="D455" s="118" t="s">
        <v>463</v>
      </c>
      <c r="E455" s="118" t="s">
        <v>1224</v>
      </c>
      <c r="F455" s="119">
        <v>100</v>
      </c>
      <c r="G455" s="119">
        <v>100.0068</v>
      </c>
      <c r="H455" s="119">
        <v>0.35</v>
      </c>
      <c r="I455" s="116">
        <v>353</v>
      </c>
      <c r="J455" s="118" t="s">
        <v>273</v>
      </c>
    </row>
    <row r="456" spans="1:10" x14ac:dyDescent="0.25">
      <c r="A456" s="116">
        <v>453</v>
      </c>
      <c r="B456" s="117" t="s">
        <v>2157</v>
      </c>
      <c r="C456" s="118" t="s">
        <v>2158</v>
      </c>
      <c r="D456" s="118" t="s">
        <v>463</v>
      </c>
      <c r="E456" s="118" t="s">
        <v>1224</v>
      </c>
      <c r="F456" s="119">
        <v>100</v>
      </c>
      <c r="G456" s="119">
        <v>100.10599999999999</v>
      </c>
      <c r="H456" s="119">
        <v>0.35</v>
      </c>
      <c r="I456" s="116">
        <v>611</v>
      </c>
      <c r="J456" s="118" t="s">
        <v>273</v>
      </c>
    </row>
    <row r="457" spans="1:10" x14ac:dyDescent="0.25">
      <c r="A457" s="116">
        <v>454</v>
      </c>
      <c r="B457" s="117" t="s">
        <v>1229</v>
      </c>
      <c r="C457" s="118" t="s">
        <v>1230</v>
      </c>
      <c r="D457" s="118" t="s">
        <v>463</v>
      </c>
      <c r="E457" s="118" t="s">
        <v>1224</v>
      </c>
      <c r="F457" s="119">
        <v>100</v>
      </c>
      <c r="G457" s="119">
        <v>100.0001</v>
      </c>
      <c r="H457" s="119">
        <v>0.02</v>
      </c>
      <c r="I457" s="116">
        <v>3113</v>
      </c>
      <c r="J457" s="118" t="s">
        <v>273</v>
      </c>
    </row>
    <row r="458" spans="1:10" x14ac:dyDescent="0.25">
      <c r="A458" s="116">
        <v>455</v>
      </c>
      <c r="B458" s="117" t="s">
        <v>1231</v>
      </c>
      <c r="C458" s="118" t="s">
        <v>1232</v>
      </c>
      <c r="D458" s="118" t="s">
        <v>463</v>
      </c>
      <c r="E458" s="118" t="s">
        <v>1224</v>
      </c>
      <c r="F458" s="119">
        <v>100</v>
      </c>
      <c r="G458" s="119">
        <v>100.0031</v>
      </c>
      <c r="H458" s="119">
        <v>0.02</v>
      </c>
      <c r="I458" s="116">
        <v>3113</v>
      </c>
      <c r="J458" s="118" t="s">
        <v>273</v>
      </c>
    </row>
    <row r="459" spans="1:10" x14ac:dyDescent="0.25">
      <c r="A459" s="116">
        <v>456</v>
      </c>
      <c r="B459" s="117" t="s">
        <v>1233</v>
      </c>
      <c r="C459" s="118" t="s">
        <v>1234</v>
      </c>
      <c r="D459" s="118" t="s">
        <v>463</v>
      </c>
      <c r="E459" s="118" t="s">
        <v>1224</v>
      </c>
      <c r="F459" s="119">
        <v>100</v>
      </c>
      <c r="G459" s="119">
        <v>100.71169999999999</v>
      </c>
      <c r="H459" s="119">
        <v>6.08</v>
      </c>
      <c r="I459" s="116">
        <v>1728</v>
      </c>
      <c r="J459" s="118" t="s">
        <v>273</v>
      </c>
    </row>
    <row r="460" spans="1:10" x14ac:dyDescent="0.25">
      <c r="A460" s="116">
        <v>457</v>
      </c>
      <c r="B460" s="117" t="s">
        <v>1235</v>
      </c>
      <c r="C460" s="118" t="s">
        <v>1236</v>
      </c>
      <c r="D460" s="118" t="s">
        <v>463</v>
      </c>
      <c r="E460" s="118" t="s">
        <v>1224</v>
      </c>
      <c r="F460" s="119">
        <v>100</v>
      </c>
      <c r="G460" s="119">
        <v>105.5222</v>
      </c>
      <c r="H460" s="119">
        <v>7.08</v>
      </c>
      <c r="I460" s="116">
        <v>2210</v>
      </c>
      <c r="J460" s="118" t="s">
        <v>273</v>
      </c>
    </row>
    <row r="461" spans="1:10" x14ac:dyDescent="0.25">
      <c r="A461" s="116">
        <v>458</v>
      </c>
      <c r="B461" s="117" t="s">
        <v>2349</v>
      </c>
      <c r="C461" s="118" t="s">
        <v>2350</v>
      </c>
      <c r="D461" s="118" t="s">
        <v>463</v>
      </c>
      <c r="E461" s="118" t="s">
        <v>1224</v>
      </c>
      <c r="F461" s="119">
        <v>91.142901693916656</v>
      </c>
      <c r="G461" s="119">
        <v>92.103501693916655</v>
      </c>
      <c r="H461" s="119">
        <v>20.32</v>
      </c>
      <c r="I461" s="116">
        <v>3581</v>
      </c>
      <c r="J461" s="118" t="s">
        <v>273</v>
      </c>
    </row>
    <row r="462" spans="1:10" x14ac:dyDescent="0.25">
      <c r="A462" s="116">
        <v>459</v>
      </c>
      <c r="B462" s="117" t="s">
        <v>1237</v>
      </c>
      <c r="C462" s="118" t="s">
        <v>1238</v>
      </c>
      <c r="D462" s="118" t="s">
        <v>463</v>
      </c>
      <c r="E462" s="118" t="s">
        <v>1224</v>
      </c>
      <c r="F462" s="119">
        <v>100</v>
      </c>
      <c r="G462" s="119">
        <v>105.98139999999999</v>
      </c>
      <c r="H462" s="119">
        <v>6.09</v>
      </c>
      <c r="I462" s="116">
        <v>2137</v>
      </c>
      <c r="J462" s="118" t="s">
        <v>273</v>
      </c>
    </row>
    <row r="463" spans="1:10" x14ac:dyDescent="0.25">
      <c r="A463" s="116">
        <v>460</v>
      </c>
      <c r="B463" s="117" t="s">
        <v>1239</v>
      </c>
      <c r="C463" s="118" t="s">
        <v>1240</v>
      </c>
      <c r="D463" s="118" t="s">
        <v>463</v>
      </c>
      <c r="E463" s="118" t="s">
        <v>1224</v>
      </c>
      <c r="F463" s="119">
        <v>100</v>
      </c>
      <c r="G463" s="119">
        <v>104.8292</v>
      </c>
      <c r="H463" s="119">
        <v>6.08</v>
      </c>
      <c r="I463" s="116">
        <v>2565</v>
      </c>
      <c r="J463" s="118" t="s">
        <v>273</v>
      </c>
    </row>
    <row r="464" spans="1:10" x14ac:dyDescent="0.25">
      <c r="A464" s="116">
        <v>461</v>
      </c>
      <c r="B464" s="117" t="s">
        <v>1241</v>
      </c>
      <c r="C464" s="118" t="s">
        <v>1242</v>
      </c>
      <c r="D464" s="118" t="s">
        <v>463</v>
      </c>
      <c r="E464" s="118" t="s">
        <v>1224</v>
      </c>
      <c r="F464" s="119">
        <v>100</v>
      </c>
      <c r="G464" s="119">
        <v>104.8292</v>
      </c>
      <c r="H464" s="119">
        <v>6.08</v>
      </c>
      <c r="I464" s="116">
        <v>2565</v>
      </c>
      <c r="J464" s="118" t="s">
        <v>273</v>
      </c>
    </row>
    <row r="465" spans="1:10" x14ac:dyDescent="0.25">
      <c r="A465" s="116">
        <v>462</v>
      </c>
      <c r="B465" s="117" t="s">
        <v>1243</v>
      </c>
      <c r="C465" s="118" t="s">
        <v>1244</v>
      </c>
      <c r="D465" s="118" t="s">
        <v>463</v>
      </c>
      <c r="E465" s="118" t="s">
        <v>1224</v>
      </c>
      <c r="F465" s="119">
        <v>100</v>
      </c>
      <c r="G465" s="119">
        <v>103.6939</v>
      </c>
      <c r="H465" s="119">
        <v>6.08</v>
      </c>
      <c r="I465" s="116">
        <v>2632</v>
      </c>
      <c r="J465" s="118" t="s">
        <v>273</v>
      </c>
    </row>
    <row r="466" spans="1:10" x14ac:dyDescent="0.25">
      <c r="A466" s="116">
        <v>463</v>
      </c>
      <c r="B466" s="117" t="s">
        <v>1245</v>
      </c>
      <c r="C466" s="118" t="s">
        <v>1246</v>
      </c>
      <c r="D466" s="118" t="s">
        <v>453</v>
      </c>
      <c r="E466" s="118" t="s">
        <v>1247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453</v>
      </c>
      <c r="E467" s="118" t="s">
        <v>98</v>
      </c>
      <c r="F467" s="119">
        <v>48499.397343375458</v>
      </c>
      <c r="G467" s="119">
        <v>48499.397343375458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530</v>
      </c>
      <c r="E468" s="118" t="s">
        <v>98</v>
      </c>
      <c r="F468" s="119">
        <v>47231.777297238114</v>
      </c>
      <c r="G468" s="119">
        <v>47231.777297238114</v>
      </c>
      <c r="H468" s="119">
        <v>0</v>
      </c>
      <c r="I468" s="116">
        <v>0</v>
      </c>
      <c r="J468" s="118" t="s">
        <v>242</v>
      </c>
    </row>
    <row r="469" spans="1:10" x14ac:dyDescent="0.25">
      <c r="A469" s="116">
        <v>466</v>
      </c>
      <c r="B469" s="117" t="s">
        <v>1248</v>
      </c>
      <c r="C469" s="118" t="s">
        <v>1249</v>
      </c>
      <c r="D469" s="118" t="s">
        <v>463</v>
      </c>
      <c r="E469" s="118" t="s">
        <v>1250</v>
      </c>
      <c r="F469" s="119">
        <v>96.008109413420883</v>
      </c>
      <c r="G469" s="119">
        <v>97.028909413420877</v>
      </c>
      <c r="H469" s="119">
        <v>19.28</v>
      </c>
      <c r="I469" s="116">
        <v>131</v>
      </c>
      <c r="J469" s="118" t="s">
        <v>273</v>
      </c>
    </row>
    <row r="470" spans="1:10" x14ac:dyDescent="0.25">
      <c r="A470" s="116">
        <v>467</v>
      </c>
      <c r="B470" s="117" t="s">
        <v>1251</v>
      </c>
      <c r="C470" s="118" t="s">
        <v>1252</v>
      </c>
      <c r="D470" s="118" t="s">
        <v>463</v>
      </c>
      <c r="E470" s="118" t="s">
        <v>1250</v>
      </c>
      <c r="F470" s="119">
        <v>98.40090437225841</v>
      </c>
      <c r="G470" s="119">
        <v>101.0676043722584</v>
      </c>
      <c r="H470" s="119">
        <v>18.98</v>
      </c>
      <c r="I470" s="116">
        <v>52</v>
      </c>
      <c r="J470" s="118" t="s">
        <v>273</v>
      </c>
    </row>
    <row r="471" spans="1:10" x14ac:dyDescent="0.25">
      <c r="A471" s="116">
        <v>468</v>
      </c>
      <c r="B471" s="117" t="s">
        <v>1253</v>
      </c>
      <c r="C471" s="118" t="s">
        <v>1254</v>
      </c>
      <c r="D471" s="118" t="s">
        <v>453</v>
      </c>
      <c r="E471" s="118" t="s">
        <v>1255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242</v>
      </c>
    </row>
    <row r="472" spans="1:10" x14ac:dyDescent="0.25">
      <c r="A472" s="116">
        <v>469</v>
      </c>
      <c r="B472" s="117" t="s">
        <v>1278</v>
      </c>
      <c r="C472" s="118" t="s">
        <v>1279</v>
      </c>
      <c r="D472" s="118" t="s">
        <v>463</v>
      </c>
      <c r="E472" s="118" t="s">
        <v>393</v>
      </c>
      <c r="F472" s="119">
        <v>83.095232988688181</v>
      </c>
      <c r="G472" s="119">
        <v>84.92853298868819</v>
      </c>
      <c r="H472" s="119">
        <v>19.760000000000002</v>
      </c>
      <c r="I472" s="116">
        <v>2296</v>
      </c>
      <c r="J472" s="118" t="s">
        <v>273</v>
      </c>
    </row>
    <row r="473" spans="1:10" x14ac:dyDescent="0.25">
      <c r="A473" s="116">
        <v>470</v>
      </c>
      <c r="B473" s="117" t="s">
        <v>1280</v>
      </c>
      <c r="C473" s="118" t="s">
        <v>1281</v>
      </c>
      <c r="D473" s="118" t="s">
        <v>463</v>
      </c>
      <c r="E473" s="118" t="s">
        <v>393</v>
      </c>
      <c r="F473" s="119">
        <v>92.979240252960565</v>
      </c>
      <c r="G473" s="119">
        <v>94.729240252960565</v>
      </c>
      <c r="H473" s="119">
        <v>20.04</v>
      </c>
      <c r="I473" s="116">
        <v>495</v>
      </c>
      <c r="J473" s="118" t="s">
        <v>273</v>
      </c>
    </row>
    <row r="474" spans="1:10" x14ac:dyDescent="0.25">
      <c r="A474" s="116">
        <v>471</v>
      </c>
      <c r="B474" s="117" t="s">
        <v>1282</v>
      </c>
      <c r="C474" s="118" t="s">
        <v>1283</v>
      </c>
      <c r="D474" s="118" t="s">
        <v>453</v>
      </c>
      <c r="E474" s="118" t="s">
        <v>393</v>
      </c>
      <c r="F474" s="119">
        <v>0.01</v>
      </c>
      <c r="G474" s="119">
        <v>0.01</v>
      </c>
      <c r="H474" s="119">
        <v>0</v>
      </c>
      <c r="I474" s="116">
        <v>1042</v>
      </c>
      <c r="J474" s="118" t="s">
        <v>242</v>
      </c>
    </row>
    <row r="475" spans="1:10" x14ac:dyDescent="0.25">
      <c r="A475" s="116">
        <v>472</v>
      </c>
      <c r="B475" s="117" t="s">
        <v>1284</v>
      </c>
      <c r="C475" s="118" t="s">
        <v>1285</v>
      </c>
      <c r="D475" s="118" t="s">
        <v>463</v>
      </c>
      <c r="E475" s="118" t="s">
        <v>393</v>
      </c>
      <c r="F475" s="119">
        <v>58.887720496832152</v>
      </c>
      <c r="G475" s="119">
        <v>65.776620496832152</v>
      </c>
      <c r="H475" s="119">
        <v>20.72</v>
      </c>
      <c r="I475" s="116">
        <v>2992</v>
      </c>
      <c r="J475" s="118" t="s">
        <v>273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453</v>
      </c>
      <c r="E476" s="118" t="s">
        <v>394</v>
      </c>
      <c r="F476" s="119">
        <v>23186.21269116168</v>
      </c>
      <c r="G476" s="119">
        <v>23186.21269116168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1286</v>
      </c>
      <c r="C477" s="118" t="s">
        <v>1287</v>
      </c>
      <c r="D477" s="118" t="s">
        <v>530</v>
      </c>
      <c r="E477" s="118" t="s">
        <v>394</v>
      </c>
      <c r="F477" s="119">
        <v>23610.379499999999</v>
      </c>
      <c r="G477" s="119">
        <v>23610.379499999999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1288</v>
      </c>
      <c r="C478" s="118" t="s">
        <v>1289</v>
      </c>
      <c r="D478" s="118" t="s">
        <v>453</v>
      </c>
      <c r="E478" s="118" t="s">
        <v>1290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1291</v>
      </c>
      <c r="C479" s="118" t="s">
        <v>1292</v>
      </c>
      <c r="D479" s="118" t="s">
        <v>453</v>
      </c>
      <c r="E479" s="118" t="s">
        <v>1293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242</v>
      </c>
    </row>
    <row r="480" spans="1:10" x14ac:dyDescent="0.25">
      <c r="A480" s="116">
        <v>477</v>
      </c>
      <c r="B480" s="117" t="s">
        <v>1294</v>
      </c>
      <c r="C480" s="118" t="s">
        <v>1295</v>
      </c>
      <c r="D480" s="118" t="s">
        <v>463</v>
      </c>
      <c r="E480" s="118" t="s">
        <v>1293</v>
      </c>
      <c r="F480" s="119">
        <v>79.200672027345561</v>
      </c>
      <c r="G480" s="119">
        <v>83.828472027345555</v>
      </c>
      <c r="H480" s="119">
        <v>19.989999999999998</v>
      </c>
      <c r="I480" s="116">
        <v>2221</v>
      </c>
      <c r="J480" s="118" t="s">
        <v>273</v>
      </c>
    </row>
    <row r="481" spans="1:10" x14ac:dyDescent="0.25">
      <c r="A481" s="116">
        <v>478</v>
      </c>
      <c r="B481" s="117" t="s">
        <v>1296</v>
      </c>
      <c r="C481" s="118" t="s">
        <v>1297</v>
      </c>
      <c r="D481" s="118" t="s">
        <v>453</v>
      </c>
      <c r="E481" s="118" t="s">
        <v>828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242</v>
      </c>
    </row>
    <row r="482" spans="1:10" x14ac:dyDescent="0.25">
      <c r="A482" s="116">
        <v>479</v>
      </c>
      <c r="B482" s="117" t="s">
        <v>1298</v>
      </c>
      <c r="C482" s="118" t="s">
        <v>1299</v>
      </c>
      <c r="D482" s="118" t="s">
        <v>463</v>
      </c>
      <c r="E482" s="118" t="s">
        <v>828</v>
      </c>
      <c r="F482" s="119">
        <v>86.831095174226036</v>
      </c>
      <c r="G482" s="119">
        <v>88.347795174226036</v>
      </c>
      <c r="H482" s="119">
        <v>17.54</v>
      </c>
      <c r="I482" s="116">
        <v>848</v>
      </c>
      <c r="J482" s="118" t="s">
        <v>273</v>
      </c>
    </row>
    <row r="483" spans="1:10" x14ac:dyDescent="0.25">
      <c r="A483" s="116">
        <v>480</v>
      </c>
      <c r="B483" s="117" t="s">
        <v>1300</v>
      </c>
      <c r="C483" s="118" t="s">
        <v>1301</v>
      </c>
      <c r="D483" s="118" t="s">
        <v>463</v>
      </c>
      <c r="E483" s="118" t="s">
        <v>828</v>
      </c>
      <c r="F483" s="119">
        <v>2.3349478541135733</v>
      </c>
      <c r="G483" s="119">
        <v>2.3477478541135732</v>
      </c>
      <c r="H483" s="119">
        <v>17.27</v>
      </c>
      <c r="I483" s="116">
        <v>8594</v>
      </c>
      <c r="J483" s="118" t="s">
        <v>273</v>
      </c>
    </row>
    <row r="484" spans="1:10" x14ac:dyDescent="0.25">
      <c r="A484" s="116">
        <v>481</v>
      </c>
      <c r="B484" s="117" t="s">
        <v>1302</v>
      </c>
      <c r="C484" s="118" t="s">
        <v>1303</v>
      </c>
      <c r="D484" s="118" t="s">
        <v>463</v>
      </c>
      <c r="E484" s="118" t="s">
        <v>828</v>
      </c>
      <c r="F484" s="119">
        <v>2.0308304171992946</v>
      </c>
      <c r="G484" s="119">
        <v>2.0311304171992948</v>
      </c>
      <c r="H484" s="119">
        <v>17.27</v>
      </c>
      <c r="I484" s="116">
        <v>8999</v>
      </c>
      <c r="J484" s="118" t="s">
        <v>273</v>
      </c>
    </row>
    <row r="485" spans="1:10" x14ac:dyDescent="0.25">
      <c r="A485" s="116">
        <v>482</v>
      </c>
      <c r="B485" s="117" t="s">
        <v>1304</v>
      </c>
      <c r="C485" s="118" t="s">
        <v>1305</v>
      </c>
      <c r="D485" s="118" t="s">
        <v>463</v>
      </c>
      <c r="E485" s="118" t="s">
        <v>828</v>
      </c>
      <c r="F485" s="119">
        <v>96.279053184791834</v>
      </c>
      <c r="G485" s="119">
        <v>100.92005318479183</v>
      </c>
      <c r="H485" s="119">
        <v>17.64</v>
      </c>
      <c r="I485" s="116">
        <v>197</v>
      </c>
      <c r="J485" s="118" t="s">
        <v>273</v>
      </c>
    </row>
    <row r="486" spans="1:10" x14ac:dyDescent="0.25">
      <c r="A486" s="116">
        <v>483</v>
      </c>
      <c r="B486" s="117" t="s">
        <v>1306</v>
      </c>
      <c r="C486" s="118" t="s">
        <v>1307</v>
      </c>
      <c r="D486" s="118" t="s">
        <v>463</v>
      </c>
      <c r="E486" s="118" t="s">
        <v>828</v>
      </c>
      <c r="F486" s="119">
        <v>1.3925373410892705</v>
      </c>
      <c r="G486" s="119">
        <v>1.4006373410892705</v>
      </c>
      <c r="H486" s="119">
        <v>17.27</v>
      </c>
      <c r="I486" s="116">
        <v>10231</v>
      </c>
      <c r="J486" s="118" t="s">
        <v>273</v>
      </c>
    </row>
    <row r="487" spans="1:10" x14ac:dyDescent="0.25">
      <c r="A487" s="116">
        <v>484</v>
      </c>
      <c r="B487" s="117" t="s">
        <v>1308</v>
      </c>
      <c r="C487" s="118" t="s">
        <v>1309</v>
      </c>
      <c r="D487" s="118" t="s">
        <v>463</v>
      </c>
      <c r="E487" s="118" t="s">
        <v>828</v>
      </c>
      <c r="F487" s="119">
        <v>1.8793617831915101</v>
      </c>
      <c r="G487" s="119">
        <v>1.8893617831915102</v>
      </c>
      <c r="H487" s="119">
        <v>17.27</v>
      </c>
      <c r="I487" s="116">
        <v>9234</v>
      </c>
      <c r="J487" s="118" t="s">
        <v>273</v>
      </c>
    </row>
    <row r="488" spans="1:10" x14ac:dyDescent="0.25">
      <c r="A488" s="116">
        <v>485</v>
      </c>
      <c r="B488" s="117" t="s">
        <v>1310</v>
      </c>
      <c r="C488" s="118" t="s">
        <v>1311</v>
      </c>
      <c r="D488" s="118" t="s">
        <v>463</v>
      </c>
      <c r="E488" s="118" t="s">
        <v>828</v>
      </c>
      <c r="F488" s="119">
        <v>51.6330774118493</v>
      </c>
      <c r="G488" s="119">
        <v>55.278477411849302</v>
      </c>
      <c r="H488" s="119">
        <v>18.510000000000002</v>
      </c>
      <c r="I488" s="116">
        <v>2662</v>
      </c>
      <c r="J488" s="118" t="s">
        <v>273</v>
      </c>
    </row>
    <row r="489" spans="1:10" x14ac:dyDescent="0.25">
      <c r="A489" s="116">
        <v>486</v>
      </c>
      <c r="B489" s="117" t="s">
        <v>1312</v>
      </c>
      <c r="C489" s="118" t="s">
        <v>1313</v>
      </c>
      <c r="D489" s="118" t="s">
        <v>463</v>
      </c>
      <c r="E489" s="118" t="s">
        <v>828</v>
      </c>
      <c r="F489" s="119">
        <v>71.374386155656609</v>
      </c>
      <c r="G489" s="119">
        <v>72.15568615565661</v>
      </c>
      <c r="H489" s="119">
        <v>17.760000000000002</v>
      </c>
      <c r="I489" s="116">
        <v>1768</v>
      </c>
      <c r="J489" s="118" t="s">
        <v>273</v>
      </c>
    </row>
    <row r="490" spans="1:10" x14ac:dyDescent="0.25">
      <c r="A490" s="116">
        <v>487</v>
      </c>
      <c r="B490" s="117" t="s">
        <v>1314</v>
      </c>
      <c r="C490" s="118" t="s">
        <v>1315</v>
      </c>
      <c r="D490" s="118" t="s">
        <v>463</v>
      </c>
      <c r="E490" s="118" t="s">
        <v>828</v>
      </c>
      <c r="F490" s="119">
        <v>1.7060894213111004</v>
      </c>
      <c r="G490" s="119">
        <v>1.7068894213111006</v>
      </c>
      <c r="H490" s="119">
        <v>17.27</v>
      </c>
      <c r="I490" s="116">
        <v>9537</v>
      </c>
      <c r="J490" s="118" t="s">
        <v>273</v>
      </c>
    </row>
    <row r="491" spans="1:10" x14ac:dyDescent="0.25">
      <c r="A491" s="116">
        <v>488</v>
      </c>
      <c r="B491" s="117" t="s">
        <v>1316</v>
      </c>
      <c r="C491" s="118" t="s">
        <v>1317</v>
      </c>
      <c r="D491" s="118" t="s">
        <v>463</v>
      </c>
      <c r="E491" s="118" t="s">
        <v>828</v>
      </c>
      <c r="F491" s="119">
        <v>59.386034632220117</v>
      </c>
      <c r="G491" s="119">
        <v>64.84603463222011</v>
      </c>
      <c r="H491" s="119">
        <v>18.510000000000002</v>
      </c>
      <c r="I491" s="116">
        <v>2240</v>
      </c>
      <c r="J491" s="118" t="s">
        <v>273</v>
      </c>
    </row>
    <row r="492" spans="1:10" x14ac:dyDescent="0.25">
      <c r="A492" s="116">
        <v>489</v>
      </c>
      <c r="B492" s="117" t="s">
        <v>1318</v>
      </c>
      <c r="C492" s="118" t="s">
        <v>1319</v>
      </c>
      <c r="D492" s="118" t="s">
        <v>453</v>
      </c>
      <c r="E492" s="118" t="s">
        <v>828</v>
      </c>
      <c r="F492" s="119">
        <v>1000</v>
      </c>
      <c r="G492" s="119">
        <v>1000</v>
      </c>
      <c r="H492" s="119">
        <v>0</v>
      </c>
      <c r="I492" s="116">
        <v>1765</v>
      </c>
      <c r="J492" s="118" t="s">
        <v>242</v>
      </c>
    </row>
    <row r="493" spans="1:10" x14ac:dyDescent="0.25">
      <c r="A493" s="116">
        <v>490</v>
      </c>
      <c r="B493" s="117" t="s">
        <v>1320</v>
      </c>
      <c r="C493" s="118" t="s">
        <v>1321</v>
      </c>
      <c r="D493" s="118" t="s">
        <v>463</v>
      </c>
      <c r="E493" s="118" t="s">
        <v>828</v>
      </c>
      <c r="F493" s="119">
        <v>34.971859480022275</v>
      </c>
      <c r="G493" s="119">
        <v>35.264359480022271</v>
      </c>
      <c r="H493" s="119">
        <v>17.690000000000001</v>
      </c>
      <c r="I493" s="116">
        <v>3934</v>
      </c>
      <c r="J493" s="118" t="s">
        <v>273</v>
      </c>
    </row>
    <row r="494" spans="1:10" x14ac:dyDescent="0.25">
      <c r="A494" s="116">
        <v>491</v>
      </c>
      <c r="B494" s="117" t="s">
        <v>2407</v>
      </c>
      <c r="C494" s="118" t="s">
        <v>2408</v>
      </c>
      <c r="D494" s="118" t="s">
        <v>463</v>
      </c>
      <c r="E494" s="118" t="s">
        <v>828</v>
      </c>
      <c r="F494" s="119">
        <v>98.27115576693329</v>
      </c>
      <c r="G494" s="119">
        <v>98.921155766933296</v>
      </c>
      <c r="H494" s="119">
        <v>18.55</v>
      </c>
      <c r="I494" s="116">
        <v>1787</v>
      </c>
      <c r="J494" s="118" t="s">
        <v>273</v>
      </c>
    </row>
    <row r="495" spans="1:10" x14ac:dyDescent="0.25">
      <c r="A495" s="116">
        <v>492</v>
      </c>
      <c r="B495" s="117" t="s">
        <v>2097</v>
      </c>
      <c r="C495" s="118" t="s">
        <v>2098</v>
      </c>
      <c r="D495" s="118" t="s">
        <v>463</v>
      </c>
      <c r="E495" s="118" t="s">
        <v>2099</v>
      </c>
      <c r="F495" s="119">
        <v>104.04034045166594</v>
      </c>
      <c r="G495" s="119">
        <v>112.59594045166594</v>
      </c>
      <c r="H495" s="119">
        <v>19.899999999999999</v>
      </c>
      <c r="I495" s="116">
        <v>940</v>
      </c>
      <c r="J495" s="118" t="s">
        <v>273</v>
      </c>
    </row>
    <row r="496" spans="1:10" x14ac:dyDescent="0.25">
      <c r="A496" s="116">
        <v>493</v>
      </c>
      <c r="B496" s="117" t="s">
        <v>1322</v>
      </c>
      <c r="C496" s="118" t="s">
        <v>1323</v>
      </c>
      <c r="D496" s="118" t="s">
        <v>463</v>
      </c>
      <c r="E496" s="118" t="s">
        <v>1324</v>
      </c>
      <c r="F496" s="119">
        <v>98.692999999999998</v>
      </c>
      <c r="G496" s="119">
        <v>100.285</v>
      </c>
      <c r="H496" s="119">
        <v>5.03</v>
      </c>
      <c r="I496" s="116">
        <v>769</v>
      </c>
      <c r="J496" s="118" t="s">
        <v>273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453</v>
      </c>
      <c r="E497" s="118" t="s">
        <v>105</v>
      </c>
      <c r="F497" s="119">
        <v>41156.78975173131</v>
      </c>
      <c r="G497" s="119">
        <v>41156.78975173131</v>
      </c>
      <c r="H497" s="119">
        <v>0</v>
      </c>
      <c r="I497" s="116">
        <v>0</v>
      </c>
      <c r="J497" s="118" t="s">
        <v>242</v>
      </c>
    </row>
    <row r="498" spans="1:10" x14ac:dyDescent="0.25">
      <c r="A498" s="116">
        <v>495</v>
      </c>
      <c r="B498" s="117" t="s">
        <v>1325</v>
      </c>
      <c r="C498" s="118" t="s">
        <v>1326</v>
      </c>
      <c r="D498" s="118" t="s">
        <v>463</v>
      </c>
      <c r="E498" s="118" t="s">
        <v>105</v>
      </c>
      <c r="F498" s="119">
        <v>95.084633071469625</v>
      </c>
      <c r="G498" s="119">
        <v>96.617933071469636</v>
      </c>
      <c r="H498" s="119">
        <v>17.809999999999999</v>
      </c>
      <c r="I498" s="116">
        <v>312</v>
      </c>
      <c r="J498" s="118" t="s">
        <v>273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453</v>
      </c>
      <c r="E499" s="118" t="s">
        <v>105</v>
      </c>
      <c r="F499" s="119">
        <v>32335.988432194896</v>
      </c>
      <c r="G499" s="119">
        <v>32335.988432194896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453</v>
      </c>
      <c r="E500" s="118" t="s">
        <v>110</v>
      </c>
      <c r="F500" s="119">
        <v>814.09172070101704</v>
      </c>
      <c r="G500" s="119">
        <v>814.09172070101704</v>
      </c>
      <c r="H500" s="119">
        <v>0</v>
      </c>
      <c r="I500" s="116">
        <v>0</v>
      </c>
      <c r="J500" s="118" t="s">
        <v>242</v>
      </c>
    </row>
    <row r="501" spans="1:10" x14ac:dyDescent="0.25">
      <c r="A501" s="116">
        <v>498</v>
      </c>
      <c r="B501" s="117" t="s">
        <v>1327</v>
      </c>
      <c r="C501" s="118" t="s">
        <v>1328</v>
      </c>
      <c r="D501" s="118" t="s">
        <v>463</v>
      </c>
      <c r="E501" s="118" t="s">
        <v>1329</v>
      </c>
      <c r="F501" s="119">
        <v>92.920212551802052</v>
      </c>
      <c r="G501" s="119">
        <v>99.566012551802061</v>
      </c>
      <c r="H501" s="119">
        <v>25.03</v>
      </c>
      <c r="I501" s="116">
        <v>1150</v>
      </c>
      <c r="J501" s="118" t="s">
        <v>273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463</v>
      </c>
      <c r="E502" s="118" t="s">
        <v>111</v>
      </c>
      <c r="F502" s="119">
        <v>90.795000000000002</v>
      </c>
      <c r="G502" s="119">
        <v>92.325199999999995</v>
      </c>
      <c r="H502" s="119">
        <v>5.67</v>
      </c>
      <c r="I502" s="116">
        <v>6907</v>
      </c>
      <c r="J502" s="118" t="s">
        <v>273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463</v>
      </c>
      <c r="E503" s="118" t="s">
        <v>111</v>
      </c>
      <c r="F503" s="119">
        <v>98.066010869635292</v>
      </c>
      <c r="G503" s="119">
        <v>99.828410869635292</v>
      </c>
      <c r="H503" s="119">
        <v>3</v>
      </c>
      <c r="I503" s="116">
        <v>1190</v>
      </c>
      <c r="J503" s="118" t="s">
        <v>273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463</v>
      </c>
      <c r="E504" s="118" t="s">
        <v>111</v>
      </c>
      <c r="F504" s="119">
        <v>97.509422312241824</v>
      </c>
      <c r="G504" s="119">
        <v>98.020222312241827</v>
      </c>
      <c r="H504" s="119">
        <v>2.83</v>
      </c>
      <c r="I504" s="116">
        <v>419</v>
      </c>
      <c r="J504" s="118" t="s">
        <v>273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463</v>
      </c>
      <c r="E505" s="118" t="s">
        <v>111</v>
      </c>
      <c r="F505" s="119">
        <v>85.318196367522475</v>
      </c>
      <c r="G505" s="119">
        <v>87.848496367522486</v>
      </c>
      <c r="H505" s="119">
        <v>14.91</v>
      </c>
      <c r="I505" s="116">
        <v>769</v>
      </c>
      <c r="J505" s="118" t="s">
        <v>273</v>
      </c>
    </row>
    <row r="506" spans="1:10" x14ac:dyDescent="0.25">
      <c r="A506" s="116">
        <v>503</v>
      </c>
      <c r="B506" s="117" t="s">
        <v>1264</v>
      </c>
      <c r="C506" s="118" t="s">
        <v>1265</v>
      </c>
      <c r="D506" s="118" t="s">
        <v>463</v>
      </c>
      <c r="E506" s="118" t="s">
        <v>111</v>
      </c>
      <c r="F506" s="119">
        <v>71.101863691268846</v>
      </c>
      <c r="G506" s="119">
        <v>73.805963691268843</v>
      </c>
      <c r="H506" s="119">
        <v>15.37</v>
      </c>
      <c r="I506" s="116">
        <v>1861</v>
      </c>
      <c r="J506" s="118" t="s">
        <v>273</v>
      </c>
    </row>
    <row r="507" spans="1:10" x14ac:dyDescent="0.25">
      <c r="A507" s="116">
        <v>504</v>
      </c>
      <c r="B507" s="117" t="s">
        <v>1266</v>
      </c>
      <c r="C507" s="118" t="s">
        <v>1267</v>
      </c>
      <c r="D507" s="118" t="s">
        <v>463</v>
      </c>
      <c r="E507" s="118" t="s">
        <v>111</v>
      </c>
      <c r="F507" s="119">
        <v>93.983133172412522</v>
      </c>
      <c r="G507" s="119">
        <v>94.905333172412526</v>
      </c>
      <c r="H507" s="119">
        <v>15.05</v>
      </c>
      <c r="I507" s="116">
        <v>319</v>
      </c>
      <c r="J507" s="118" t="s">
        <v>273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463</v>
      </c>
      <c r="E508" s="118" t="s">
        <v>111</v>
      </c>
      <c r="F508" s="119">
        <v>83.285550674944432</v>
      </c>
      <c r="G508" s="119">
        <v>84.233650674944428</v>
      </c>
      <c r="H508" s="119">
        <v>15.07</v>
      </c>
      <c r="I508" s="116">
        <v>1047</v>
      </c>
      <c r="J508" s="118" t="s">
        <v>273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463</v>
      </c>
      <c r="E509" s="118" t="s">
        <v>111</v>
      </c>
      <c r="F509" s="119">
        <v>71.691780103030084</v>
      </c>
      <c r="G509" s="119">
        <v>72.668180103030082</v>
      </c>
      <c r="H509" s="119">
        <v>15.42</v>
      </c>
      <c r="I509" s="116">
        <v>2139</v>
      </c>
      <c r="J509" s="118" t="s">
        <v>273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463</v>
      </c>
      <c r="E510" s="118" t="s">
        <v>111</v>
      </c>
      <c r="F510" s="119">
        <v>71.691780103030084</v>
      </c>
      <c r="G510" s="119">
        <v>72.668180103030082</v>
      </c>
      <c r="H510" s="119">
        <v>15.42</v>
      </c>
      <c r="I510" s="116">
        <v>2139</v>
      </c>
      <c r="J510" s="118" t="s">
        <v>273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463</v>
      </c>
      <c r="E511" s="118" t="s">
        <v>111</v>
      </c>
      <c r="F511" s="119">
        <v>108.748</v>
      </c>
      <c r="G511" s="119">
        <v>109.0369</v>
      </c>
      <c r="H511" s="119">
        <v>5.76</v>
      </c>
      <c r="I511" s="116">
        <v>7184</v>
      </c>
      <c r="J511" s="118" t="s">
        <v>273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463</v>
      </c>
      <c r="E512" s="118" t="s">
        <v>111</v>
      </c>
      <c r="F512" s="119">
        <v>97.174000000000007</v>
      </c>
      <c r="G512" s="119">
        <v>98.719099999999997</v>
      </c>
      <c r="H512" s="119">
        <v>5.09</v>
      </c>
      <c r="I512" s="116">
        <v>3482</v>
      </c>
      <c r="J512" s="118" t="s">
        <v>273</v>
      </c>
    </row>
    <row r="513" spans="1:10" x14ac:dyDescent="0.25">
      <c r="A513" s="116">
        <v>510</v>
      </c>
      <c r="B513" s="117" t="s">
        <v>2299</v>
      </c>
      <c r="C513" s="118" t="s">
        <v>2300</v>
      </c>
      <c r="D513" s="118" t="s">
        <v>463</v>
      </c>
      <c r="E513" s="118" t="s">
        <v>111</v>
      </c>
      <c r="F513" s="119">
        <v>100.31100000000001</v>
      </c>
      <c r="G513" s="119">
        <v>100.81100000000001</v>
      </c>
      <c r="H513" s="119">
        <v>4.95</v>
      </c>
      <c r="I513" s="116">
        <v>2484</v>
      </c>
      <c r="J513" s="118" t="s">
        <v>273</v>
      </c>
    </row>
    <row r="514" spans="1:10" x14ac:dyDescent="0.25">
      <c r="A514" s="116">
        <v>511</v>
      </c>
      <c r="B514" s="117" t="s">
        <v>2301</v>
      </c>
      <c r="C514" s="118" t="s">
        <v>2302</v>
      </c>
      <c r="D514" s="118" t="s">
        <v>463</v>
      </c>
      <c r="E514" s="118" t="s">
        <v>111</v>
      </c>
      <c r="F514" s="119">
        <v>100.407</v>
      </c>
      <c r="G514" s="119">
        <v>100.95699999999999</v>
      </c>
      <c r="H514" s="119">
        <v>5.45</v>
      </c>
      <c r="I514" s="116">
        <v>4284</v>
      </c>
      <c r="J514" s="118" t="s">
        <v>273</v>
      </c>
    </row>
    <row r="515" spans="1:10" x14ac:dyDescent="0.25">
      <c r="A515" s="116">
        <v>512</v>
      </c>
      <c r="B515" s="117" t="s">
        <v>1330</v>
      </c>
      <c r="C515" s="118" t="s">
        <v>1331</v>
      </c>
      <c r="D515" s="118" t="s">
        <v>453</v>
      </c>
      <c r="E515" s="118" t="s">
        <v>1332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1333</v>
      </c>
      <c r="C516" s="118" t="s">
        <v>1334</v>
      </c>
      <c r="D516" s="118" t="s">
        <v>453</v>
      </c>
      <c r="E516" s="118" t="s">
        <v>1335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242</v>
      </c>
    </row>
    <row r="517" spans="1:10" x14ac:dyDescent="0.25">
      <c r="A517" s="116">
        <v>514</v>
      </c>
      <c r="B517" s="117" t="s">
        <v>1336</v>
      </c>
      <c r="C517" s="118" t="s">
        <v>1337</v>
      </c>
      <c r="D517" s="118" t="s">
        <v>463</v>
      </c>
      <c r="E517" s="118" t="s">
        <v>1335</v>
      </c>
      <c r="F517" s="119">
        <v>100.8795559511378</v>
      </c>
      <c r="G517" s="119">
        <v>108.76285595113779</v>
      </c>
      <c r="H517" s="119">
        <v>21.49</v>
      </c>
      <c r="I517" s="116">
        <v>951</v>
      </c>
      <c r="J517" s="118" t="s">
        <v>273</v>
      </c>
    </row>
    <row r="518" spans="1:10" x14ac:dyDescent="0.25">
      <c r="A518" s="116">
        <v>515</v>
      </c>
      <c r="B518" s="117" t="s">
        <v>1338</v>
      </c>
      <c r="C518" s="118" t="s">
        <v>1339</v>
      </c>
      <c r="D518" s="118" t="s">
        <v>765</v>
      </c>
      <c r="E518" s="118" t="s">
        <v>2124</v>
      </c>
      <c r="F518" s="119">
        <v>58988.34405</v>
      </c>
      <c r="G518" s="119">
        <v>58988.34405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1340</v>
      </c>
      <c r="C519" s="118" t="s">
        <v>1341</v>
      </c>
      <c r="D519" s="118" t="s">
        <v>453</v>
      </c>
      <c r="E519" s="118" t="s">
        <v>1342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242</v>
      </c>
    </row>
    <row r="520" spans="1:10" x14ac:dyDescent="0.25">
      <c r="A520" s="116">
        <v>517</v>
      </c>
      <c r="B520" s="117" t="s">
        <v>1343</v>
      </c>
      <c r="C520" s="118" t="s">
        <v>1344</v>
      </c>
      <c r="D520" s="118" t="s">
        <v>463</v>
      </c>
      <c r="E520" s="118" t="s">
        <v>1342</v>
      </c>
      <c r="F520" s="119">
        <v>99.877825118948053</v>
      </c>
      <c r="G520" s="119">
        <v>108.20282511894806</v>
      </c>
      <c r="H520" s="119">
        <v>10.33</v>
      </c>
      <c r="I520" s="116">
        <v>60</v>
      </c>
      <c r="J520" s="118" t="s">
        <v>273</v>
      </c>
    </row>
    <row r="521" spans="1:10" x14ac:dyDescent="0.25">
      <c r="A521" s="116">
        <v>518</v>
      </c>
      <c r="B521" s="117" t="s">
        <v>1350</v>
      </c>
      <c r="C521" s="118" t="s">
        <v>1351</v>
      </c>
      <c r="D521" s="118" t="s">
        <v>453</v>
      </c>
      <c r="E521" s="118" t="s">
        <v>1352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1348</v>
      </c>
      <c r="C522" s="118" t="s">
        <v>1349</v>
      </c>
      <c r="D522" s="118" t="s">
        <v>453</v>
      </c>
      <c r="E522" s="118" t="s">
        <v>2125</v>
      </c>
      <c r="F522" s="119">
        <v>303722.41769999999</v>
      </c>
      <c r="G522" s="119">
        <v>303722.41769999999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1353</v>
      </c>
      <c r="C523" s="118" t="s">
        <v>1354</v>
      </c>
      <c r="D523" s="118" t="s">
        <v>453</v>
      </c>
      <c r="E523" s="118" t="s">
        <v>2126</v>
      </c>
      <c r="F523" s="119">
        <v>409012.89165000001</v>
      </c>
      <c r="G523" s="119">
        <v>409012.89165000001</v>
      </c>
      <c r="H523" s="119">
        <v>0</v>
      </c>
      <c r="I523" s="116">
        <v>0</v>
      </c>
      <c r="J523" s="118" t="s">
        <v>242</v>
      </c>
    </row>
    <row r="524" spans="1:10" x14ac:dyDescent="0.25">
      <c r="A524" s="116">
        <v>521</v>
      </c>
      <c r="B524" s="117" t="s">
        <v>2127</v>
      </c>
      <c r="C524" s="118" t="s">
        <v>2128</v>
      </c>
      <c r="D524" s="118" t="s">
        <v>463</v>
      </c>
      <c r="E524" s="118" t="s">
        <v>2129</v>
      </c>
      <c r="F524" s="119">
        <v>95.494925967161691</v>
      </c>
      <c r="G524" s="119">
        <v>99.169925967161689</v>
      </c>
      <c r="H524" s="119">
        <v>22.13</v>
      </c>
      <c r="I524" s="116">
        <v>3447</v>
      </c>
      <c r="J524" s="118" t="s">
        <v>273</v>
      </c>
    </row>
    <row r="525" spans="1:10" x14ac:dyDescent="0.25">
      <c r="A525" s="116">
        <v>522</v>
      </c>
      <c r="B525" s="117" t="s">
        <v>1355</v>
      </c>
      <c r="C525" s="118" t="s">
        <v>1356</v>
      </c>
      <c r="D525" s="118" t="s">
        <v>463</v>
      </c>
      <c r="E525" s="118" t="s">
        <v>1357</v>
      </c>
      <c r="F525" s="119">
        <v>99.474037306719438</v>
      </c>
      <c r="G525" s="119">
        <v>102.58793730671944</v>
      </c>
      <c r="H525" s="119">
        <v>20.57</v>
      </c>
      <c r="I525" s="116">
        <v>121</v>
      </c>
      <c r="J525" s="118" t="s">
        <v>273</v>
      </c>
    </row>
    <row r="526" spans="1:10" x14ac:dyDescent="0.25">
      <c r="A526" s="116">
        <v>523</v>
      </c>
      <c r="B526" s="117" t="s">
        <v>2443</v>
      </c>
      <c r="C526" s="118" t="s">
        <v>2444</v>
      </c>
      <c r="D526" s="118" t="s">
        <v>463</v>
      </c>
      <c r="E526" s="118" t="s">
        <v>1357</v>
      </c>
      <c r="F526" s="119">
        <v>99.706703138528454</v>
      </c>
      <c r="G526" s="119">
        <v>100.09560313852846</v>
      </c>
      <c r="H526" s="119">
        <v>20.18</v>
      </c>
      <c r="I526" s="116">
        <v>713</v>
      </c>
      <c r="J526" s="118" t="s">
        <v>273</v>
      </c>
    </row>
    <row r="527" spans="1:10" x14ac:dyDescent="0.25">
      <c r="A527" s="116">
        <v>524</v>
      </c>
      <c r="B527" s="117" t="s">
        <v>1358</v>
      </c>
      <c r="C527" s="118" t="s">
        <v>1359</v>
      </c>
      <c r="D527" s="118" t="s">
        <v>463</v>
      </c>
      <c r="E527" s="118" t="s">
        <v>1360</v>
      </c>
      <c r="F527" s="119">
        <v>100.03588076430343</v>
      </c>
      <c r="G527" s="119">
        <v>102.60258076430343</v>
      </c>
      <c r="H527" s="119">
        <v>21.44</v>
      </c>
      <c r="I527" s="116">
        <v>48</v>
      </c>
      <c r="J527" s="118" t="s">
        <v>273</v>
      </c>
    </row>
    <row r="528" spans="1:10" x14ac:dyDescent="0.25">
      <c r="A528" s="116">
        <v>525</v>
      </c>
      <c r="B528" s="117" t="s">
        <v>1361</v>
      </c>
      <c r="C528" s="118" t="s">
        <v>1362</v>
      </c>
      <c r="D528" s="118" t="s">
        <v>463</v>
      </c>
      <c r="E528" s="118" t="s">
        <v>1360</v>
      </c>
      <c r="F528" s="119">
        <v>100.01934482694573</v>
      </c>
      <c r="G528" s="119">
        <v>101.21934482694573</v>
      </c>
      <c r="H528" s="119">
        <v>11.8</v>
      </c>
      <c r="I528" s="116">
        <v>54</v>
      </c>
      <c r="J528" s="118" t="s">
        <v>273</v>
      </c>
    </row>
    <row r="529" spans="1:10" x14ac:dyDescent="0.25">
      <c r="A529" s="116">
        <v>526</v>
      </c>
      <c r="B529" s="117" t="s">
        <v>2276</v>
      </c>
      <c r="C529" s="118" t="s">
        <v>2277</v>
      </c>
      <c r="D529" s="118" t="s">
        <v>463</v>
      </c>
      <c r="E529" s="118" t="s">
        <v>1360</v>
      </c>
      <c r="F529" s="119">
        <v>100.55441597985131</v>
      </c>
      <c r="G529" s="119">
        <v>101.95441597985132</v>
      </c>
      <c r="H529" s="119">
        <v>11.32</v>
      </c>
      <c r="I529" s="116">
        <v>318</v>
      </c>
      <c r="J529" s="118" t="s">
        <v>273</v>
      </c>
    </row>
    <row r="530" spans="1:10" x14ac:dyDescent="0.25">
      <c r="A530" s="116">
        <v>527</v>
      </c>
      <c r="B530" s="117" t="s">
        <v>1364</v>
      </c>
      <c r="C530" s="118" t="s">
        <v>1365</v>
      </c>
      <c r="D530" s="118" t="s">
        <v>463</v>
      </c>
      <c r="E530" s="118" t="s">
        <v>1363</v>
      </c>
      <c r="F530" s="119">
        <v>99.711440945490423</v>
      </c>
      <c r="G530" s="119">
        <v>101.51144094549042</v>
      </c>
      <c r="H530" s="119">
        <v>25.5</v>
      </c>
      <c r="I530" s="116">
        <v>63</v>
      </c>
      <c r="J530" s="118" t="s">
        <v>273</v>
      </c>
    </row>
    <row r="531" spans="1:10" x14ac:dyDescent="0.25">
      <c r="A531" s="116">
        <v>528</v>
      </c>
      <c r="B531" s="117" t="s">
        <v>1366</v>
      </c>
      <c r="C531" s="118" t="s">
        <v>1367</v>
      </c>
      <c r="D531" s="118" t="s">
        <v>463</v>
      </c>
      <c r="E531" s="118" t="s">
        <v>1368</v>
      </c>
      <c r="F531" s="119">
        <v>99.358795896977526</v>
      </c>
      <c r="G531" s="119">
        <v>102.91709589697751</v>
      </c>
      <c r="H531" s="119">
        <v>21.3</v>
      </c>
      <c r="I531" s="116">
        <v>839</v>
      </c>
      <c r="J531" s="118" t="s">
        <v>273</v>
      </c>
    </row>
    <row r="532" spans="1:10" x14ac:dyDescent="0.25">
      <c r="A532" s="116">
        <v>529</v>
      </c>
      <c r="B532" s="117" t="s">
        <v>2313</v>
      </c>
      <c r="C532" s="118" t="s">
        <v>2314</v>
      </c>
      <c r="D532" s="118" t="s">
        <v>463</v>
      </c>
      <c r="E532" s="118" t="s">
        <v>1368</v>
      </c>
      <c r="F532" s="119">
        <v>100.71687272497235</v>
      </c>
      <c r="G532" s="119">
        <v>102.03077272497235</v>
      </c>
      <c r="H532" s="119">
        <v>20.89</v>
      </c>
      <c r="I532" s="116">
        <v>518</v>
      </c>
      <c r="J532" s="118" t="s">
        <v>273</v>
      </c>
    </row>
    <row r="533" spans="1:10" x14ac:dyDescent="0.25">
      <c r="A533" s="116">
        <v>530</v>
      </c>
      <c r="B533" s="117" t="s">
        <v>2315</v>
      </c>
      <c r="C533" s="118" t="s">
        <v>2316</v>
      </c>
      <c r="D533" s="118" t="s">
        <v>453</v>
      </c>
      <c r="E533" s="118" t="s">
        <v>1368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242</v>
      </c>
    </row>
    <row r="534" spans="1:10" x14ac:dyDescent="0.25">
      <c r="A534" s="116">
        <v>531</v>
      </c>
      <c r="B534" s="117" t="s">
        <v>1369</v>
      </c>
      <c r="C534" s="118" t="s">
        <v>1370</v>
      </c>
      <c r="D534" s="118" t="s">
        <v>463</v>
      </c>
      <c r="E534" s="118" t="s">
        <v>1371</v>
      </c>
      <c r="F534" s="119">
        <v>98.914759144398943</v>
      </c>
      <c r="G534" s="119">
        <v>102.99805914439894</v>
      </c>
      <c r="H534" s="119">
        <v>21.96</v>
      </c>
      <c r="I534" s="116">
        <v>470</v>
      </c>
      <c r="J534" s="118" t="s">
        <v>273</v>
      </c>
    </row>
    <row r="535" spans="1:10" x14ac:dyDescent="0.25">
      <c r="A535" s="116">
        <v>532</v>
      </c>
      <c r="B535" s="117" t="s">
        <v>1372</v>
      </c>
      <c r="C535" s="118" t="s">
        <v>1373</v>
      </c>
      <c r="D535" s="118" t="s">
        <v>463</v>
      </c>
      <c r="E535" s="118" t="s">
        <v>2100</v>
      </c>
      <c r="F535" s="119">
        <v>100</v>
      </c>
      <c r="G535" s="119">
        <v>105.13330000000001</v>
      </c>
      <c r="H535" s="119">
        <v>21.99</v>
      </c>
      <c r="I535" s="116">
        <v>636</v>
      </c>
      <c r="J535" s="118" t="s">
        <v>273</v>
      </c>
    </row>
    <row r="536" spans="1:10" x14ac:dyDescent="0.25">
      <c r="A536" s="116">
        <v>533</v>
      </c>
      <c r="B536" s="117" t="s">
        <v>1374</v>
      </c>
      <c r="C536" s="118" t="s">
        <v>1375</v>
      </c>
      <c r="D536" s="118" t="s">
        <v>463</v>
      </c>
      <c r="E536" s="118" t="s">
        <v>1376</v>
      </c>
      <c r="F536" s="119">
        <v>99.902190296219757</v>
      </c>
      <c r="G536" s="119">
        <v>100.73829029621974</v>
      </c>
      <c r="H536" s="119">
        <v>21.69</v>
      </c>
      <c r="I536" s="116">
        <v>166</v>
      </c>
      <c r="J536" s="118" t="s">
        <v>273</v>
      </c>
    </row>
    <row r="537" spans="1:10" x14ac:dyDescent="0.25">
      <c r="A537" s="116">
        <v>534</v>
      </c>
      <c r="B537" s="117" t="s">
        <v>1377</v>
      </c>
      <c r="C537" s="118" t="s">
        <v>1378</v>
      </c>
      <c r="D537" s="118" t="s">
        <v>463</v>
      </c>
      <c r="E537" s="118" t="s">
        <v>1376</v>
      </c>
      <c r="F537" s="119">
        <v>100.49796327507309</v>
      </c>
      <c r="G537" s="119">
        <v>101.0479632750731</v>
      </c>
      <c r="H537" s="119">
        <v>9.84</v>
      </c>
      <c r="I537" s="116">
        <v>162</v>
      </c>
      <c r="J537" s="118" t="s">
        <v>273</v>
      </c>
    </row>
    <row r="538" spans="1:10" x14ac:dyDescent="0.25">
      <c r="A538" s="116">
        <v>535</v>
      </c>
      <c r="B538" s="117" t="s">
        <v>2286</v>
      </c>
      <c r="C538" s="118" t="s">
        <v>2287</v>
      </c>
      <c r="D538" s="118" t="s">
        <v>463</v>
      </c>
      <c r="E538" s="118" t="s">
        <v>1376</v>
      </c>
      <c r="F538" s="119">
        <v>98.462199999999996</v>
      </c>
      <c r="G538" s="119">
        <v>99.103899999999996</v>
      </c>
      <c r="H538" s="119">
        <v>22</v>
      </c>
      <c r="I538" s="116">
        <v>679</v>
      </c>
      <c r="J538" s="118" t="s">
        <v>273</v>
      </c>
    </row>
    <row r="539" spans="1:10" x14ac:dyDescent="0.25">
      <c r="A539" s="116">
        <v>536</v>
      </c>
      <c r="B539" s="117" t="s">
        <v>1379</v>
      </c>
      <c r="C539" s="118" t="s">
        <v>1380</v>
      </c>
      <c r="D539" s="118" t="s">
        <v>463</v>
      </c>
      <c r="E539" s="118" t="s">
        <v>1381</v>
      </c>
      <c r="F539" s="119">
        <v>99.569412381152048</v>
      </c>
      <c r="G539" s="119">
        <v>104.33611238115205</v>
      </c>
      <c r="H539" s="119">
        <v>22.38</v>
      </c>
      <c r="I539" s="116">
        <v>462</v>
      </c>
      <c r="J539" s="118" t="s">
        <v>273</v>
      </c>
    </row>
    <row r="540" spans="1:10" x14ac:dyDescent="0.25">
      <c r="A540" s="116">
        <v>537</v>
      </c>
      <c r="B540" s="117" t="s">
        <v>1382</v>
      </c>
      <c r="C540" s="118" t="s">
        <v>1383</v>
      </c>
      <c r="D540" s="118" t="s">
        <v>463</v>
      </c>
      <c r="E540" s="118" t="s">
        <v>1384</v>
      </c>
      <c r="F540" s="119">
        <v>100.23524430125796</v>
      </c>
      <c r="G540" s="119">
        <v>100.76854430125796</v>
      </c>
      <c r="H540" s="119">
        <v>23.43</v>
      </c>
      <c r="I540" s="116">
        <v>172</v>
      </c>
      <c r="J540" s="118" t="s">
        <v>273</v>
      </c>
    </row>
    <row r="541" spans="1:10" x14ac:dyDescent="0.25">
      <c r="A541" s="116">
        <v>538</v>
      </c>
      <c r="B541" s="117" t="s">
        <v>1385</v>
      </c>
      <c r="C541" s="118" t="s">
        <v>1386</v>
      </c>
      <c r="D541" s="118" t="s">
        <v>463</v>
      </c>
      <c r="E541" s="118" t="s">
        <v>1384</v>
      </c>
      <c r="F541" s="119">
        <v>98.842440037365463</v>
      </c>
      <c r="G541" s="119">
        <v>99.514640037365467</v>
      </c>
      <c r="H541" s="119">
        <v>23.35</v>
      </c>
      <c r="I541" s="116">
        <v>349</v>
      </c>
      <c r="J541" s="118" t="s">
        <v>273</v>
      </c>
    </row>
    <row r="542" spans="1:10" x14ac:dyDescent="0.25">
      <c r="A542" s="116">
        <v>539</v>
      </c>
      <c r="B542" s="117" t="s">
        <v>2193</v>
      </c>
      <c r="C542" s="118" t="s">
        <v>2194</v>
      </c>
      <c r="D542" s="118" t="s">
        <v>463</v>
      </c>
      <c r="E542" s="118" t="s">
        <v>2185</v>
      </c>
      <c r="F542" s="119">
        <v>99.204826722596223</v>
      </c>
      <c r="G542" s="119">
        <v>103.70062672259623</v>
      </c>
      <c r="H542" s="119">
        <v>20.239999999999998</v>
      </c>
      <c r="I542" s="116">
        <v>277</v>
      </c>
      <c r="J542" s="118" t="s">
        <v>273</v>
      </c>
    </row>
    <row r="543" spans="1:10" x14ac:dyDescent="0.25">
      <c r="A543" s="116">
        <v>540</v>
      </c>
      <c r="B543" s="117" t="s">
        <v>2242</v>
      </c>
      <c r="C543" s="118" t="s">
        <v>2243</v>
      </c>
      <c r="D543" s="118" t="s">
        <v>463</v>
      </c>
      <c r="E543" s="118" t="s">
        <v>2185</v>
      </c>
      <c r="F543" s="119">
        <v>99.235115956304654</v>
      </c>
      <c r="G543" s="119">
        <v>102.91841595630466</v>
      </c>
      <c r="H543" s="119">
        <v>20.22</v>
      </c>
      <c r="I543" s="116">
        <v>292</v>
      </c>
      <c r="J543" s="118" t="s">
        <v>273</v>
      </c>
    </row>
    <row r="544" spans="1:10" x14ac:dyDescent="0.25">
      <c r="A544" s="116">
        <v>541</v>
      </c>
      <c r="B544" s="117" t="s">
        <v>2244</v>
      </c>
      <c r="C544" s="118" t="s">
        <v>2245</v>
      </c>
      <c r="D544" s="118" t="s">
        <v>463</v>
      </c>
      <c r="E544" s="118" t="s">
        <v>2185</v>
      </c>
      <c r="F544" s="119">
        <v>99.237394750425324</v>
      </c>
      <c r="G544" s="119">
        <v>102.86659475042532</v>
      </c>
      <c r="H544" s="119">
        <v>20.22</v>
      </c>
      <c r="I544" s="116">
        <v>293</v>
      </c>
      <c r="J544" s="118" t="s">
        <v>273</v>
      </c>
    </row>
    <row r="545" spans="1:10" x14ac:dyDescent="0.25">
      <c r="A545" s="116">
        <v>542</v>
      </c>
      <c r="B545" s="117" t="s">
        <v>1387</v>
      </c>
      <c r="C545" s="118" t="s">
        <v>1388</v>
      </c>
      <c r="D545" s="118" t="s">
        <v>463</v>
      </c>
      <c r="E545" s="118" t="s">
        <v>2188</v>
      </c>
      <c r="F545" s="119">
        <v>99.95270682174899</v>
      </c>
      <c r="G545" s="119">
        <v>100.73050682174899</v>
      </c>
      <c r="H545" s="119">
        <v>20.02</v>
      </c>
      <c r="I545" s="116">
        <v>886</v>
      </c>
      <c r="J545" s="118" t="s">
        <v>273</v>
      </c>
    </row>
    <row r="546" spans="1:10" x14ac:dyDescent="0.25">
      <c r="A546" s="116">
        <v>543</v>
      </c>
      <c r="B546" s="117" t="s">
        <v>1389</v>
      </c>
      <c r="C546" s="118" t="s">
        <v>1390</v>
      </c>
      <c r="D546" s="118" t="s">
        <v>463</v>
      </c>
      <c r="E546" s="118" t="s">
        <v>2188</v>
      </c>
      <c r="F546" s="119">
        <v>99.6</v>
      </c>
      <c r="G546" s="119">
        <v>102.2111</v>
      </c>
      <c r="H546" s="119">
        <v>20.16</v>
      </c>
      <c r="I546" s="116">
        <v>1123</v>
      </c>
      <c r="J546" s="118" t="s">
        <v>273</v>
      </c>
    </row>
    <row r="547" spans="1:10" x14ac:dyDescent="0.25">
      <c r="A547" s="116">
        <v>544</v>
      </c>
      <c r="B547" s="117" t="s">
        <v>1391</v>
      </c>
      <c r="C547" s="118" t="s">
        <v>1392</v>
      </c>
      <c r="D547" s="118" t="s">
        <v>463</v>
      </c>
      <c r="E547" s="118" t="s">
        <v>1393</v>
      </c>
      <c r="F547" s="119">
        <v>100.32140181358918</v>
      </c>
      <c r="G547" s="119">
        <v>101.54360181358918</v>
      </c>
      <c r="H547" s="119">
        <v>21.43</v>
      </c>
      <c r="I547" s="116">
        <v>220</v>
      </c>
      <c r="J547" s="118" t="s">
        <v>273</v>
      </c>
    </row>
    <row r="548" spans="1:10" x14ac:dyDescent="0.25">
      <c r="A548" s="116">
        <v>545</v>
      </c>
      <c r="B548" s="117" t="s">
        <v>2143</v>
      </c>
      <c r="C548" s="118" t="s">
        <v>2144</v>
      </c>
      <c r="D548" s="118" t="s">
        <v>463</v>
      </c>
      <c r="E548" s="118" t="s">
        <v>1393</v>
      </c>
      <c r="F548" s="119">
        <v>99.391925679985917</v>
      </c>
      <c r="G548" s="119">
        <v>106.96972567998591</v>
      </c>
      <c r="H548" s="119">
        <v>22.36</v>
      </c>
      <c r="I548" s="116">
        <v>596</v>
      </c>
      <c r="J548" s="118" t="s">
        <v>273</v>
      </c>
    </row>
    <row r="549" spans="1:10" x14ac:dyDescent="0.25">
      <c r="A549" s="116">
        <v>546</v>
      </c>
      <c r="B549" s="117" t="s">
        <v>2246</v>
      </c>
      <c r="C549" s="118" t="s">
        <v>2247</v>
      </c>
      <c r="D549" s="118" t="s">
        <v>463</v>
      </c>
      <c r="E549" s="118" t="s">
        <v>1393</v>
      </c>
      <c r="F549" s="119">
        <v>101.10349587315459</v>
      </c>
      <c r="G549" s="119">
        <v>101.35909587315459</v>
      </c>
      <c r="H549" s="119">
        <v>21.52</v>
      </c>
      <c r="I549" s="116">
        <v>296</v>
      </c>
      <c r="J549" s="118" t="s">
        <v>273</v>
      </c>
    </row>
    <row r="550" spans="1:10" x14ac:dyDescent="0.25">
      <c r="A550" s="116">
        <v>547</v>
      </c>
      <c r="B550" s="117" t="s">
        <v>2182</v>
      </c>
      <c r="C550" s="118" t="s">
        <v>2183</v>
      </c>
      <c r="D550" s="118" t="s">
        <v>463</v>
      </c>
      <c r="E550" s="118" t="s">
        <v>1393</v>
      </c>
      <c r="F550" s="119">
        <v>101.06486739292588</v>
      </c>
      <c r="G550" s="119">
        <v>102.66206739292588</v>
      </c>
      <c r="H550" s="119">
        <v>21.47</v>
      </c>
      <c r="I550" s="116">
        <v>275</v>
      </c>
      <c r="J550" s="118" t="s">
        <v>273</v>
      </c>
    </row>
    <row r="551" spans="1:10" x14ac:dyDescent="0.25">
      <c r="A551" s="116">
        <v>548</v>
      </c>
      <c r="B551" s="117" t="s">
        <v>1394</v>
      </c>
      <c r="C551" s="118" t="s">
        <v>1395</v>
      </c>
      <c r="D551" s="118" t="s">
        <v>463</v>
      </c>
      <c r="E551" s="118" t="s">
        <v>1393</v>
      </c>
      <c r="F551" s="119">
        <v>99.810447869045561</v>
      </c>
      <c r="G551" s="119">
        <v>101.25484786904556</v>
      </c>
      <c r="H551" s="119">
        <v>21.09</v>
      </c>
      <c r="I551" s="116">
        <v>64</v>
      </c>
      <c r="J551" s="118" t="s">
        <v>273</v>
      </c>
    </row>
    <row r="552" spans="1:10" x14ac:dyDescent="0.25">
      <c r="A552" s="116">
        <v>549</v>
      </c>
      <c r="B552" s="117" t="s">
        <v>1396</v>
      </c>
      <c r="C552" s="118" t="s">
        <v>1397</v>
      </c>
      <c r="D552" s="118" t="s">
        <v>463</v>
      </c>
      <c r="E552" s="118" t="s">
        <v>1393</v>
      </c>
      <c r="F552" s="119">
        <v>99.686391000288609</v>
      </c>
      <c r="G552" s="119">
        <v>100.0752910002886</v>
      </c>
      <c r="H552" s="119">
        <v>21.39</v>
      </c>
      <c r="I552" s="116">
        <v>83</v>
      </c>
      <c r="J552" s="118" t="s">
        <v>273</v>
      </c>
    </row>
    <row r="553" spans="1:10" x14ac:dyDescent="0.25">
      <c r="A553" s="116">
        <v>550</v>
      </c>
      <c r="B553" s="117" t="s">
        <v>1398</v>
      </c>
      <c r="C553" s="118" t="s">
        <v>1399</v>
      </c>
      <c r="D553" s="118" t="s">
        <v>463</v>
      </c>
      <c r="E553" s="118" t="s">
        <v>1393</v>
      </c>
      <c r="F553" s="119">
        <v>99.014947876849973</v>
      </c>
      <c r="G553" s="119">
        <v>103.73714787684997</v>
      </c>
      <c r="H553" s="119">
        <v>22.06</v>
      </c>
      <c r="I553" s="116">
        <v>185</v>
      </c>
      <c r="J553" s="118" t="s">
        <v>273</v>
      </c>
    </row>
    <row r="554" spans="1:10" x14ac:dyDescent="0.25">
      <c r="A554" s="116">
        <v>551</v>
      </c>
      <c r="B554" s="117" t="s">
        <v>1400</v>
      </c>
      <c r="C554" s="118" t="s">
        <v>1401</v>
      </c>
      <c r="D554" s="118" t="s">
        <v>463</v>
      </c>
      <c r="E554" s="118" t="s">
        <v>1393</v>
      </c>
      <c r="F554" s="119">
        <v>99.461000832488878</v>
      </c>
      <c r="G554" s="119">
        <v>103.34990083248888</v>
      </c>
      <c r="H554" s="119">
        <v>21.79</v>
      </c>
      <c r="I554" s="116">
        <v>110</v>
      </c>
      <c r="J554" s="118" t="s">
        <v>273</v>
      </c>
    </row>
    <row r="555" spans="1:10" x14ac:dyDescent="0.25">
      <c r="A555" s="116">
        <v>552</v>
      </c>
      <c r="B555" s="117" t="s">
        <v>1402</v>
      </c>
      <c r="C555" s="118" t="s">
        <v>1403</v>
      </c>
      <c r="D555" s="118" t="s">
        <v>463</v>
      </c>
      <c r="E555" s="118" t="s">
        <v>1393</v>
      </c>
      <c r="F555" s="119">
        <v>99.41049082242894</v>
      </c>
      <c r="G555" s="119">
        <v>102.79939082242895</v>
      </c>
      <c r="H555" s="119">
        <v>21.8</v>
      </c>
      <c r="I555" s="116">
        <v>119</v>
      </c>
      <c r="J555" s="118" t="s">
        <v>273</v>
      </c>
    </row>
    <row r="556" spans="1:10" x14ac:dyDescent="0.25">
      <c r="A556" s="116">
        <v>553</v>
      </c>
      <c r="B556" s="117" t="s">
        <v>2023</v>
      </c>
      <c r="C556" s="118" t="s">
        <v>2024</v>
      </c>
      <c r="D556" s="118" t="s">
        <v>463</v>
      </c>
      <c r="E556" s="118" t="s">
        <v>1393</v>
      </c>
      <c r="F556" s="119">
        <v>97.734518544097455</v>
      </c>
      <c r="G556" s="119">
        <v>98.512318544097454</v>
      </c>
      <c r="H556" s="119">
        <v>21.84</v>
      </c>
      <c r="I556" s="116">
        <v>526</v>
      </c>
      <c r="J556" s="118" t="s">
        <v>273</v>
      </c>
    </row>
    <row r="557" spans="1:10" x14ac:dyDescent="0.25">
      <c r="A557" s="116">
        <v>554</v>
      </c>
      <c r="B557" s="117" t="s">
        <v>2059</v>
      </c>
      <c r="C557" s="118" t="s">
        <v>2060</v>
      </c>
      <c r="D557" s="118" t="s">
        <v>463</v>
      </c>
      <c r="E557" s="118" t="s">
        <v>1393</v>
      </c>
      <c r="F557" s="119">
        <v>97.400999999999996</v>
      </c>
      <c r="G557" s="119">
        <v>101.3454</v>
      </c>
      <c r="H557" s="119">
        <v>22</v>
      </c>
      <c r="I557" s="116">
        <v>559</v>
      </c>
      <c r="J557" s="118" t="s">
        <v>273</v>
      </c>
    </row>
    <row r="558" spans="1:10" x14ac:dyDescent="0.25">
      <c r="A558" s="116">
        <v>555</v>
      </c>
      <c r="B558" s="117" t="s">
        <v>2104</v>
      </c>
      <c r="C558" s="118" t="s">
        <v>2105</v>
      </c>
      <c r="D558" s="118" t="s">
        <v>463</v>
      </c>
      <c r="E558" s="118" t="s">
        <v>1393</v>
      </c>
      <c r="F558" s="119">
        <v>100.0766041911201</v>
      </c>
      <c r="G558" s="119">
        <v>102.5822041911201</v>
      </c>
      <c r="H558" s="119">
        <v>21.81</v>
      </c>
      <c r="I558" s="116">
        <v>229</v>
      </c>
      <c r="J558" s="118" t="s">
        <v>273</v>
      </c>
    </row>
    <row r="559" spans="1:10" x14ac:dyDescent="0.25">
      <c r="A559" s="116">
        <v>556</v>
      </c>
      <c r="B559" s="117" t="s">
        <v>1404</v>
      </c>
      <c r="C559" s="118" t="s">
        <v>1405</v>
      </c>
      <c r="D559" s="118" t="s">
        <v>463</v>
      </c>
      <c r="E559" s="118" t="s">
        <v>1406</v>
      </c>
      <c r="F559" s="119">
        <v>100.37008107942975</v>
      </c>
      <c r="G559" s="119">
        <v>103.37008107942975</v>
      </c>
      <c r="H559" s="119">
        <v>22.82</v>
      </c>
      <c r="I559" s="116">
        <v>135</v>
      </c>
      <c r="J559" s="118" t="s">
        <v>273</v>
      </c>
    </row>
    <row r="560" spans="1:10" x14ac:dyDescent="0.25">
      <c r="A560" s="116">
        <v>557</v>
      </c>
      <c r="B560" s="117" t="s">
        <v>2015</v>
      </c>
      <c r="C560" s="118" t="s">
        <v>2016</v>
      </c>
      <c r="D560" s="118" t="s">
        <v>463</v>
      </c>
      <c r="E560" s="118" t="s">
        <v>1406</v>
      </c>
      <c r="F560" s="119">
        <v>96.535766043750115</v>
      </c>
      <c r="G560" s="119">
        <v>98.035766043750115</v>
      </c>
      <c r="H560" s="119">
        <v>22.89</v>
      </c>
      <c r="I560" s="116">
        <v>513</v>
      </c>
      <c r="J560" s="118" t="s">
        <v>273</v>
      </c>
    </row>
    <row r="561" spans="1:10" x14ac:dyDescent="0.25">
      <c r="A561" s="116">
        <v>558</v>
      </c>
      <c r="B561" s="117" t="s">
        <v>1407</v>
      </c>
      <c r="C561" s="118" t="s">
        <v>1408</v>
      </c>
      <c r="D561" s="118" t="s">
        <v>463</v>
      </c>
      <c r="E561" s="118" t="s">
        <v>373</v>
      </c>
      <c r="F561" s="119">
        <v>97.737300000000005</v>
      </c>
      <c r="G561" s="119">
        <v>101.77200000000001</v>
      </c>
      <c r="H561" s="119">
        <v>19.5</v>
      </c>
      <c r="I561" s="116">
        <v>457</v>
      </c>
      <c r="J561" s="118" t="s">
        <v>273</v>
      </c>
    </row>
    <row r="562" spans="1:10" x14ac:dyDescent="0.25">
      <c r="A562" s="116">
        <v>559</v>
      </c>
      <c r="B562" s="117" t="s">
        <v>428</v>
      </c>
      <c r="C562" s="118" t="s">
        <v>429</v>
      </c>
      <c r="D562" s="118" t="s">
        <v>463</v>
      </c>
      <c r="E562" s="118" t="s">
        <v>405</v>
      </c>
      <c r="F562" s="119">
        <v>81.4300523954266</v>
      </c>
      <c r="G562" s="119">
        <v>84.263352395426608</v>
      </c>
      <c r="H562" s="119">
        <v>30.21</v>
      </c>
      <c r="I562" s="116">
        <v>455</v>
      </c>
      <c r="J562" s="118" t="s">
        <v>273</v>
      </c>
    </row>
    <row r="563" spans="1:10" x14ac:dyDescent="0.25">
      <c r="A563" s="116">
        <v>560</v>
      </c>
      <c r="B563" s="117" t="s">
        <v>1998</v>
      </c>
      <c r="C563" s="118" t="s">
        <v>1999</v>
      </c>
      <c r="D563" s="118" t="s">
        <v>463</v>
      </c>
      <c r="E563" s="118" t="s">
        <v>405</v>
      </c>
      <c r="F563" s="119">
        <v>99.760860088039294</v>
      </c>
      <c r="G563" s="119">
        <v>101.2275600880393</v>
      </c>
      <c r="H563" s="119">
        <v>22.58</v>
      </c>
      <c r="I563" s="116">
        <v>156</v>
      </c>
      <c r="J563" s="118" t="s">
        <v>273</v>
      </c>
    </row>
    <row r="564" spans="1:10" x14ac:dyDescent="0.25">
      <c r="A564" s="116">
        <v>561</v>
      </c>
      <c r="B564" s="117" t="s">
        <v>2000</v>
      </c>
      <c r="C564" s="118" t="s">
        <v>2001</v>
      </c>
      <c r="D564" s="118" t="s">
        <v>463</v>
      </c>
      <c r="E564" s="118" t="s">
        <v>405</v>
      </c>
      <c r="F564" s="119">
        <v>99.74366767392776</v>
      </c>
      <c r="G564" s="119">
        <v>100.23256767392776</v>
      </c>
      <c r="H564" s="119">
        <v>22.57</v>
      </c>
      <c r="I564" s="116">
        <v>172</v>
      </c>
      <c r="J564" s="118" t="s">
        <v>273</v>
      </c>
    </row>
    <row r="565" spans="1:10" x14ac:dyDescent="0.25">
      <c r="A565" s="116">
        <v>562</v>
      </c>
      <c r="B565" s="117" t="s">
        <v>2046</v>
      </c>
      <c r="C565" s="118" t="s">
        <v>2047</v>
      </c>
      <c r="D565" s="118" t="s">
        <v>463</v>
      </c>
      <c r="E565" s="118" t="s">
        <v>405</v>
      </c>
      <c r="F565" s="119">
        <v>99.664276646601508</v>
      </c>
      <c r="G565" s="119">
        <v>100.76427664660152</v>
      </c>
      <c r="H565" s="119">
        <v>22.67</v>
      </c>
      <c r="I565" s="116">
        <v>192</v>
      </c>
      <c r="J565" s="118" t="s">
        <v>273</v>
      </c>
    </row>
    <row r="566" spans="1:10" x14ac:dyDescent="0.25">
      <c r="A566" s="116">
        <v>563</v>
      </c>
      <c r="B566" s="117" t="s">
        <v>2073</v>
      </c>
      <c r="C566" s="118" t="s">
        <v>2074</v>
      </c>
      <c r="D566" s="118" t="s">
        <v>463</v>
      </c>
      <c r="E566" s="118" t="s">
        <v>405</v>
      </c>
      <c r="F566" s="119">
        <v>99.760437872334663</v>
      </c>
      <c r="G566" s="119">
        <v>99.882637872334669</v>
      </c>
      <c r="H566" s="119">
        <v>22.44</v>
      </c>
      <c r="I566" s="116">
        <v>208</v>
      </c>
      <c r="J566" s="118" t="s">
        <v>273</v>
      </c>
    </row>
    <row r="567" spans="1:10" x14ac:dyDescent="0.25">
      <c r="A567" s="116">
        <v>564</v>
      </c>
      <c r="B567" s="117" t="s">
        <v>2174</v>
      </c>
      <c r="C567" s="118" t="s">
        <v>2175</v>
      </c>
      <c r="D567" s="118" t="s">
        <v>453</v>
      </c>
      <c r="E567" s="118" t="s">
        <v>405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242</v>
      </c>
    </row>
    <row r="568" spans="1:10" x14ac:dyDescent="0.25">
      <c r="A568" s="116">
        <v>565</v>
      </c>
      <c r="B568" s="117" t="s">
        <v>2048</v>
      </c>
      <c r="C568" s="118" t="s">
        <v>2049</v>
      </c>
      <c r="D568" s="118" t="s">
        <v>463</v>
      </c>
      <c r="E568" s="118" t="s">
        <v>405</v>
      </c>
      <c r="F568" s="119">
        <v>91.615654661136389</v>
      </c>
      <c r="G568" s="119">
        <v>92.515654661136395</v>
      </c>
      <c r="H568" s="119">
        <v>29.99</v>
      </c>
      <c r="I568" s="116">
        <v>183</v>
      </c>
      <c r="J568" s="118" t="s">
        <v>273</v>
      </c>
    </row>
    <row r="569" spans="1:10" x14ac:dyDescent="0.25">
      <c r="A569" s="116">
        <v>566</v>
      </c>
      <c r="B569" s="117" t="s">
        <v>2055</v>
      </c>
      <c r="C569" s="118" t="s">
        <v>2056</v>
      </c>
      <c r="D569" s="118" t="s">
        <v>463</v>
      </c>
      <c r="E569" s="118" t="s">
        <v>405</v>
      </c>
      <c r="F569" s="119">
        <v>91.175861470223623</v>
      </c>
      <c r="G569" s="119">
        <v>91.70916147022362</v>
      </c>
      <c r="H569" s="119">
        <v>29.93</v>
      </c>
      <c r="I569" s="116">
        <v>194</v>
      </c>
      <c r="J569" s="118" t="s">
        <v>273</v>
      </c>
    </row>
    <row r="570" spans="1:10" x14ac:dyDescent="0.25">
      <c r="A570" s="116">
        <v>567</v>
      </c>
      <c r="B570" s="117" t="s">
        <v>2061</v>
      </c>
      <c r="C570" s="118" t="s">
        <v>2062</v>
      </c>
      <c r="D570" s="118" t="s">
        <v>463</v>
      </c>
      <c r="E570" s="118" t="s">
        <v>405</v>
      </c>
      <c r="F570" s="119">
        <v>99.658656496897279</v>
      </c>
      <c r="G570" s="119">
        <v>100.33085649689727</v>
      </c>
      <c r="H570" s="119">
        <v>22.66</v>
      </c>
      <c r="I570" s="116">
        <v>199</v>
      </c>
      <c r="J570" s="118" t="s">
        <v>273</v>
      </c>
    </row>
    <row r="571" spans="1:10" x14ac:dyDescent="0.25">
      <c r="A571" s="116">
        <v>568</v>
      </c>
      <c r="B571" s="117" t="s">
        <v>2067</v>
      </c>
      <c r="C571" s="118" t="s">
        <v>2068</v>
      </c>
      <c r="D571" s="118" t="s">
        <v>463</v>
      </c>
      <c r="E571" s="118" t="s">
        <v>405</v>
      </c>
      <c r="F571" s="119">
        <v>90.939182580042157</v>
      </c>
      <c r="G571" s="119">
        <v>91.272482580042151</v>
      </c>
      <c r="H571" s="119">
        <v>29.9</v>
      </c>
      <c r="I571" s="116">
        <v>200</v>
      </c>
      <c r="J571" s="118" t="s">
        <v>273</v>
      </c>
    </row>
    <row r="572" spans="1:10" x14ac:dyDescent="0.25">
      <c r="A572" s="116">
        <v>569</v>
      </c>
      <c r="B572" s="117" t="s">
        <v>2069</v>
      </c>
      <c r="C572" s="118" t="s">
        <v>2070</v>
      </c>
      <c r="D572" s="118" t="s">
        <v>463</v>
      </c>
      <c r="E572" s="118" t="s">
        <v>405</v>
      </c>
      <c r="F572" s="119">
        <v>90.939182580042157</v>
      </c>
      <c r="G572" s="119">
        <v>91.272482580042151</v>
      </c>
      <c r="H572" s="119">
        <v>29.9</v>
      </c>
      <c r="I572" s="116">
        <v>200</v>
      </c>
      <c r="J572" s="118" t="s">
        <v>273</v>
      </c>
    </row>
    <row r="573" spans="1:10" x14ac:dyDescent="0.25">
      <c r="A573" s="116">
        <v>570</v>
      </c>
      <c r="B573" s="117" t="s">
        <v>2138</v>
      </c>
      <c r="C573" s="118" t="s">
        <v>2139</v>
      </c>
      <c r="D573" s="118" t="s">
        <v>463</v>
      </c>
      <c r="E573" s="118" t="s">
        <v>405</v>
      </c>
      <c r="F573" s="119">
        <v>89.643941827427369</v>
      </c>
      <c r="G573" s="119">
        <v>89.810641827427375</v>
      </c>
      <c r="H573" s="119">
        <v>29.64</v>
      </c>
      <c r="I573" s="116">
        <v>235</v>
      </c>
      <c r="J573" s="118" t="s">
        <v>273</v>
      </c>
    </row>
    <row r="574" spans="1:10" x14ac:dyDescent="0.25">
      <c r="A574" s="116">
        <v>571</v>
      </c>
      <c r="B574" s="117" t="s">
        <v>2145</v>
      </c>
      <c r="C574" s="118" t="s">
        <v>2146</v>
      </c>
      <c r="D574" s="118" t="s">
        <v>463</v>
      </c>
      <c r="E574" s="118" t="s">
        <v>405</v>
      </c>
      <c r="F574" s="119">
        <v>99.998900000000006</v>
      </c>
      <c r="G574" s="119">
        <v>100.46559999999999</v>
      </c>
      <c r="H574" s="119">
        <v>12</v>
      </c>
      <c r="I574" s="116">
        <v>286</v>
      </c>
      <c r="J574" s="118" t="s">
        <v>273</v>
      </c>
    </row>
    <row r="575" spans="1:10" x14ac:dyDescent="0.25">
      <c r="A575" s="116">
        <v>572</v>
      </c>
      <c r="B575" s="117" t="s">
        <v>2199</v>
      </c>
      <c r="C575" s="118" t="s">
        <v>2200</v>
      </c>
      <c r="D575" s="118" t="s">
        <v>463</v>
      </c>
      <c r="E575" s="118" t="s">
        <v>405</v>
      </c>
      <c r="F575" s="119">
        <v>99.998900000000006</v>
      </c>
      <c r="G575" s="119">
        <v>101.2822</v>
      </c>
      <c r="H575" s="119">
        <v>22</v>
      </c>
      <c r="I575" s="116">
        <v>639</v>
      </c>
      <c r="J575" s="118" t="s">
        <v>273</v>
      </c>
    </row>
    <row r="576" spans="1:10" x14ac:dyDescent="0.25">
      <c r="A576" s="116">
        <v>573</v>
      </c>
      <c r="B576" s="117" t="s">
        <v>2260</v>
      </c>
      <c r="C576" s="118" t="s">
        <v>2261</v>
      </c>
      <c r="D576" s="118" t="s">
        <v>463</v>
      </c>
      <c r="E576" s="118" t="s">
        <v>405</v>
      </c>
      <c r="F576" s="119">
        <v>99.429703158380107</v>
      </c>
      <c r="G576" s="119">
        <v>99.735303158380106</v>
      </c>
      <c r="H576" s="119">
        <v>22.37</v>
      </c>
      <c r="I576" s="116">
        <v>685</v>
      </c>
      <c r="J576" s="118" t="s">
        <v>273</v>
      </c>
    </row>
    <row r="577" spans="1:10" x14ac:dyDescent="0.25">
      <c r="A577" s="116">
        <v>574</v>
      </c>
      <c r="B577" s="117" t="s">
        <v>2262</v>
      </c>
      <c r="C577" s="118" t="s">
        <v>2263</v>
      </c>
      <c r="D577" s="118" t="s">
        <v>453</v>
      </c>
      <c r="E577" s="118" t="s">
        <v>405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242</v>
      </c>
    </row>
    <row r="578" spans="1:10" x14ac:dyDescent="0.25">
      <c r="A578" s="116">
        <v>575</v>
      </c>
      <c r="B578" s="117" t="s">
        <v>2201</v>
      </c>
      <c r="C578" s="118" t="s">
        <v>2202</v>
      </c>
      <c r="D578" s="118" t="s">
        <v>463</v>
      </c>
      <c r="E578" s="118" t="s">
        <v>405</v>
      </c>
      <c r="F578" s="119">
        <v>99</v>
      </c>
      <c r="G578" s="119">
        <v>99.7</v>
      </c>
      <c r="H578" s="119">
        <v>12.63</v>
      </c>
      <c r="I578" s="116">
        <v>639</v>
      </c>
      <c r="J578" s="118" t="s">
        <v>273</v>
      </c>
    </row>
    <row r="579" spans="1:10" x14ac:dyDescent="0.25">
      <c r="A579" s="116">
        <v>576</v>
      </c>
      <c r="B579" s="117" t="s">
        <v>2264</v>
      </c>
      <c r="C579" s="118" t="s">
        <v>2265</v>
      </c>
      <c r="D579" s="118" t="s">
        <v>463</v>
      </c>
      <c r="E579" s="118" t="s">
        <v>405</v>
      </c>
      <c r="F579" s="119">
        <v>74.964866995910924</v>
      </c>
      <c r="G579" s="119">
        <v>75.09816699591093</v>
      </c>
      <c r="H579" s="119">
        <v>29.3</v>
      </c>
      <c r="I579" s="116">
        <v>686</v>
      </c>
      <c r="J579" s="118" t="s">
        <v>273</v>
      </c>
    </row>
    <row r="580" spans="1:10" x14ac:dyDescent="0.25">
      <c r="A580" s="116">
        <v>577</v>
      </c>
      <c r="B580" s="117" t="s">
        <v>2266</v>
      </c>
      <c r="C580" s="118" t="s">
        <v>2267</v>
      </c>
      <c r="D580" s="118" t="s">
        <v>463</v>
      </c>
      <c r="E580" s="118" t="s">
        <v>405</v>
      </c>
      <c r="F580" s="119">
        <v>99.989900000000006</v>
      </c>
      <c r="G580" s="119">
        <v>100.5566</v>
      </c>
      <c r="H580" s="119">
        <v>12.01</v>
      </c>
      <c r="I580" s="116">
        <v>673</v>
      </c>
      <c r="J580" s="118" t="s">
        <v>273</v>
      </c>
    </row>
    <row r="581" spans="1:10" x14ac:dyDescent="0.25">
      <c r="A581" s="116">
        <v>578</v>
      </c>
      <c r="B581" s="117" t="s">
        <v>1409</v>
      </c>
      <c r="C581" s="118" t="s">
        <v>1410</v>
      </c>
      <c r="D581" s="118" t="s">
        <v>463</v>
      </c>
      <c r="E581" s="118" t="s">
        <v>405</v>
      </c>
      <c r="F581" s="119">
        <v>100.00440001911061</v>
      </c>
      <c r="G581" s="119">
        <v>101.7766000191106</v>
      </c>
      <c r="H581" s="119">
        <v>20.22</v>
      </c>
      <c r="I581" s="116">
        <v>1</v>
      </c>
      <c r="J581" s="118" t="s">
        <v>273</v>
      </c>
    </row>
    <row r="582" spans="1:10" x14ac:dyDescent="0.25">
      <c r="A582" s="116">
        <v>579</v>
      </c>
      <c r="B582" s="117" t="s">
        <v>1411</v>
      </c>
      <c r="C582" s="118" t="s">
        <v>1412</v>
      </c>
      <c r="D582" s="118" t="s">
        <v>463</v>
      </c>
      <c r="E582" s="118" t="s">
        <v>405</v>
      </c>
      <c r="F582" s="119">
        <v>98.637141685774907</v>
      </c>
      <c r="G582" s="119">
        <v>98.770441685774912</v>
      </c>
      <c r="H582" s="119">
        <v>31.31</v>
      </c>
      <c r="I582" s="116">
        <v>26</v>
      </c>
      <c r="J582" s="118" t="s">
        <v>273</v>
      </c>
    </row>
    <row r="583" spans="1:10" x14ac:dyDescent="0.25">
      <c r="A583" s="116">
        <v>580</v>
      </c>
      <c r="B583" s="117" t="s">
        <v>1413</v>
      </c>
      <c r="C583" s="118" t="s">
        <v>1414</v>
      </c>
      <c r="D583" s="118" t="s">
        <v>463</v>
      </c>
      <c r="E583" s="118" t="s">
        <v>405</v>
      </c>
      <c r="F583" s="119">
        <v>99.002034977198733</v>
      </c>
      <c r="G583" s="119">
        <v>99.063134977198729</v>
      </c>
      <c r="H583" s="119">
        <v>22.94</v>
      </c>
      <c r="I583" s="116">
        <v>449</v>
      </c>
      <c r="J583" s="118" t="s">
        <v>273</v>
      </c>
    </row>
    <row r="584" spans="1:10" x14ac:dyDescent="0.25">
      <c r="A584" s="116">
        <v>581</v>
      </c>
      <c r="B584" s="117" t="s">
        <v>1415</v>
      </c>
      <c r="C584" s="118" t="s">
        <v>1416</v>
      </c>
      <c r="D584" s="118" t="s">
        <v>463</v>
      </c>
      <c r="E584" s="118" t="s">
        <v>405</v>
      </c>
      <c r="F584" s="119">
        <v>99.661922143622135</v>
      </c>
      <c r="G584" s="119">
        <v>99.720222143622138</v>
      </c>
      <c r="H584" s="119">
        <v>22.42</v>
      </c>
      <c r="I584" s="116">
        <v>89</v>
      </c>
      <c r="J584" s="118" t="s">
        <v>273</v>
      </c>
    </row>
    <row r="585" spans="1:10" x14ac:dyDescent="0.25">
      <c r="A585" s="116">
        <v>582</v>
      </c>
      <c r="B585" s="117" t="s">
        <v>1417</v>
      </c>
      <c r="C585" s="118" t="s">
        <v>1418</v>
      </c>
      <c r="D585" s="118" t="s">
        <v>463</v>
      </c>
      <c r="E585" s="118" t="s">
        <v>405</v>
      </c>
      <c r="F585" s="119">
        <v>99.933964576605803</v>
      </c>
      <c r="G585" s="119">
        <v>99.964564576605795</v>
      </c>
      <c r="H585" s="119">
        <v>11.27</v>
      </c>
      <c r="I585" s="116">
        <v>89</v>
      </c>
      <c r="J585" s="118" t="s">
        <v>273</v>
      </c>
    </row>
    <row r="586" spans="1:10" x14ac:dyDescent="0.25">
      <c r="A586" s="116">
        <v>583</v>
      </c>
      <c r="B586" s="117" t="s">
        <v>1419</v>
      </c>
      <c r="C586" s="118" t="s">
        <v>1420</v>
      </c>
      <c r="D586" s="118" t="s">
        <v>463</v>
      </c>
      <c r="E586" s="118" t="s">
        <v>1421</v>
      </c>
      <c r="F586" s="119">
        <v>95.768889402899447</v>
      </c>
      <c r="G586" s="119">
        <v>97.674489402899454</v>
      </c>
      <c r="H586" s="119">
        <v>19.41</v>
      </c>
      <c r="I586" s="116">
        <v>311</v>
      </c>
      <c r="J586" s="118" t="s">
        <v>273</v>
      </c>
    </row>
    <row r="587" spans="1:10" x14ac:dyDescent="0.25">
      <c r="A587" s="116">
        <v>584</v>
      </c>
      <c r="B587" s="117" t="s">
        <v>113</v>
      </c>
      <c r="C587" s="118" t="s">
        <v>114</v>
      </c>
      <c r="D587" s="118" t="s">
        <v>463</v>
      </c>
      <c r="E587" s="118" t="s">
        <v>112</v>
      </c>
      <c r="F587" s="119">
        <v>100.30487680610103</v>
      </c>
      <c r="G587" s="119">
        <v>101.73467680610104</v>
      </c>
      <c r="H587" s="119">
        <v>21.19</v>
      </c>
      <c r="I587" s="116">
        <v>97</v>
      </c>
      <c r="J587" s="118" t="s">
        <v>273</v>
      </c>
    </row>
    <row r="588" spans="1:10" x14ac:dyDescent="0.25">
      <c r="A588" s="116">
        <v>585</v>
      </c>
      <c r="B588" s="117" t="s">
        <v>115</v>
      </c>
      <c r="C588" s="118" t="s">
        <v>116</v>
      </c>
      <c r="D588" s="118" t="s">
        <v>463</v>
      </c>
      <c r="E588" s="118" t="s">
        <v>112</v>
      </c>
      <c r="F588" s="119">
        <v>99.931598404032371</v>
      </c>
      <c r="G588" s="119">
        <v>100.54269840403236</v>
      </c>
      <c r="H588" s="119">
        <v>20.100000000000001</v>
      </c>
      <c r="I588" s="116">
        <v>259</v>
      </c>
      <c r="J588" s="118" t="s">
        <v>273</v>
      </c>
    </row>
    <row r="589" spans="1:10" x14ac:dyDescent="0.25">
      <c r="A589" s="116">
        <v>586</v>
      </c>
      <c r="B589" s="117" t="s">
        <v>1422</v>
      </c>
      <c r="C589" s="118" t="s">
        <v>1423</v>
      </c>
      <c r="D589" s="118" t="s">
        <v>463</v>
      </c>
      <c r="E589" s="118" t="s">
        <v>112</v>
      </c>
      <c r="F589" s="119">
        <v>100.4662681916392</v>
      </c>
      <c r="G589" s="119">
        <v>100.9940681916392</v>
      </c>
      <c r="H589" s="119">
        <v>9.69</v>
      </c>
      <c r="I589" s="116">
        <v>581</v>
      </c>
      <c r="J589" s="118" t="s">
        <v>273</v>
      </c>
    </row>
    <row r="590" spans="1:10" x14ac:dyDescent="0.25">
      <c r="A590" s="116">
        <v>587</v>
      </c>
      <c r="B590" s="117" t="s">
        <v>358</v>
      </c>
      <c r="C590" s="118" t="s">
        <v>359</v>
      </c>
      <c r="D590" s="118" t="s">
        <v>463</v>
      </c>
      <c r="E590" s="118" t="s">
        <v>112</v>
      </c>
      <c r="F590" s="119">
        <v>101.5750508976443</v>
      </c>
      <c r="G590" s="119">
        <v>102.8999508976443</v>
      </c>
      <c r="H590" s="119">
        <v>20.72</v>
      </c>
      <c r="I590" s="116">
        <v>728</v>
      </c>
      <c r="J590" s="118" t="s">
        <v>273</v>
      </c>
    </row>
    <row r="591" spans="1:10" x14ac:dyDescent="0.25">
      <c r="A591" s="116">
        <v>588</v>
      </c>
      <c r="B591" s="117" t="s">
        <v>1424</v>
      </c>
      <c r="C591" s="118" t="s">
        <v>1425</v>
      </c>
      <c r="D591" s="118" t="s">
        <v>463</v>
      </c>
      <c r="E591" s="118" t="s">
        <v>112</v>
      </c>
      <c r="F591" s="119">
        <v>98.205444420460211</v>
      </c>
      <c r="G591" s="119">
        <v>98.680444420460219</v>
      </c>
      <c r="H591" s="119">
        <v>19.920000000000002</v>
      </c>
      <c r="I591" s="116">
        <v>891</v>
      </c>
      <c r="J591" s="118" t="s">
        <v>273</v>
      </c>
    </row>
    <row r="592" spans="1:10" x14ac:dyDescent="0.25">
      <c r="A592" s="116">
        <v>589</v>
      </c>
      <c r="B592" s="117" t="s">
        <v>391</v>
      </c>
      <c r="C592" s="118" t="s">
        <v>392</v>
      </c>
      <c r="D592" s="118" t="s">
        <v>463</v>
      </c>
      <c r="E592" s="118" t="s">
        <v>112</v>
      </c>
      <c r="F592" s="119">
        <v>98.524119920423786</v>
      </c>
      <c r="G592" s="119">
        <v>99.368519920423779</v>
      </c>
      <c r="H592" s="119">
        <v>20.39</v>
      </c>
      <c r="I592" s="116">
        <v>434</v>
      </c>
      <c r="J592" s="118" t="s">
        <v>273</v>
      </c>
    </row>
    <row r="593" spans="1:10" x14ac:dyDescent="0.25">
      <c r="A593" s="116">
        <v>590</v>
      </c>
      <c r="B593" s="117" t="s">
        <v>2057</v>
      </c>
      <c r="C593" s="118" t="s">
        <v>2058</v>
      </c>
      <c r="D593" s="118" t="s">
        <v>463</v>
      </c>
      <c r="E593" s="118" t="s">
        <v>112</v>
      </c>
      <c r="F593" s="119">
        <v>102.1084211575314</v>
      </c>
      <c r="G593" s="119">
        <v>103.15842115753139</v>
      </c>
      <c r="H593" s="119">
        <v>19.93</v>
      </c>
      <c r="I593" s="116">
        <v>912</v>
      </c>
      <c r="J593" s="118" t="s">
        <v>273</v>
      </c>
    </row>
    <row r="594" spans="1:10" x14ac:dyDescent="0.25">
      <c r="A594" s="116">
        <v>591</v>
      </c>
      <c r="B594" s="117" t="s">
        <v>2085</v>
      </c>
      <c r="C594" s="118" t="s">
        <v>2086</v>
      </c>
      <c r="D594" s="118" t="s">
        <v>463</v>
      </c>
      <c r="E594" s="118" t="s">
        <v>112</v>
      </c>
      <c r="F594" s="119">
        <v>102.20084510526341</v>
      </c>
      <c r="G594" s="119">
        <v>103.65914510526341</v>
      </c>
      <c r="H594" s="119">
        <v>19.91</v>
      </c>
      <c r="I594" s="116">
        <v>935</v>
      </c>
      <c r="J594" s="118" t="s">
        <v>273</v>
      </c>
    </row>
    <row r="595" spans="1:10" x14ac:dyDescent="0.25">
      <c r="A595" s="116">
        <v>592</v>
      </c>
      <c r="B595" s="117" t="s">
        <v>2130</v>
      </c>
      <c r="C595" s="118" t="s">
        <v>2131</v>
      </c>
      <c r="D595" s="118" t="s">
        <v>463</v>
      </c>
      <c r="E595" s="118" t="s">
        <v>112</v>
      </c>
      <c r="F595" s="119">
        <v>104.44476070802887</v>
      </c>
      <c r="G595" s="119">
        <v>104.88226070802887</v>
      </c>
      <c r="H595" s="119">
        <v>20.32</v>
      </c>
      <c r="I595" s="116">
        <v>953</v>
      </c>
      <c r="J595" s="118" t="s">
        <v>273</v>
      </c>
    </row>
    <row r="596" spans="1:10" x14ac:dyDescent="0.25">
      <c r="A596" s="116">
        <v>593</v>
      </c>
      <c r="B596" s="117" t="s">
        <v>2132</v>
      </c>
      <c r="C596" s="118" t="s">
        <v>2133</v>
      </c>
      <c r="D596" s="118" t="s">
        <v>463</v>
      </c>
      <c r="E596" s="118" t="s">
        <v>112</v>
      </c>
      <c r="F596" s="119">
        <v>102.80437185229192</v>
      </c>
      <c r="G596" s="119">
        <v>103.80497185229193</v>
      </c>
      <c r="H596" s="119">
        <v>19.899999999999999</v>
      </c>
      <c r="I596" s="116">
        <v>1033</v>
      </c>
      <c r="J596" s="118" t="s">
        <v>273</v>
      </c>
    </row>
    <row r="597" spans="1:10" x14ac:dyDescent="0.25">
      <c r="A597" s="116">
        <v>594</v>
      </c>
      <c r="B597" s="117" t="s">
        <v>2203</v>
      </c>
      <c r="C597" s="118" t="s">
        <v>2204</v>
      </c>
      <c r="D597" s="118" t="s">
        <v>463</v>
      </c>
      <c r="E597" s="118" t="s">
        <v>2205</v>
      </c>
      <c r="F597" s="119">
        <v>100.85588484312211</v>
      </c>
      <c r="G597" s="119">
        <v>103.13368484312211</v>
      </c>
      <c r="H597" s="119">
        <v>9.4700000000000006</v>
      </c>
      <c r="I597" s="116">
        <v>638</v>
      </c>
      <c r="J597" s="118" t="s">
        <v>273</v>
      </c>
    </row>
    <row r="598" spans="1:10" x14ac:dyDescent="0.25">
      <c r="A598" s="116">
        <v>595</v>
      </c>
      <c r="B598" s="117" t="s">
        <v>1426</v>
      </c>
      <c r="C598" s="118" t="s">
        <v>1427</v>
      </c>
      <c r="D598" s="118" t="s">
        <v>463</v>
      </c>
      <c r="E598" s="118" t="s">
        <v>388</v>
      </c>
      <c r="F598" s="119">
        <v>92.724643805739007</v>
      </c>
      <c r="G598" s="119">
        <v>92.78854380573901</v>
      </c>
      <c r="H598" s="119">
        <v>39.35</v>
      </c>
      <c r="I598" s="116">
        <v>179</v>
      </c>
      <c r="J598" s="118" t="s">
        <v>273</v>
      </c>
    </row>
    <row r="599" spans="1:10" x14ac:dyDescent="0.25">
      <c r="A599" s="116">
        <v>596</v>
      </c>
      <c r="B599" s="117" t="s">
        <v>386</v>
      </c>
      <c r="C599" s="118" t="s">
        <v>387</v>
      </c>
      <c r="D599" s="118" t="s">
        <v>463</v>
      </c>
      <c r="E599" s="118" t="s">
        <v>388</v>
      </c>
      <c r="F599" s="119">
        <v>96.612634585345688</v>
      </c>
      <c r="G599" s="119">
        <v>97.662634585345685</v>
      </c>
      <c r="H599" s="119">
        <v>38.840000000000003</v>
      </c>
      <c r="I599" s="116">
        <v>72</v>
      </c>
      <c r="J599" s="118" t="s">
        <v>273</v>
      </c>
    </row>
    <row r="600" spans="1:10" x14ac:dyDescent="0.25">
      <c r="A600" s="116">
        <v>597</v>
      </c>
      <c r="B600" s="117" t="s">
        <v>403</v>
      </c>
      <c r="C600" s="118" t="s">
        <v>404</v>
      </c>
      <c r="D600" s="118" t="s">
        <v>463</v>
      </c>
      <c r="E600" s="118" t="s">
        <v>388</v>
      </c>
      <c r="F600" s="119">
        <v>77.526351507570638</v>
      </c>
      <c r="G600" s="119">
        <v>77.648551507570645</v>
      </c>
      <c r="H600" s="119">
        <v>38.840000000000003</v>
      </c>
      <c r="I600" s="116">
        <v>688</v>
      </c>
      <c r="J600" s="118" t="s">
        <v>273</v>
      </c>
    </row>
    <row r="601" spans="1:10" x14ac:dyDescent="0.25">
      <c r="A601" s="116">
        <v>598</v>
      </c>
      <c r="B601" s="117" t="s">
        <v>395</v>
      </c>
      <c r="C601" s="118" t="s">
        <v>396</v>
      </c>
      <c r="D601" s="118" t="s">
        <v>463</v>
      </c>
      <c r="E601" s="118" t="s">
        <v>388</v>
      </c>
      <c r="F601" s="119">
        <v>82.670402290414287</v>
      </c>
      <c r="G601" s="119">
        <v>83.078702290414284</v>
      </c>
      <c r="H601" s="119">
        <v>38.94</v>
      </c>
      <c r="I601" s="116">
        <v>443</v>
      </c>
      <c r="J601" s="118" t="s">
        <v>273</v>
      </c>
    </row>
    <row r="602" spans="1:10" x14ac:dyDescent="0.25">
      <c r="A602" s="116">
        <v>599</v>
      </c>
      <c r="B602" s="117" t="s">
        <v>2116</v>
      </c>
      <c r="C602" s="118" t="s">
        <v>2117</v>
      </c>
      <c r="D602" s="118" t="s">
        <v>463</v>
      </c>
      <c r="E602" s="118" t="s">
        <v>388</v>
      </c>
      <c r="F602" s="119">
        <v>76.512380666431639</v>
      </c>
      <c r="G602" s="119">
        <v>77.037380666431631</v>
      </c>
      <c r="H602" s="119">
        <v>34.700000000000003</v>
      </c>
      <c r="I602" s="116">
        <v>951</v>
      </c>
      <c r="J602" s="118" t="s">
        <v>273</v>
      </c>
    </row>
    <row r="603" spans="1:10" x14ac:dyDescent="0.25">
      <c r="A603" s="116">
        <v>600</v>
      </c>
      <c r="B603" s="117" t="s">
        <v>2225</v>
      </c>
      <c r="C603" s="118" t="s">
        <v>2226</v>
      </c>
      <c r="D603" s="118" t="s">
        <v>463</v>
      </c>
      <c r="E603" s="118" t="s">
        <v>388</v>
      </c>
      <c r="F603" s="119">
        <v>86.641968958284806</v>
      </c>
      <c r="G603" s="119">
        <v>87.4863689582848</v>
      </c>
      <c r="H603" s="119">
        <v>38.93</v>
      </c>
      <c r="I603" s="116">
        <v>284</v>
      </c>
      <c r="J603" s="118" t="s">
        <v>273</v>
      </c>
    </row>
    <row r="604" spans="1:10" x14ac:dyDescent="0.25">
      <c r="A604" s="116">
        <v>601</v>
      </c>
      <c r="B604" s="117" t="s">
        <v>2368</v>
      </c>
      <c r="C604" s="118" t="s">
        <v>2369</v>
      </c>
      <c r="D604" s="118" t="s">
        <v>463</v>
      </c>
      <c r="E604" s="118" t="s">
        <v>388</v>
      </c>
      <c r="F604" s="119">
        <v>77.170906157594573</v>
      </c>
      <c r="G604" s="119">
        <v>78.087606157594578</v>
      </c>
      <c r="H604" s="119">
        <v>38.82</v>
      </c>
      <c r="I604" s="116">
        <v>705</v>
      </c>
      <c r="J604" s="118" t="s">
        <v>273</v>
      </c>
    </row>
    <row r="605" spans="1:10" x14ac:dyDescent="0.25">
      <c r="A605" s="116">
        <v>602</v>
      </c>
      <c r="B605" s="117" t="s">
        <v>2291</v>
      </c>
      <c r="C605" s="118" t="s">
        <v>2292</v>
      </c>
      <c r="D605" s="118" t="s">
        <v>463</v>
      </c>
      <c r="E605" s="118" t="s">
        <v>388</v>
      </c>
      <c r="F605" s="119">
        <v>78.676216232758406</v>
      </c>
      <c r="G605" s="119">
        <v>79.317916232758407</v>
      </c>
      <c r="H605" s="119">
        <v>32.47</v>
      </c>
      <c r="I605" s="116">
        <v>1039</v>
      </c>
      <c r="J605" s="118" t="s">
        <v>273</v>
      </c>
    </row>
    <row r="606" spans="1:10" x14ac:dyDescent="0.25">
      <c r="A606" s="116">
        <v>603</v>
      </c>
      <c r="B606" s="117" t="s">
        <v>1428</v>
      </c>
      <c r="C606" s="118" t="s">
        <v>1429</v>
      </c>
      <c r="D606" s="118" t="s">
        <v>463</v>
      </c>
      <c r="E606" s="118" t="s">
        <v>388</v>
      </c>
      <c r="F606" s="119">
        <v>92.239881249936971</v>
      </c>
      <c r="G606" s="119">
        <v>92.864881249936971</v>
      </c>
      <c r="H606" s="119">
        <v>38.840000000000003</v>
      </c>
      <c r="I606" s="116">
        <v>231</v>
      </c>
      <c r="J606" s="118" t="s">
        <v>273</v>
      </c>
    </row>
    <row r="607" spans="1:10" x14ac:dyDescent="0.25">
      <c r="A607" s="116">
        <v>604</v>
      </c>
      <c r="B607" s="117" t="s">
        <v>1430</v>
      </c>
      <c r="C607" s="118" t="s">
        <v>1431</v>
      </c>
      <c r="D607" s="118" t="s">
        <v>463</v>
      </c>
      <c r="E607" s="118" t="s">
        <v>388</v>
      </c>
      <c r="F607" s="119">
        <v>98.775684054137372</v>
      </c>
      <c r="G607" s="119">
        <v>100.37288405413737</v>
      </c>
      <c r="H607" s="119">
        <v>26.08</v>
      </c>
      <c r="I607" s="116">
        <v>487</v>
      </c>
      <c r="J607" s="118" t="s">
        <v>273</v>
      </c>
    </row>
    <row r="608" spans="1:10" x14ac:dyDescent="0.25">
      <c r="A608" s="116">
        <v>605</v>
      </c>
      <c r="B608" s="117" t="s">
        <v>1432</v>
      </c>
      <c r="C608" s="118" t="s">
        <v>1433</v>
      </c>
      <c r="D608" s="118" t="s">
        <v>453</v>
      </c>
      <c r="E608" s="118" t="s">
        <v>1434</v>
      </c>
      <c r="F608" s="119">
        <v>1000</v>
      </c>
      <c r="G608" s="119">
        <v>1000</v>
      </c>
      <c r="H608" s="119">
        <v>0</v>
      </c>
      <c r="I608" s="116">
        <v>0</v>
      </c>
      <c r="J608" s="118" t="s">
        <v>242</v>
      </c>
    </row>
    <row r="609" spans="1:10" x14ac:dyDescent="0.25">
      <c r="A609" s="116">
        <v>606</v>
      </c>
      <c r="B609" s="117" t="s">
        <v>1436</v>
      </c>
      <c r="C609" s="118" t="s">
        <v>1437</v>
      </c>
      <c r="D609" s="118" t="s">
        <v>463</v>
      </c>
      <c r="E609" s="118" t="s">
        <v>1435</v>
      </c>
      <c r="F609" s="119">
        <v>100.05002181771351</v>
      </c>
      <c r="G609" s="119">
        <v>100.75002181771352</v>
      </c>
      <c r="H609" s="119">
        <v>20.93</v>
      </c>
      <c r="I609" s="116">
        <v>318</v>
      </c>
      <c r="J609" s="118" t="s">
        <v>273</v>
      </c>
    </row>
    <row r="610" spans="1:10" x14ac:dyDescent="0.25">
      <c r="A610" s="116">
        <v>607</v>
      </c>
      <c r="B610" s="117" t="s">
        <v>2165</v>
      </c>
      <c r="C610" s="118" t="s">
        <v>2166</v>
      </c>
      <c r="D610" s="118" t="s">
        <v>463</v>
      </c>
      <c r="E610" s="118" t="s">
        <v>1435</v>
      </c>
      <c r="F610" s="119">
        <v>99.989900000000006</v>
      </c>
      <c r="G610" s="119">
        <v>100.3399</v>
      </c>
      <c r="H610" s="119">
        <v>10.51</v>
      </c>
      <c r="I610" s="116">
        <v>618</v>
      </c>
      <c r="J610" s="118" t="s">
        <v>273</v>
      </c>
    </row>
    <row r="611" spans="1:10" x14ac:dyDescent="0.25">
      <c r="A611" s="116">
        <v>608</v>
      </c>
      <c r="B611" s="117" t="s">
        <v>2189</v>
      </c>
      <c r="C611" s="118" t="s">
        <v>2190</v>
      </c>
      <c r="D611" s="118" t="s">
        <v>463</v>
      </c>
      <c r="E611" s="118" t="s">
        <v>1440</v>
      </c>
      <c r="F611" s="119">
        <v>99.348758990324626</v>
      </c>
      <c r="G611" s="119">
        <v>102.01545899032463</v>
      </c>
      <c r="H611" s="119">
        <v>20.8</v>
      </c>
      <c r="I611" s="116">
        <v>312</v>
      </c>
      <c r="J611" s="118" t="s">
        <v>273</v>
      </c>
    </row>
    <row r="612" spans="1:10" x14ac:dyDescent="0.25">
      <c r="A612" s="116">
        <v>609</v>
      </c>
      <c r="B612" s="117" t="s">
        <v>1438</v>
      </c>
      <c r="C612" s="118" t="s">
        <v>1439</v>
      </c>
      <c r="D612" s="118" t="s">
        <v>463</v>
      </c>
      <c r="E612" s="118" t="s">
        <v>1440</v>
      </c>
      <c r="F612" s="119">
        <v>99.803152317307436</v>
      </c>
      <c r="G612" s="119">
        <v>103.00315231730742</v>
      </c>
      <c r="H612" s="119">
        <v>20.48</v>
      </c>
      <c r="I612" s="116">
        <v>26</v>
      </c>
      <c r="J612" s="118" t="s">
        <v>273</v>
      </c>
    </row>
    <row r="613" spans="1:10" x14ac:dyDescent="0.25">
      <c r="A613" s="116">
        <v>610</v>
      </c>
      <c r="B613" s="117" t="s">
        <v>1441</v>
      </c>
      <c r="C613" s="118" t="s">
        <v>1442</v>
      </c>
      <c r="D613" s="118" t="s">
        <v>463</v>
      </c>
      <c r="E613" s="118" t="s">
        <v>1440</v>
      </c>
      <c r="F613" s="119">
        <v>100.18447034470572</v>
      </c>
      <c r="G613" s="119">
        <v>102.22617034470571</v>
      </c>
      <c r="H613" s="119">
        <v>20.78</v>
      </c>
      <c r="I613" s="116">
        <v>415</v>
      </c>
      <c r="J613" s="118" t="s">
        <v>273</v>
      </c>
    </row>
    <row r="614" spans="1:10" x14ac:dyDescent="0.25">
      <c r="A614" s="116">
        <v>611</v>
      </c>
      <c r="B614" s="117" t="s">
        <v>1443</v>
      </c>
      <c r="C614" s="118" t="s">
        <v>1444</v>
      </c>
      <c r="D614" s="118" t="s">
        <v>463</v>
      </c>
      <c r="E614" s="118" t="s">
        <v>1440</v>
      </c>
      <c r="F614" s="119">
        <v>100.10540652736132</v>
      </c>
      <c r="G614" s="119">
        <v>101.38870652736132</v>
      </c>
      <c r="H614" s="119">
        <v>20.79</v>
      </c>
      <c r="I614" s="116">
        <v>248</v>
      </c>
      <c r="J614" s="118" t="s">
        <v>273</v>
      </c>
    </row>
    <row r="615" spans="1:10" x14ac:dyDescent="0.25">
      <c r="A615" s="116">
        <v>612</v>
      </c>
      <c r="B615" s="117" t="s">
        <v>1445</v>
      </c>
      <c r="C615" s="118" t="s">
        <v>1446</v>
      </c>
      <c r="D615" s="118" t="s">
        <v>463</v>
      </c>
      <c r="E615" s="118" t="s">
        <v>1440</v>
      </c>
      <c r="F615" s="119">
        <v>100.4391188015619</v>
      </c>
      <c r="G615" s="119">
        <v>101.7224188015619</v>
      </c>
      <c r="H615" s="119">
        <v>20.67</v>
      </c>
      <c r="I615" s="116">
        <v>608</v>
      </c>
      <c r="J615" s="118" t="s">
        <v>273</v>
      </c>
    </row>
    <row r="616" spans="1:10" x14ac:dyDescent="0.25">
      <c r="A616" s="116">
        <v>613</v>
      </c>
      <c r="B616" s="117" t="s">
        <v>1447</v>
      </c>
      <c r="C616" s="118" t="s">
        <v>1448</v>
      </c>
      <c r="D616" s="118" t="s">
        <v>453</v>
      </c>
      <c r="E616" s="118" t="s">
        <v>1440</v>
      </c>
      <c r="F616" s="119">
        <v>1000</v>
      </c>
      <c r="G616" s="119">
        <v>1000</v>
      </c>
      <c r="H616" s="119">
        <v>0</v>
      </c>
      <c r="I616" s="116">
        <v>0</v>
      </c>
      <c r="J616" s="118" t="s">
        <v>242</v>
      </c>
    </row>
    <row r="617" spans="1:10" x14ac:dyDescent="0.25">
      <c r="A617" s="116">
        <v>614</v>
      </c>
      <c r="B617" s="117" t="s">
        <v>2017</v>
      </c>
      <c r="C617" s="118" t="s">
        <v>2018</v>
      </c>
      <c r="D617" s="118" t="s">
        <v>463</v>
      </c>
      <c r="E617" s="118" t="s">
        <v>1440</v>
      </c>
      <c r="F617" s="119">
        <v>91.360650103162584</v>
      </c>
      <c r="G617" s="119">
        <v>91.360650103162584</v>
      </c>
      <c r="H617" s="119">
        <v>21.41</v>
      </c>
      <c r="I617" s="116">
        <v>159</v>
      </c>
      <c r="J617" s="118" t="s">
        <v>273</v>
      </c>
    </row>
    <row r="618" spans="1:10" x14ac:dyDescent="0.25">
      <c r="A618" s="116">
        <v>615</v>
      </c>
      <c r="B618" s="117" t="s">
        <v>1449</v>
      </c>
      <c r="C618" s="118" t="s">
        <v>1450</v>
      </c>
      <c r="D618" s="118" t="s">
        <v>463</v>
      </c>
      <c r="E618" s="118" t="s">
        <v>1451</v>
      </c>
      <c r="F618" s="119">
        <v>94.438999999999993</v>
      </c>
      <c r="G618" s="119">
        <v>94.866799999999998</v>
      </c>
      <c r="H618" s="119">
        <v>17.52</v>
      </c>
      <c r="I618" s="116">
        <v>346</v>
      </c>
      <c r="J618" s="118" t="s">
        <v>273</v>
      </c>
    </row>
    <row r="619" spans="1:10" x14ac:dyDescent="0.25">
      <c r="A619" s="116">
        <v>616</v>
      </c>
      <c r="B619" s="117" t="s">
        <v>1452</v>
      </c>
      <c r="C619" s="118" t="s">
        <v>1453</v>
      </c>
      <c r="D619" s="118" t="s">
        <v>463</v>
      </c>
      <c r="E619" s="118" t="s">
        <v>1451</v>
      </c>
      <c r="F619" s="119">
        <v>91.666550445331154</v>
      </c>
      <c r="G619" s="119">
        <v>92.133250445331157</v>
      </c>
      <c r="H619" s="119">
        <v>17.72</v>
      </c>
      <c r="I619" s="116">
        <v>1068</v>
      </c>
      <c r="J619" s="118" t="s">
        <v>273</v>
      </c>
    </row>
    <row r="620" spans="1:10" x14ac:dyDescent="0.25">
      <c r="A620" s="116">
        <v>617</v>
      </c>
      <c r="B620" s="117" t="s">
        <v>1454</v>
      </c>
      <c r="C620" s="118" t="s">
        <v>1455</v>
      </c>
      <c r="D620" s="118" t="s">
        <v>453</v>
      </c>
      <c r="E620" s="118" t="s">
        <v>1451</v>
      </c>
      <c r="F620" s="119">
        <v>1003</v>
      </c>
      <c r="G620" s="119">
        <v>1003</v>
      </c>
      <c r="H620" s="119">
        <v>0</v>
      </c>
      <c r="I620" s="116">
        <v>1488</v>
      </c>
      <c r="J620" s="118" t="s">
        <v>242</v>
      </c>
    </row>
    <row r="621" spans="1:10" x14ac:dyDescent="0.25">
      <c r="A621" s="116">
        <v>618</v>
      </c>
      <c r="B621" s="117" t="s">
        <v>2176</v>
      </c>
      <c r="C621" s="118" t="s">
        <v>2177</v>
      </c>
      <c r="D621" s="118" t="s">
        <v>453</v>
      </c>
      <c r="E621" s="118" t="s">
        <v>1451</v>
      </c>
      <c r="F621" s="119">
        <v>100.62</v>
      </c>
      <c r="G621" s="119">
        <v>100.62</v>
      </c>
      <c r="H621" s="119">
        <v>0</v>
      </c>
      <c r="I621" s="116">
        <v>1367</v>
      </c>
      <c r="J621" s="118" t="s">
        <v>242</v>
      </c>
    </row>
    <row r="622" spans="1:10" x14ac:dyDescent="0.25">
      <c r="A622" s="116">
        <v>619</v>
      </c>
      <c r="B622" s="117" t="s">
        <v>1456</v>
      </c>
      <c r="C622" s="118" t="s">
        <v>1457</v>
      </c>
      <c r="D622" s="118" t="s">
        <v>463</v>
      </c>
      <c r="E622" s="118" t="s">
        <v>1458</v>
      </c>
      <c r="F622" s="119">
        <v>100.15768966466331</v>
      </c>
      <c r="G622" s="119">
        <v>103.39658966466331</v>
      </c>
      <c r="H622" s="119">
        <v>21.42</v>
      </c>
      <c r="I622" s="116">
        <v>127</v>
      </c>
      <c r="J622" s="118" t="s">
        <v>273</v>
      </c>
    </row>
    <row r="623" spans="1:10" x14ac:dyDescent="0.25">
      <c r="A623" s="116">
        <v>620</v>
      </c>
      <c r="B623" s="117" t="s">
        <v>1459</v>
      </c>
      <c r="C623" s="118" t="s">
        <v>1460</v>
      </c>
      <c r="D623" s="118" t="s">
        <v>463</v>
      </c>
      <c r="E623" s="118" t="s">
        <v>1458</v>
      </c>
      <c r="F623" s="119">
        <v>99.143515078621462</v>
      </c>
      <c r="G623" s="119">
        <v>100.16851507862147</v>
      </c>
      <c r="H623" s="119">
        <v>21.5</v>
      </c>
      <c r="I623" s="116">
        <v>342</v>
      </c>
      <c r="J623" s="118" t="s">
        <v>273</v>
      </c>
    </row>
    <row r="624" spans="1:10" x14ac:dyDescent="0.25">
      <c r="A624" s="116">
        <v>621</v>
      </c>
      <c r="B624" s="117" t="s">
        <v>2340</v>
      </c>
      <c r="C624" s="118" t="s">
        <v>2341</v>
      </c>
      <c r="D624" s="118" t="s">
        <v>463</v>
      </c>
      <c r="E624" s="118" t="s">
        <v>1458</v>
      </c>
      <c r="F624" s="119">
        <v>99.417798226091122</v>
      </c>
      <c r="G624" s="119">
        <v>100.70109822609113</v>
      </c>
      <c r="H624" s="119">
        <v>21.36</v>
      </c>
      <c r="I624" s="116">
        <v>698</v>
      </c>
      <c r="J624" s="118" t="s">
        <v>273</v>
      </c>
    </row>
    <row r="625" spans="1:10" x14ac:dyDescent="0.25">
      <c r="A625" s="116">
        <v>622</v>
      </c>
      <c r="B625" s="117" t="s">
        <v>1462</v>
      </c>
      <c r="C625" s="118" t="s">
        <v>1463</v>
      </c>
      <c r="D625" s="118" t="s">
        <v>463</v>
      </c>
      <c r="E625" s="118" t="s">
        <v>1461</v>
      </c>
      <c r="F625" s="119">
        <v>99.539202495451462</v>
      </c>
      <c r="G625" s="119">
        <v>100.51140249545146</v>
      </c>
      <c r="H625" s="119">
        <v>13.03</v>
      </c>
      <c r="I625" s="116">
        <v>55</v>
      </c>
      <c r="J625" s="118" t="s">
        <v>273</v>
      </c>
    </row>
    <row r="626" spans="1:10" x14ac:dyDescent="0.25">
      <c r="A626" s="116">
        <v>623</v>
      </c>
      <c r="B626" s="117" t="s">
        <v>1464</v>
      </c>
      <c r="C626" s="118" t="s">
        <v>1465</v>
      </c>
      <c r="D626" s="118" t="s">
        <v>463</v>
      </c>
      <c r="E626" s="118" t="s">
        <v>1461</v>
      </c>
      <c r="F626" s="119">
        <v>99.546139168732395</v>
      </c>
      <c r="G626" s="119">
        <v>100.5461391687324</v>
      </c>
      <c r="H626" s="119">
        <v>13.04</v>
      </c>
      <c r="I626" s="116">
        <v>54</v>
      </c>
      <c r="J626" s="118" t="s">
        <v>273</v>
      </c>
    </row>
    <row r="627" spans="1:10" x14ac:dyDescent="0.25">
      <c r="A627" s="116">
        <v>624</v>
      </c>
      <c r="B627" s="117" t="s">
        <v>1466</v>
      </c>
      <c r="C627" s="118" t="s">
        <v>1467</v>
      </c>
      <c r="D627" s="118" t="s">
        <v>463</v>
      </c>
      <c r="E627" s="118" t="s">
        <v>1461</v>
      </c>
      <c r="F627" s="119">
        <v>97.573710951108154</v>
      </c>
      <c r="G627" s="119">
        <v>98.795910951108155</v>
      </c>
      <c r="H627" s="119">
        <v>22.91</v>
      </c>
      <c r="I627" s="116">
        <v>338</v>
      </c>
      <c r="J627" s="118" t="s">
        <v>273</v>
      </c>
    </row>
    <row r="628" spans="1:10" x14ac:dyDescent="0.25">
      <c r="A628" s="116">
        <v>625</v>
      </c>
      <c r="B628" s="117" t="s">
        <v>2039</v>
      </c>
      <c r="C628" s="118" t="s">
        <v>2040</v>
      </c>
      <c r="D628" s="118" t="s">
        <v>463</v>
      </c>
      <c r="E628" s="118" t="s">
        <v>1461</v>
      </c>
      <c r="F628" s="119">
        <v>101.02131648780677</v>
      </c>
      <c r="G628" s="119">
        <v>102.75461648780677</v>
      </c>
      <c r="H628" s="119">
        <v>12.29</v>
      </c>
      <c r="I628" s="116">
        <v>582</v>
      </c>
      <c r="J628" s="118" t="s">
        <v>273</v>
      </c>
    </row>
    <row r="629" spans="1:10" x14ac:dyDescent="0.25">
      <c r="A629" s="116">
        <v>626</v>
      </c>
      <c r="B629" s="117" t="s">
        <v>2270</v>
      </c>
      <c r="C629" s="118" t="s">
        <v>2271</v>
      </c>
      <c r="D629" s="118" t="s">
        <v>463</v>
      </c>
      <c r="E629" s="118" t="s">
        <v>1461</v>
      </c>
      <c r="F629" s="119">
        <v>94.34383602067696</v>
      </c>
      <c r="G629" s="119">
        <v>97.066036020676947</v>
      </c>
      <c r="H629" s="119">
        <v>22.72</v>
      </c>
      <c r="I629" s="116">
        <v>1031</v>
      </c>
      <c r="J629" s="118" t="s">
        <v>273</v>
      </c>
    </row>
    <row r="630" spans="1:10" x14ac:dyDescent="0.25">
      <c r="A630" s="116">
        <v>627</v>
      </c>
      <c r="B630" s="117" t="s">
        <v>1468</v>
      </c>
      <c r="C630" s="118" t="s">
        <v>1469</v>
      </c>
      <c r="D630" s="118" t="s">
        <v>463</v>
      </c>
      <c r="E630" s="118" t="s">
        <v>1470</v>
      </c>
      <c r="F630" s="119">
        <v>100</v>
      </c>
      <c r="G630" s="119">
        <v>100.0001</v>
      </c>
      <c r="H630" s="119">
        <v>0.02</v>
      </c>
      <c r="I630" s="116">
        <v>3113</v>
      </c>
      <c r="J630" s="118" t="s">
        <v>273</v>
      </c>
    </row>
    <row r="631" spans="1:10" x14ac:dyDescent="0.25">
      <c r="A631" s="116">
        <v>628</v>
      </c>
      <c r="B631" s="117" t="s">
        <v>1471</v>
      </c>
      <c r="C631" s="118" t="s">
        <v>1472</v>
      </c>
      <c r="D631" s="118" t="s">
        <v>463</v>
      </c>
      <c r="E631" s="118" t="s">
        <v>1470</v>
      </c>
      <c r="F631" s="119">
        <v>100</v>
      </c>
      <c r="G631" s="119">
        <v>104.87139999999999</v>
      </c>
      <c r="H631" s="119">
        <v>7.06</v>
      </c>
      <c r="I631" s="116">
        <v>2210</v>
      </c>
      <c r="J631" s="118" t="s">
        <v>273</v>
      </c>
    </row>
    <row r="632" spans="1:10" x14ac:dyDescent="0.25">
      <c r="A632" s="116">
        <v>629</v>
      </c>
      <c r="B632" s="117" t="s">
        <v>1473</v>
      </c>
      <c r="C632" s="118" t="s">
        <v>1474</v>
      </c>
      <c r="D632" s="118" t="s">
        <v>463</v>
      </c>
      <c r="E632" s="118" t="s">
        <v>1470</v>
      </c>
      <c r="F632" s="119">
        <v>100</v>
      </c>
      <c r="G632" s="119">
        <v>100.71169999999999</v>
      </c>
      <c r="H632" s="119">
        <v>6.08</v>
      </c>
      <c r="I632" s="116">
        <v>1728</v>
      </c>
      <c r="J632" s="118" t="s">
        <v>273</v>
      </c>
    </row>
    <row r="633" spans="1:10" x14ac:dyDescent="0.25">
      <c r="A633" s="116">
        <v>630</v>
      </c>
      <c r="B633" s="117" t="s">
        <v>1475</v>
      </c>
      <c r="C633" s="118" t="s">
        <v>1476</v>
      </c>
      <c r="D633" s="118" t="s">
        <v>463</v>
      </c>
      <c r="E633" s="118" t="s">
        <v>1470</v>
      </c>
      <c r="F633" s="119">
        <v>100</v>
      </c>
      <c r="G633" s="119">
        <v>105.5222</v>
      </c>
      <c r="H633" s="119">
        <v>7.08</v>
      </c>
      <c r="I633" s="116">
        <v>2210</v>
      </c>
      <c r="J633" s="118" t="s">
        <v>273</v>
      </c>
    </row>
    <row r="634" spans="1:10" x14ac:dyDescent="0.25">
      <c r="A634" s="116">
        <v>631</v>
      </c>
      <c r="B634" s="117" t="s">
        <v>2445</v>
      </c>
      <c r="C634" s="118" t="s">
        <v>2446</v>
      </c>
      <c r="D634" s="118" t="s">
        <v>463</v>
      </c>
      <c r="E634" s="118" t="s">
        <v>1470</v>
      </c>
      <c r="F634" s="119">
        <v>91.146934647447111</v>
      </c>
      <c r="G634" s="119">
        <v>91.500834647447107</v>
      </c>
      <c r="H634" s="119">
        <v>20.329999999999998</v>
      </c>
      <c r="I634" s="116">
        <v>3593</v>
      </c>
      <c r="J634" s="118" t="s">
        <v>273</v>
      </c>
    </row>
    <row r="635" spans="1:10" x14ac:dyDescent="0.25">
      <c r="A635" s="116">
        <v>632</v>
      </c>
      <c r="B635" s="117" t="s">
        <v>1477</v>
      </c>
      <c r="C635" s="118" t="s">
        <v>1478</v>
      </c>
      <c r="D635" s="118" t="s">
        <v>463</v>
      </c>
      <c r="E635" s="118" t="s">
        <v>1470</v>
      </c>
      <c r="F635" s="119">
        <v>100</v>
      </c>
      <c r="G635" s="119">
        <v>104.1853</v>
      </c>
      <c r="H635" s="119">
        <v>6.07</v>
      </c>
      <c r="I635" s="116">
        <v>2565</v>
      </c>
      <c r="J635" s="118" t="s">
        <v>273</v>
      </c>
    </row>
    <row r="636" spans="1:10" x14ac:dyDescent="0.25">
      <c r="A636" s="116">
        <v>633</v>
      </c>
      <c r="B636" s="117" t="s">
        <v>1479</v>
      </c>
      <c r="C636" s="118" t="s">
        <v>1480</v>
      </c>
      <c r="D636" s="118" t="s">
        <v>463</v>
      </c>
      <c r="E636" s="118" t="s">
        <v>1470</v>
      </c>
      <c r="F636" s="119">
        <v>100</v>
      </c>
      <c r="G636" s="119">
        <v>105.98139999999999</v>
      </c>
      <c r="H636" s="119">
        <v>6.09</v>
      </c>
      <c r="I636" s="116">
        <v>2137</v>
      </c>
      <c r="J636" s="118" t="s">
        <v>273</v>
      </c>
    </row>
    <row r="637" spans="1:10" x14ac:dyDescent="0.25">
      <c r="A637" s="116">
        <v>634</v>
      </c>
      <c r="B637" s="117" t="s">
        <v>1481</v>
      </c>
      <c r="C637" s="118" t="s">
        <v>1482</v>
      </c>
      <c r="D637" s="118" t="s">
        <v>463</v>
      </c>
      <c r="E637" s="118" t="s">
        <v>1470</v>
      </c>
      <c r="F637" s="119">
        <v>100</v>
      </c>
      <c r="G637" s="119">
        <v>104.1853</v>
      </c>
      <c r="H637" s="119">
        <v>6.09</v>
      </c>
      <c r="I637" s="116">
        <v>2632</v>
      </c>
      <c r="J637" s="118" t="s">
        <v>273</v>
      </c>
    </row>
    <row r="638" spans="1:10" x14ac:dyDescent="0.25">
      <c r="A638" s="116">
        <v>635</v>
      </c>
      <c r="B638" s="117" t="s">
        <v>1483</v>
      </c>
      <c r="C638" s="118" t="s">
        <v>1484</v>
      </c>
      <c r="D638" s="118" t="s">
        <v>463</v>
      </c>
      <c r="E638" s="118" t="s">
        <v>1470</v>
      </c>
      <c r="F638" s="119">
        <v>100</v>
      </c>
      <c r="G638" s="119">
        <v>104.8292</v>
      </c>
      <c r="H638" s="119">
        <v>6.08</v>
      </c>
      <c r="I638" s="116">
        <v>2565</v>
      </c>
      <c r="J638" s="118" t="s">
        <v>273</v>
      </c>
    </row>
    <row r="639" spans="1:10" x14ac:dyDescent="0.25">
      <c r="A639" s="116">
        <v>636</v>
      </c>
      <c r="B639" s="117" t="s">
        <v>1485</v>
      </c>
      <c r="C639" s="118" t="s">
        <v>1486</v>
      </c>
      <c r="D639" s="118" t="s">
        <v>463</v>
      </c>
      <c r="E639" s="118" t="s">
        <v>1470</v>
      </c>
      <c r="F639" s="119">
        <v>100</v>
      </c>
      <c r="G639" s="119">
        <v>104.8292</v>
      </c>
      <c r="H639" s="119">
        <v>6.08</v>
      </c>
      <c r="I639" s="116">
        <v>2565</v>
      </c>
      <c r="J639" s="118" t="s">
        <v>273</v>
      </c>
    </row>
    <row r="640" spans="1:10" x14ac:dyDescent="0.25">
      <c r="A640" s="116">
        <v>637</v>
      </c>
      <c r="B640" s="117" t="s">
        <v>1487</v>
      </c>
      <c r="C640" s="118" t="s">
        <v>1488</v>
      </c>
      <c r="D640" s="118" t="s">
        <v>463</v>
      </c>
      <c r="E640" s="118" t="s">
        <v>1470</v>
      </c>
      <c r="F640" s="119">
        <v>100</v>
      </c>
      <c r="G640" s="119">
        <v>103.6939</v>
      </c>
      <c r="H640" s="119">
        <v>6.08</v>
      </c>
      <c r="I640" s="116">
        <v>2632</v>
      </c>
      <c r="J640" s="118" t="s">
        <v>273</v>
      </c>
    </row>
    <row r="641" spans="1:10" x14ac:dyDescent="0.25">
      <c r="A641" s="116">
        <v>638</v>
      </c>
      <c r="B641" s="117" t="s">
        <v>2413</v>
      </c>
      <c r="C641" s="118" t="s">
        <v>2414</v>
      </c>
      <c r="D641" s="118" t="s">
        <v>463</v>
      </c>
      <c r="E641" s="118" t="s">
        <v>2415</v>
      </c>
      <c r="F641" s="119">
        <v>100.95479556412367</v>
      </c>
      <c r="G641" s="119">
        <v>101.16869556412367</v>
      </c>
      <c r="H641" s="119">
        <v>10.62</v>
      </c>
      <c r="I641" s="116">
        <v>1073</v>
      </c>
      <c r="J641" s="118" t="s">
        <v>273</v>
      </c>
    </row>
    <row r="642" spans="1:10" x14ac:dyDescent="0.25">
      <c r="A642" s="116">
        <v>639</v>
      </c>
      <c r="B642" s="117" t="s">
        <v>2288</v>
      </c>
      <c r="C642" s="118" t="s">
        <v>2289</v>
      </c>
      <c r="D642" s="118" t="s">
        <v>463</v>
      </c>
      <c r="E642" s="118" t="s">
        <v>2290</v>
      </c>
      <c r="F642" s="119">
        <v>101.90057167050212</v>
      </c>
      <c r="G642" s="119">
        <v>104.86167167050212</v>
      </c>
      <c r="H642" s="119">
        <v>25.03</v>
      </c>
      <c r="I642" s="116">
        <v>1039</v>
      </c>
      <c r="J642" s="118" t="s">
        <v>273</v>
      </c>
    </row>
    <row r="643" spans="1:10" x14ac:dyDescent="0.25">
      <c r="A643" s="116">
        <v>640</v>
      </c>
      <c r="B643" s="117" t="s">
        <v>1489</v>
      </c>
      <c r="C643" s="118" t="s">
        <v>1490</v>
      </c>
      <c r="D643" s="118" t="s">
        <v>453</v>
      </c>
      <c r="E643" s="118" t="s">
        <v>1491</v>
      </c>
      <c r="F643" s="119">
        <v>52664.62</v>
      </c>
      <c r="G643" s="119">
        <v>52664.62</v>
      </c>
      <c r="H643" s="119">
        <v>0</v>
      </c>
      <c r="I643" s="116">
        <v>0</v>
      </c>
      <c r="J643" s="118" t="s">
        <v>242</v>
      </c>
    </row>
    <row r="644" spans="1:10" x14ac:dyDescent="0.25">
      <c r="A644" s="116">
        <v>641</v>
      </c>
      <c r="B644" s="117" t="s">
        <v>389</v>
      </c>
      <c r="C644" s="118" t="s">
        <v>390</v>
      </c>
      <c r="D644" s="118" t="s">
        <v>463</v>
      </c>
      <c r="E644" s="118" t="s">
        <v>111</v>
      </c>
      <c r="F644" s="119">
        <v>96.779799999999994</v>
      </c>
      <c r="G644" s="119">
        <v>96.779799999999994</v>
      </c>
      <c r="H644" s="119">
        <v>15.57</v>
      </c>
      <c r="I644" s="116">
        <v>78</v>
      </c>
      <c r="J644" s="118" t="s">
        <v>273</v>
      </c>
    </row>
    <row r="645" spans="1:10" x14ac:dyDescent="0.25">
      <c r="A645" s="116">
        <v>642</v>
      </c>
      <c r="B645" s="117" t="s">
        <v>2043</v>
      </c>
      <c r="C645" s="118" t="s">
        <v>2044</v>
      </c>
      <c r="D645" s="118" t="s">
        <v>463</v>
      </c>
      <c r="E645" s="118" t="s">
        <v>111</v>
      </c>
      <c r="F645" s="119">
        <v>92.428700000000006</v>
      </c>
      <c r="G645" s="119">
        <v>92.428700000000006</v>
      </c>
      <c r="H645" s="119">
        <v>16.34</v>
      </c>
      <c r="I645" s="116">
        <v>183</v>
      </c>
      <c r="J645" s="118" t="s">
        <v>273</v>
      </c>
    </row>
    <row r="646" spans="1:10" x14ac:dyDescent="0.25">
      <c r="A646" s="116">
        <v>643</v>
      </c>
      <c r="B646" s="117" t="s">
        <v>2197</v>
      </c>
      <c r="C646" s="118" t="s">
        <v>2198</v>
      </c>
      <c r="D646" s="118" t="s">
        <v>463</v>
      </c>
      <c r="E646" s="118" t="s">
        <v>111</v>
      </c>
      <c r="F646" s="119">
        <v>88.578900000000004</v>
      </c>
      <c r="G646" s="119">
        <v>88.578900000000004</v>
      </c>
      <c r="H646" s="119">
        <v>16.75</v>
      </c>
      <c r="I646" s="116">
        <v>281</v>
      </c>
      <c r="J646" s="118" t="s">
        <v>273</v>
      </c>
    </row>
    <row r="647" spans="1:10" x14ac:dyDescent="0.25">
      <c r="A647" s="116">
        <v>644</v>
      </c>
      <c r="B647" s="117" t="s">
        <v>1492</v>
      </c>
      <c r="C647" s="118" t="s">
        <v>1493</v>
      </c>
      <c r="D647" s="118" t="s">
        <v>453</v>
      </c>
      <c r="E647" s="118" t="s">
        <v>1494</v>
      </c>
      <c r="F647" s="119">
        <v>0.01</v>
      </c>
      <c r="G647" s="119">
        <v>0.01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1495</v>
      </c>
      <c r="C648" s="118" t="s">
        <v>1496</v>
      </c>
      <c r="D648" s="118" t="s">
        <v>453</v>
      </c>
      <c r="E648" s="118" t="s">
        <v>1494</v>
      </c>
      <c r="F648" s="119">
        <v>5695</v>
      </c>
      <c r="G648" s="119">
        <v>5695</v>
      </c>
      <c r="H648" s="119">
        <v>0</v>
      </c>
      <c r="I648" s="116">
        <v>0</v>
      </c>
      <c r="J648" s="118" t="s">
        <v>242</v>
      </c>
    </row>
    <row r="649" spans="1:10" x14ac:dyDescent="0.25">
      <c r="A649" s="116">
        <v>646</v>
      </c>
      <c r="B649" s="117" t="s">
        <v>1497</v>
      </c>
      <c r="C649" s="118" t="s">
        <v>1498</v>
      </c>
      <c r="D649" s="118" t="s">
        <v>453</v>
      </c>
      <c r="E649" s="118" t="s">
        <v>1499</v>
      </c>
      <c r="F649" s="119">
        <v>13000</v>
      </c>
      <c r="G649" s="119">
        <v>13000</v>
      </c>
      <c r="H649" s="119">
        <v>0</v>
      </c>
      <c r="I649" s="116">
        <v>0</v>
      </c>
      <c r="J649" s="118" t="s">
        <v>242</v>
      </c>
    </row>
    <row r="650" spans="1:10" x14ac:dyDescent="0.25">
      <c r="A650" s="116">
        <v>647</v>
      </c>
      <c r="B650" s="117" t="s">
        <v>1500</v>
      </c>
      <c r="C650" s="118" t="s">
        <v>1501</v>
      </c>
      <c r="D650" s="118" t="s">
        <v>463</v>
      </c>
      <c r="E650" s="118" t="s">
        <v>1502</v>
      </c>
      <c r="F650" s="119">
        <v>89.222994785091473</v>
      </c>
      <c r="G650" s="119">
        <v>91.372994785091478</v>
      </c>
      <c r="H650" s="119">
        <v>10.79</v>
      </c>
      <c r="I650" s="116">
        <v>951</v>
      </c>
      <c r="J650" s="118" t="s">
        <v>273</v>
      </c>
    </row>
    <row r="651" spans="1:10" x14ac:dyDescent="0.25">
      <c r="A651" s="116">
        <v>648</v>
      </c>
      <c r="B651" s="117" t="s">
        <v>117</v>
      </c>
      <c r="C651" s="118" t="s">
        <v>4</v>
      </c>
      <c r="D651" s="118" t="s">
        <v>463</v>
      </c>
      <c r="E651" s="118" t="s">
        <v>111</v>
      </c>
      <c r="F651" s="119">
        <v>97.5702</v>
      </c>
      <c r="G651" s="119">
        <v>98.044399999999996</v>
      </c>
      <c r="H651" s="119">
        <v>16.38</v>
      </c>
      <c r="I651" s="116">
        <v>164</v>
      </c>
      <c r="J651" s="118" t="s">
        <v>273</v>
      </c>
    </row>
    <row r="652" spans="1:10" x14ac:dyDescent="0.25">
      <c r="A652" s="116">
        <v>649</v>
      </c>
      <c r="B652" s="117" t="s">
        <v>118</v>
      </c>
      <c r="C652" s="118" t="s">
        <v>119</v>
      </c>
      <c r="D652" s="118" t="s">
        <v>463</v>
      </c>
      <c r="E652" s="118" t="s">
        <v>111</v>
      </c>
      <c r="F652" s="119">
        <v>97.893000000000001</v>
      </c>
      <c r="G652" s="119">
        <v>99.535399999999996</v>
      </c>
      <c r="H652" s="119">
        <v>16.350000000000001</v>
      </c>
      <c r="I652" s="116">
        <v>317</v>
      </c>
      <c r="J652" s="118" t="s">
        <v>273</v>
      </c>
    </row>
    <row r="653" spans="1:10" x14ac:dyDescent="0.25">
      <c r="A653" s="116">
        <v>650</v>
      </c>
      <c r="B653" s="117" t="s">
        <v>120</v>
      </c>
      <c r="C653" s="118" t="s">
        <v>121</v>
      </c>
      <c r="D653" s="118" t="s">
        <v>463</v>
      </c>
      <c r="E653" s="118" t="s">
        <v>111</v>
      </c>
      <c r="F653" s="119">
        <v>97.561899999999994</v>
      </c>
      <c r="G653" s="119">
        <v>103.0061</v>
      </c>
      <c r="H653" s="119">
        <v>16.350000000000001</v>
      </c>
      <c r="I653" s="116">
        <v>399</v>
      </c>
      <c r="J653" s="118" t="s">
        <v>273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463</v>
      </c>
      <c r="E654" s="118" t="s">
        <v>111</v>
      </c>
      <c r="F654" s="119">
        <v>94.821799999999996</v>
      </c>
      <c r="G654" s="119">
        <v>94.909300000000002</v>
      </c>
      <c r="H654" s="119">
        <v>16.36</v>
      </c>
      <c r="I654" s="116">
        <v>357</v>
      </c>
      <c r="J654" s="118" t="s">
        <v>273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463</v>
      </c>
      <c r="E655" s="118" t="s">
        <v>111</v>
      </c>
      <c r="F655" s="119">
        <v>98.449200000000005</v>
      </c>
      <c r="G655" s="119">
        <v>101.8177</v>
      </c>
      <c r="H655" s="119">
        <v>16.149999999999999</v>
      </c>
      <c r="I655" s="116">
        <v>821</v>
      </c>
      <c r="J655" s="118" t="s">
        <v>273</v>
      </c>
    </row>
    <row r="656" spans="1:10" x14ac:dyDescent="0.25">
      <c r="A656" s="116">
        <v>653</v>
      </c>
      <c r="B656" s="117" t="s">
        <v>1503</v>
      </c>
      <c r="C656" s="118" t="s">
        <v>1504</v>
      </c>
      <c r="D656" s="118" t="s">
        <v>453</v>
      </c>
      <c r="E656" s="118" t="s">
        <v>1505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1506</v>
      </c>
      <c r="C657" s="118" t="s">
        <v>1507</v>
      </c>
      <c r="D657" s="118" t="s">
        <v>453</v>
      </c>
      <c r="E657" s="118" t="s">
        <v>1508</v>
      </c>
      <c r="F657" s="119">
        <v>14391.8559</v>
      </c>
      <c r="G657" s="119">
        <v>14391.8559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1509</v>
      </c>
      <c r="C658" s="118" t="s">
        <v>1510</v>
      </c>
      <c r="D658" s="118" t="s">
        <v>453</v>
      </c>
      <c r="E658" s="118" t="s">
        <v>1511</v>
      </c>
      <c r="F658" s="119">
        <v>282247.44795</v>
      </c>
      <c r="G658" s="119">
        <v>282247.44795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1512</v>
      </c>
      <c r="C659" s="118" t="s">
        <v>1513</v>
      </c>
      <c r="D659" s="118" t="s">
        <v>453</v>
      </c>
      <c r="E659" s="118" t="s">
        <v>1514</v>
      </c>
      <c r="F659" s="119">
        <v>100622.11904999999</v>
      </c>
      <c r="G659" s="119">
        <v>100622.11904999999</v>
      </c>
      <c r="H659" s="119">
        <v>0</v>
      </c>
      <c r="I659" s="116">
        <v>0</v>
      </c>
      <c r="J659" s="118" t="s">
        <v>242</v>
      </c>
    </row>
    <row r="660" spans="1:10" x14ac:dyDescent="0.25">
      <c r="A660" s="116">
        <v>657</v>
      </c>
      <c r="B660" s="117" t="s">
        <v>2418</v>
      </c>
      <c r="C660" s="118" t="s">
        <v>2412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16.669</v>
      </c>
      <c r="I660" s="116">
        <v>1453</v>
      </c>
      <c r="J660" s="118" t="s">
        <v>273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16.992999999999999</v>
      </c>
      <c r="I661" s="116">
        <v>392</v>
      </c>
      <c r="J661" s="118" t="s">
        <v>273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17.143000000000001</v>
      </c>
      <c r="I662" s="116">
        <v>787</v>
      </c>
      <c r="J662" s="118" t="s">
        <v>273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17.343</v>
      </c>
      <c r="I663" s="116">
        <v>1181</v>
      </c>
      <c r="J663" s="118" t="s">
        <v>273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17.443000000000001</v>
      </c>
      <c r="I664" s="116">
        <v>1646</v>
      </c>
      <c r="J664" s="118" t="s">
        <v>273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463</v>
      </c>
      <c r="E665" s="118" t="s">
        <v>111</v>
      </c>
      <c r="F665" s="119">
        <v>100</v>
      </c>
      <c r="G665" s="119">
        <v>100</v>
      </c>
      <c r="H665" s="119">
        <v>17.542999999999999</v>
      </c>
      <c r="I665" s="116">
        <v>1956</v>
      </c>
      <c r="J665" s="118" t="s">
        <v>273</v>
      </c>
    </row>
    <row r="666" spans="1:10" x14ac:dyDescent="0.25">
      <c r="A666" s="116">
        <v>663</v>
      </c>
      <c r="B666" s="117" t="s">
        <v>287</v>
      </c>
      <c r="C666" s="118" t="s">
        <v>288</v>
      </c>
      <c r="D666" s="118" t="s">
        <v>463</v>
      </c>
      <c r="E666" s="118" t="s">
        <v>111</v>
      </c>
      <c r="F666" s="119">
        <v>99.859399999999994</v>
      </c>
      <c r="G666" s="119">
        <v>99.859399999999994</v>
      </c>
      <c r="H666" s="119">
        <v>11.798</v>
      </c>
      <c r="I666" s="116">
        <v>110</v>
      </c>
      <c r="J666" s="118" t="s">
        <v>273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463</v>
      </c>
      <c r="E667" s="118" t="s">
        <v>111</v>
      </c>
      <c r="F667" s="119">
        <v>99.916300000000007</v>
      </c>
      <c r="G667" s="119">
        <v>99.916300000000007</v>
      </c>
      <c r="H667" s="119">
        <v>11.798</v>
      </c>
      <c r="I667" s="116">
        <v>413</v>
      </c>
      <c r="J667" s="118" t="s">
        <v>273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463</v>
      </c>
      <c r="E668" s="118" t="s">
        <v>111</v>
      </c>
      <c r="F668" s="119">
        <v>99.850099999999998</v>
      </c>
      <c r="G668" s="119">
        <v>99.850099999999998</v>
      </c>
      <c r="H668" s="119">
        <v>11.798</v>
      </c>
      <c r="I668" s="116">
        <v>232</v>
      </c>
      <c r="J668" s="118" t="s">
        <v>273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463</v>
      </c>
      <c r="E669" s="118" t="s">
        <v>111</v>
      </c>
      <c r="F669" s="119">
        <v>99.963300000000004</v>
      </c>
      <c r="G669" s="119">
        <v>99.963300000000004</v>
      </c>
      <c r="H669" s="119">
        <v>11.798</v>
      </c>
      <c r="I669" s="116">
        <v>381</v>
      </c>
      <c r="J669" s="118" t="s">
        <v>273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463</v>
      </c>
      <c r="E670" s="118" t="s">
        <v>111</v>
      </c>
      <c r="F670" s="119">
        <v>99.884100000000004</v>
      </c>
      <c r="G670" s="119">
        <v>99.884100000000004</v>
      </c>
      <c r="H670" s="119">
        <v>11.798</v>
      </c>
      <c r="I670" s="116">
        <v>81</v>
      </c>
      <c r="J670" s="118" t="s">
        <v>273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463</v>
      </c>
      <c r="E671" s="118" t="s">
        <v>111</v>
      </c>
      <c r="F671" s="119">
        <v>99.847300000000004</v>
      </c>
      <c r="G671" s="119">
        <v>99.847300000000004</v>
      </c>
      <c r="H671" s="119">
        <v>11.888</v>
      </c>
      <c r="I671" s="116">
        <v>1206</v>
      </c>
      <c r="J671" s="118" t="s">
        <v>273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463</v>
      </c>
      <c r="E672" s="118" t="s">
        <v>111</v>
      </c>
      <c r="F672" s="119">
        <v>99.883099999999999</v>
      </c>
      <c r="G672" s="119">
        <v>99.883099999999999</v>
      </c>
      <c r="H672" s="119">
        <v>11.798</v>
      </c>
      <c r="I672" s="116">
        <v>82</v>
      </c>
      <c r="J672" s="118" t="s">
        <v>273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463</v>
      </c>
      <c r="E673" s="118" t="s">
        <v>111</v>
      </c>
      <c r="F673" s="119">
        <v>99.899299999999997</v>
      </c>
      <c r="G673" s="119">
        <v>99.899299999999997</v>
      </c>
      <c r="H673" s="119">
        <v>11.798</v>
      </c>
      <c r="I673" s="116">
        <v>291</v>
      </c>
      <c r="J673" s="118" t="s">
        <v>273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463</v>
      </c>
      <c r="E674" s="118" t="s">
        <v>111</v>
      </c>
      <c r="F674" s="119">
        <v>99.834900000000005</v>
      </c>
      <c r="G674" s="119">
        <v>99.834900000000005</v>
      </c>
      <c r="H674" s="119">
        <v>11.888</v>
      </c>
      <c r="I674" s="116">
        <v>1637</v>
      </c>
      <c r="J674" s="118" t="s">
        <v>273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463</v>
      </c>
      <c r="E675" s="118" t="s">
        <v>111</v>
      </c>
      <c r="F675" s="119">
        <v>99.899299999999997</v>
      </c>
      <c r="G675" s="119">
        <v>99.899299999999997</v>
      </c>
      <c r="H675" s="119">
        <v>11.798</v>
      </c>
      <c r="I675" s="116">
        <v>291</v>
      </c>
      <c r="J675" s="118" t="s">
        <v>273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463</v>
      </c>
      <c r="E676" s="118" t="s">
        <v>111</v>
      </c>
      <c r="F676" s="119">
        <v>99.987700000000004</v>
      </c>
      <c r="G676" s="119">
        <v>99.987700000000004</v>
      </c>
      <c r="H676" s="119">
        <v>11.798</v>
      </c>
      <c r="I676" s="116">
        <v>353</v>
      </c>
      <c r="J676" s="118" t="s">
        <v>273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463</v>
      </c>
      <c r="E677" s="118" t="s">
        <v>111</v>
      </c>
      <c r="F677" s="119">
        <v>99.870800000000003</v>
      </c>
      <c r="G677" s="119">
        <v>99.870800000000003</v>
      </c>
      <c r="H677" s="119">
        <v>11.798</v>
      </c>
      <c r="I677" s="116">
        <v>622</v>
      </c>
      <c r="J677" s="118" t="s">
        <v>273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463</v>
      </c>
      <c r="E678" s="118" t="s">
        <v>111</v>
      </c>
      <c r="F678" s="119">
        <v>99.986000000000004</v>
      </c>
      <c r="G678" s="119">
        <v>99.986000000000004</v>
      </c>
      <c r="H678" s="119">
        <v>11.798</v>
      </c>
      <c r="I678" s="116">
        <v>712</v>
      </c>
      <c r="J678" s="118" t="s">
        <v>273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463</v>
      </c>
      <c r="E679" s="118" t="s">
        <v>111</v>
      </c>
      <c r="F679" s="119">
        <v>99.838200000000001</v>
      </c>
      <c r="G679" s="119">
        <v>99.838200000000001</v>
      </c>
      <c r="H679" s="119">
        <v>11.798</v>
      </c>
      <c r="I679" s="116">
        <v>1281</v>
      </c>
      <c r="J679" s="118" t="s">
        <v>273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463</v>
      </c>
      <c r="E680" s="118" t="s">
        <v>111</v>
      </c>
      <c r="F680" s="119">
        <v>99.937399999999997</v>
      </c>
      <c r="G680" s="119">
        <v>99.937399999999997</v>
      </c>
      <c r="H680" s="119">
        <v>11.798</v>
      </c>
      <c r="I680" s="116">
        <v>1401</v>
      </c>
      <c r="J680" s="118" t="s">
        <v>273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463</v>
      </c>
      <c r="E681" s="118" t="s">
        <v>111</v>
      </c>
      <c r="F681" s="119">
        <v>99.938800000000001</v>
      </c>
      <c r="G681" s="119">
        <v>99.938800000000001</v>
      </c>
      <c r="H681" s="119">
        <v>11.798</v>
      </c>
      <c r="I681" s="116">
        <v>682</v>
      </c>
      <c r="J681" s="118" t="s">
        <v>273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463</v>
      </c>
      <c r="E682" s="118" t="s">
        <v>111</v>
      </c>
      <c r="F682" s="119">
        <v>99.860100000000003</v>
      </c>
      <c r="G682" s="119">
        <v>99.860100000000003</v>
      </c>
      <c r="H682" s="119">
        <v>11.798</v>
      </c>
      <c r="I682" s="116">
        <v>829</v>
      </c>
      <c r="J682" s="118" t="s">
        <v>273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463</v>
      </c>
      <c r="E683" s="118" t="s">
        <v>111</v>
      </c>
      <c r="F683" s="119">
        <v>99.837500000000006</v>
      </c>
      <c r="G683" s="119">
        <v>99.837500000000006</v>
      </c>
      <c r="H683" s="119">
        <v>11.798</v>
      </c>
      <c r="I683" s="116">
        <v>918</v>
      </c>
      <c r="J683" s="118" t="s">
        <v>273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463</v>
      </c>
      <c r="E684" s="118" t="s">
        <v>111</v>
      </c>
      <c r="F684" s="119">
        <v>99.9649</v>
      </c>
      <c r="G684" s="119">
        <v>99.9649</v>
      </c>
      <c r="H684" s="119">
        <v>11.798</v>
      </c>
      <c r="I684" s="116">
        <v>1460</v>
      </c>
      <c r="J684" s="118" t="s">
        <v>273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463</v>
      </c>
      <c r="E685" s="118" t="s">
        <v>111</v>
      </c>
      <c r="F685" s="119">
        <v>99.901499999999999</v>
      </c>
      <c r="G685" s="119">
        <v>99.901499999999999</v>
      </c>
      <c r="H685" s="119">
        <v>11.798</v>
      </c>
      <c r="I685" s="116">
        <v>1733</v>
      </c>
      <c r="J685" s="118" t="s">
        <v>273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463</v>
      </c>
      <c r="E686" s="118" t="s">
        <v>111</v>
      </c>
      <c r="F686" s="119">
        <v>99.9649</v>
      </c>
      <c r="G686" s="119">
        <v>99.9649</v>
      </c>
      <c r="H686" s="119">
        <v>11.798</v>
      </c>
      <c r="I686" s="116">
        <v>1100</v>
      </c>
      <c r="J686" s="118" t="s">
        <v>273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463</v>
      </c>
      <c r="E687" s="118" t="s">
        <v>111</v>
      </c>
      <c r="F687" s="119">
        <v>99.841899999999995</v>
      </c>
      <c r="G687" s="119">
        <v>99.841899999999995</v>
      </c>
      <c r="H687" s="119">
        <v>11.798</v>
      </c>
      <c r="I687" s="116">
        <v>1223</v>
      </c>
      <c r="J687" s="118" t="s">
        <v>273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463</v>
      </c>
      <c r="E688" s="118" t="s">
        <v>111</v>
      </c>
      <c r="F688" s="119">
        <v>99.938800000000001</v>
      </c>
      <c r="G688" s="119">
        <v>99.938800000000001</v>
      </c>
      <c r="H688" s="119">
        <v>11.798</v>
      </c>
      <c r="I688" s="116">
        <v>1402</v>
      </c>
      <c r="J688" s="118" t="s">
        <v>273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463</v>
      </c>
      <c r="E689" s="118" t="s">
        <v>111</v>
      </c>
      <c r="F689" s="119">
        <v>99.835800000000006</v>
      </c>
      <c r="G689" s="119">
        <v>99.835800000000006</v>
      </c>
      <c r="H689" s="119">
        <v>11.798</v>
      </c>
      <c r="I689" s="116">
        <v>1611</v>
      </c>
      <c r="J689" s="118" t="s">
        <v>273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463</v>
      </c>
      <c r="E690" s="118" t="s">
        <v>111</v>
      </c>
      <c r="F690" s="119">
        <v>99.917599999999993</v>
      </c>
      <c r="G690" s="119">
        <v>99.917599999999993</v>
      </c>
      <c r="H690" s="119">
        <v>11.798</v>
      </c>
      <c r="I690" s="116">
        <v>1852</v>
      </c>
      <c r="J690" s="118" t="s">
        <v>273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463</v>
      </c>
      <c r="E691" s="118" t="s">
        <v>111</v>
      </c>
      <c r="F691" s="119">
        <v>99.920299999999997</v>
      </c>
      <c r="G691" s="119">
        <v>99.920299999999997</v>
      </c>
      <c r="H691" s="119">
        <v>11.798</v>
      </c>
      <c r="I691" s="116">
        <v>2210</v>
      </c>
      <c r="J691" s="118" t="s">
        <v>273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463</v>
      </c>
      <c r="E692" s="118" t="s">
        <v>111</v>
      </c>
      <c r="F692" s="119">
        <v>99.842299999999994</v>
      </c>
      <c r="G692" s="119">
        <v>99.842299999999994</v>
      </c>
      <c r="H692" s="119">
        <v>11.798</v>
      </c>
      <c r="I692" s="116">
        <v>2302</v>
      </c>
      <c r="J692" s="118" t="s">
        <v>273</v>
      </c>
    </row>
    <row r="693" spans="1:10" x14ac:dyDescent="0.25">
      <c r="A693" s="116">
        <v>690</v>
      </c>
      <c r="B693" s="117" t="s">
        <v>136</v>
      </c>
      <c r="C693" s="118" t="s">
        <v>137</v>
      </c>
      <c r="D693" s="118" t="s">
        <v>463</v>
      </c>
      <c r="E693" s="118" t="s">
        <v>111</v>
      </c>
      <c r="F693" s="119">
        <v>90.6083</v>
      </c>
      <c r="G693" s="119">
        <v>92.861599999999996</v>
      </c>
      <c r="H693" s="119">
        <v>16.829999999999998</v>
      </c>
      <c r="I693" s="116">
        <v>642</v>
      </c>
      <c r="J693" s="118" t="s">
        <v>273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463</v>
      </c>
      <c r="E694" s="118" t="s">
        <v>111</v>
      </c>
      <c r="F694" s="119">
        <v>96.160799999999995</v>
      </c>
      <c r="G694" s="119">
        <v>102.7058</v>
      </c>
      <c r="H694" s="119">
        <v>16.7</v>
      </c>
      <c r="I694" s="116">
        <v>1286</v>
      </c>
      <c r="J694" s="118" t="s">
        <v>273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463</v>
      </c>
      <c r="E695" s="118" t="s">
        <v>111</v>
      </c>
      <c r="F695" s="119">
        <v>85.615099999999998</v>
      </c>
      <c r="G695" s="119">
        <v>90.615099999999998</v>
      </c>
      <c r="H695" s="119">
        <v>16.66</v>
      </c>
      <c r="I695" s="116">
        <v>1650</v>
      </c>
      <c r="J695" s="118" t="s">
        <v>273</v>
      </c>
    </row>
    <row r="696" spans="1:10" x14ac:dyDescent="0.25">
      <c r="A696" s="116">
        <v>693</v>
      </c>
      <c r="B696" s="117" t="s">
        <v>142</v>
      </c>
      <c r="C696" s="118" t="s">
        <v>6</v>
      </c>
      <c r="D696" s="118" t="s">
        <v>463</v>
      </c>
      <c r="E696" s="118" t="s">
        <v>111</v>
      </c>
      <c r="F696" s="119">
        <v>86.933199999999999</v>
      </c>
      <c r="G696" s="119">
        <v>90.255399999999995</v>
      </c>
      <c r="H696" s="119">
        <v>16.760000000000002</v>
      </c>
      <c r="I696" s="116">
        <v>965</v>
      </c>
      <c r="J696" s="118" t="s">
        <v>273</v>
      </c>
    </row>
    <row r="697" spans="1:10" x14ac:dyDescent="0.25">
      <c r="A697" s="116">
        <v>694</v>
      </c>
      <c r="B697" s="117" t="s">
        <v>143</v>
      </c>
      <c r="C697" s="118" t="s">
        <v>144</v>
      </c>
      <c r="D697" s="118" t="s">
        <v>463</v>
      </c>
      <c r="E697" s="118" t="s">
        <v>111</v>
      </c>
      <c r="F697" s="119">
        <v>83.702299999999994</v>
      </c>
      <c r="G697" s="119">
        <v>89.202299999999994</v>
      </c>
      <c r="H697" s="119">
        <v>16.66</v>
      </c>
      <c r="I697" s="116">
        <v>1995</v>
      </c>
      <c r="J697" s="118" t="s">
        <v>273</v>
      </c>
    </row>
    <row r="698" spans="1:10" x14ac:dyDescent="0.25">
      <c r="A698" s="116">
        <v>695</v>
      </c>
      <c r="B698" s="117" t="s">
        <v>2077</v>
      </c>
      <c r="C698" s="118" t="s">
        <v>2078</v>
      </c>
      <c r="D698" s="118" t="s">
        <v>463</v>
      </c>
      <c r="E698" s="118" t="s">
        <v>111</v>
      </c>
      <c r="F698" s="119">
        <v>91.957300000000004</v>
      </c>
      <c r="G698" s="119">
        <v>98.081199999999995</v>
      </c>
      <c r="H698" s="119">
        <v>16.63</v>
      </c>
      <c r="I698" s="116">
        <v>2369</v>
      </c>
      <c r="J698" s="118" t="s">
        <v>273</v>
      </c>
    </row>
    <row r="699" spans="1:10" x14ac:dyDescent="0.25">
      <c r="A699" s="116">
        <v>696</v>
      </c>
      <c r="B699" s="117" t="s">
        <v>145</v>
      </c>
      <c r="C699" s="118" t="s">
        <v>146</v>
      </c>
      <c r="D699" s="118" t="s">
        <v>463</v>
      </c>
      <c r="E699" s="118" t="s">
        <v>111</v>
      </c>
      <c r="F699" s="119">
        <v>85.195099999999996</v>
      </c>
      <c r="G699" s="119">
        <v>93.338399999999993</v>
      </c>
      <c r="H699" s="119">
        <v>16.72</v>
      </c>
      <c r="I699" s="116">
        <v>1160</v>
      </c>
      <c r="J699" s="118" t="s">
        <v>273</v>
      </c>
    </row>
    <row r="700" spans="1:10" x14ac:dyDescent="0.25">
      <c r="A700" s="116">
        <v>697</v>
      </c>
      <c r="B700" s="117" t="s">
        <v>147</v>
      </c>
      <c r="C700" s="118" t="s">
        <v>8</v>
      </c>
      <c r="D700" s="118" t="s">
        <v>463</v>
      </c>
      <c r="E700" s="118" t="s">
        <v>111</v>
      </c>
      <c r="F700" s="119">
        <v>83.147400000000005</v>
      </c>
      <c r="G700" s="119">
        <v>83.411199999999994</v>
      </c>
      <c r="H700" s="119">
        <v>16.670000000000002</v>
      </c>
      <c r="I700" s="116">
        <v>1431</v>
      </c>
      <c r="J700" s="118" t="s">
        <v>273</v>
      </c>
    </row>
    <row r="701" spans="1:10" x14ac:dyDescent="0.25">
      <c r="A701" s="116">
        <v>698</v>
      </c>
      <c r="B701" s="117" t="s">
        <v>148</v>
      </c>
      <c r="C701" s="118" t="s">
        <v>149</v>
      </c>
      <c r="D701" s="118" t="s">
        <v>463</v>
      </c>
      <c r="E701" s="118" t="s">
        <v>111</v>
      </c>
      <c r="F701" s="119">
        <v>82.736099999999993</v>
      </c>
      <c r="G701" s="119">
        <v>88.327799999999996</v>
      </c>
      <c r="H701" s="119">
        <v>16.690000000000001</v>
      </c>
      <c r="I701" s="116">
        <v>1617</v>
      </c>
      <c r="J701" s="118" t="s">
        <v>273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463</v>
      </c>
      <c r="E702" s="118" t="s">
        <v>111</v>
      </c>
      <c r="F702" s="119">
        <v>90.485699999999994</v>
      </c>
      <c r="G702" s="119">
        <v>93.791300000000007</v>
      </c>
      <c r="H702" s="119">
        <v>16.64</v>
      </c>
      <c r="I702" s="116">
        <v>2075</v>
      </c>
      <c r="J702" s="118" t="s">
        <v>273</v>
      </c>
    </row>
    <row r="703" spans="1:10" x14ac:dyDescent="0.25">
      <c r="A703" s="116">
        <v>700</v>
      </c>
      <c r="B703" s="117" t="s">
        <v>2255</v>
      </c>
      <c r="C703" s="118" t="s">
        <v>2256</v>
      </c>
      <c r="D703" s="118" t="s">
        <v>463</v>
      </c>
      <c r="E703" s="118" t="s">
        <v>111</v>
      </c>
      <c r="F703" s="119">
        <v>90.691100000000006</v>
      </c>
      <c r="G703" s="119">
        <v>93.179699999999997</v>
      </c>
      <c r="H703" s="119">
        <v>16.62</v>
      </c>
      <c r="I703" s="116">
        <v>2818</v>
      </c>
      <c r="J703" s="118" t="s">
        <v>273</v>
      </c>
    </row>
    <row r="704" spans="1:10" x14ac:dyDescent="0.25">
      <c r="A704" s="116">
        <v>701</v>
      </c>
      <c r="B704" s="117" t="s">
        <v>152</v>
      </c>
      <c r="C704" s="118" t="s">
        <v>153</v>
      </c>
      <c r="D704" s="118" t="s">
        <v>463</v>
      </c>
      <c r="E704" s="118" t="s">
        <v>111</v>
      </c>
      <c r="F704" s="119">
        <v>93.770099999999999</v>
      </c>
      <c r="G704" s="119">
        <v>94.629499999999993</v>
      </c>
      <c r="H704" s="119">
        <v>17.02</v>
      </c>
      <c r="I704" s="116">
        <v>326</v>
      </c>
      <c r="J704" s="118" t="s">
        <v>273</v>
      </c>
    </row>
    <row r="705" spans="1:10" x14ac:dyDescent="0.25">
      <c r="A705" s="116">
        <v>702</v>
      </c>
      <c r="B705" s="117" t="s">
        <v>154</v>
      </c>
      <c r="C705" s="118" t="s">
        <v>7</v>
      </c>
      <c r="D705" s="118" t="s">
        <v>463</v>
      </c>
      <c r="E705" s="118" t="s">
        <v>111</v>
      </c>
      <c r="F705" s="119">
        <v>85.108999999999995</v>
      </c>
      <c r="G705" s="119">
        <v>88.989599999999996</v>
      </c>
      <c r="H705" s="119">
        <v>16.7</v>
      </c>
      <c r="I705" s="116">
        <v>1313</v>
      </c>
      <c r="J705" s="118" t="s">
        <v>273</v>
      </c>
    </row>
    <row r="706" spans="1:10" x14ac:dyDescent="0.25">
      <c r="A706" s="116">
        <v>703</v>
      </c>
      <c r="B706" s="117" t="s">
        <v>155</v>
      </c>
      <c r="C706" s="118" t="s">
        <v>156</v>
      </c>
      <c r="D706" s="118" t="s">
        <v>463</v>
      </c>
      <c r="E706" s="118" t="s">
        <v>111</v>
      </c>
      <c r="F706" s="119">
        <v>89.588200000000001</v>
      </c>
      <c r="G706" s="119">
        <v>92.621499999999997</v>
      </c>
      <c r="H706" s="119">
        <v>16.63</v>
      </c>
      <c r="I706" s="116">
        <v>2442</v>
      </c>
      <c r="J706" s="118" t="s">
        <v>273</v>
      </c>
    </row>
    <row r="707" spans="1:10" x14ac:dyDescent="0.25">
      <c r="A707" s="116">
        <v>704</v>
      </c>
      <c r="B707" s="117" t="s">
        <v>2079</v>
      </c>
      <c r="C707" s="118" t="s">
        <v>2080</v>
      </c>
      <c r="D707" s="118" t="s">
        <v>463</v>
      </c>
      <c r="E707" s="118" t="s">
        <v>111</v>
      </c>
      <c r="F707" s="119">
        <v>90.423599999999993</v>
      </c>
      <c r="G707" s="119">
        <v>96.505499999999998</v>
      </c>
      <c r="H707" s="119">
        <v>16.61</v>
      </c>
      <c r="I707" s="116">
        <v>3089</v>
      </c>
      <c r="J707" s="118" t="s">
        <v>273</v>
      </c>
    </row>
    <row r="708" spans="1:10" x14ac:dyDescent="0.25">
      <c r="A708" s="116">
        <v>705</v>
      </c>
      <c r="B708" s="117" t="s">
        <v>157</v>
      </c>
      <c r="C708" s="118" t="s">
        <v>158</v>
      </c>
      <c r="D708" s="118" t="s">
        <v>463</v>
      </c>
      <c r="E708" s="118" t="s">
        <v>111</v>
      </c>
      <c r="F708" s="119">
        <v>89.65</v>
      </c>
      <c r="G708" s="119">
        <v>93.424999999999997</v>
      </c>
      <c r="H708" s="119">
        <v>16.86</v>
      </c>
      <c r="I708" s="116">
        <v>569</v>
      </c>
      <c r="J708" s="118" t="s">
        <v>273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463</v>
      </c>
      <c r="E709" s="118" t="s">
        <v>111</v>
      </c>
      <c r="F709" s="119">
        <v>88.018199999999993</v>
      </c>
      <c r="G709" s="119">
        <v>88.868200000000002</v>
      </c>
      <c r="H709" s="119">
        <v>16.82</v>
      </c>
      <c r="I709" s="116">
        <v>686</v>
      </c>
      <c r="J709" s="118" t="s">
        <v>273</v>
      </c>
    </row>
    <row r="710" spans="1:10" x14ac:dyDescent="0.25">
      <c r="A710" s="116">
        <v>707</v>
      </c>
      <c r="B710" s="117" t="s">
        <v>161</v>
      </c>
      <c r="C710" s="118" t="s">
        <v>9</v>
      </c>
      <c r="D710" s="118" t="s">
        <v>463</v>
      </c>
      <c r="E710" s="118" t="s">
        <v>111</v>
      </c>
      <c r="F710" s="119">
        <v>77.803700000000006</v>
      </c>
      <c r="G710" s="119">
        <v>81.809299999999993</v>
      </c>
      <c r="H710" s="119">
        <v>16.63</v>
      </c>
      <c r="I710" s="116">
        <v>2020</v>
      </c>
      <c r="J710" s="118" t="s">
        <v>273</v>
      </c>
    </row>
    <row r="711" spans="1:10" x14ac:dyDescent="0.25">
      <c r="A711" s="116">
        <v>708</v>
      </c>
      <c r="B711" s="117" t="s">
        <v>2052</v>
      </c>
      <c r="C711" s="118" t="s">
        <v>2053</v>
      </c>
      <c r="D711" s="118" t="s">
        <v>463</v>
      </c>
      <c r="E711" s="118" t="s">
        <v>111</v>
      </c>
      <c r="F711" s="119">
        <v>87.6</v>
      </c>
      <c r="G711" s="119">
        <v>94.366699999999994</v>
      </c>
      <c r="H711" s="119">
        <v>16.62</v>
      </c>
      <c r="I711" s="116">
        <v>3426</v>
      </c>
      <c r="J711" s="118" t="s">
        <v>273</v>
      </c>
    </row>
    <row r="712" spans="1:10" x14ac:dyDescent="0.25">
      <c r="A712" s="116">
        <v>709</v>
      </c>
      <c r="B712" s="117" t="s">
        <v>162</v>
      </c>
      <c r="C712" s="118" t="s">
        <v>11</v>
      </c>
      <c r="D712" s="118" t="s">
        <v>463</v>
      </c>
      <c r="E712" s="118" t="s">
        <v>111</v>
      </c>
      <c r="F712" s="119">
        <v>76.362300000000005</v>
      </c>
      <c r="G712" s="119">
        <v>76.687700000000007</v>
      </c>
      <c r="H712" s="119">
        <v>16.62</v>
      </c>
      <c r="I712" s="116">
        <v>2509</v>
      </c>
      <c r="J712" s="118" t="s">
        <v>273</v>
      </c>
    </row>
    <row r="713" spans="1:10" x14ac:dyDescent="0.25">
      <c r="A713" s="116">
        <v>710</v>
      </c>
      <c r="B713" s="117" t="s">
        <v>163</v>
      </c>
      <c r="C713" s="118" t="s">
        <v>164</v>
      </c>
      <c r="D713" s="118" t="s">
        <v>463</v>
      </c>
      <c r="E713" s="118" t="s">
        <v>111</v>
      </c>
      <c r="F713" s="119">
        <v>99.803399999999996</v>
      </c>
      <c r="G713" s="119">
        <v>106.0612</v>
      </c>
      <c r="H713" s="119">
        <v>15.43</v>
      </c>
      <c r="I713" s="116">
        <v>8</v>
      </c>
      <c r="J713" s="118" t="s">
        <v>273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463</v>
      </c>
      <c r="E714" s="118" t="s">
        <v>111</v>
      </c>
      <c r="F714" s="119">
        <v>74.669799999999995</v>
      </c>
      <c r="G714" s="119">
        <v>84.884699999999995</v>
      </c>
      <c r="H714" s="119">
        <v>16.61</v>
      </c>
      <c r="I714" s="116">
        <v>2896</v>
      </c>
      <c r="J714" s="118" t="s">
        <v>273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463</v>
      </c>
      <c r="E715" s="118" t="s">
        <v>111</v>
      </c>
      <c r="F715" s="119">
        <v>85.900400000000005</v>
      </c>
      <c r="G715" s="119">
        <v>86.875600000000006</v>
      </c>
      <c r="H715" s="119">
        <v>16.829999999999998</v>
      </c>
      <c r="I715" s="116">
        <v>673</v>
      </c>
      <c r="J715" s="118" t="s">
        <v>273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463</v>
      </c>
      <c r="E716" s="118" t="s">
        <v>111</v>
      </c>
      <c r="F716" s="119">
        <v>70.950500000000005</v>
      </c>
      <c r="G716" s="119">
        <v>72.990200000000002</v>
      </c>
      <c r="H716" s="119">
        <v>16.63</v>
      </c>
      <c r="I716" s="116">
        <v>2073</v>
      </c>
      <c r="J716" s="118" t="s">
        <v>273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463</v>
      </c>
      <c r="E717" s="118" t="s">
        <v>111</v>
      </c>
      <c r="F717" s="119">
        <v>71.227000000000004</v>
      </c>
      <c r="G717" s="119">
        <v>76.005899999999997</v>
      </c>
      <c r="H717" s="119">
        <v>16.62</v>
      </c>
      <c r="I717" s="116">
        <v>3070</v>
      </c>
      <c r="J717" s="118" t="s">
        <v>273</v>
      </c>
    </row>
    <row r="718" spans="1:10" x14ac:dyDescent="0.25">
      <c r="A718" s="116">
        <v>715</v>
      </c>
      <c r="B718" s="117" t="s">
        <v>2227</v>
      </c>
      <c r="C718" s="118" t="s">
        <v>2228</v>
      </c>
      <c r="D718" s="118" t="s">
        <v>463</v>
      </c>
      <c r="E718" s="118" t="s">
        <v>111</v>
      </c>
      <c r="F718" s="119">
        <v>86.906099999999995</v>
      </c>
      <c r="G718" s="119">
        <v>89.843599999999995</v>
      </c>
      <c r="H718" s="119">
        <v>16.59</v>
      </c>
      <c r="I718" s="116">
        <v>4605</v>
      </c>
      <c r="J718" s="118" t="s">
        <v>273</v>
      </c>
    </row>
    <row r="719" spans="1:10" x14ac:dyDescent="0.25">
      <c r="A719" s="116">
        <v>716</v>
      </c>
      <c r="B719" s="117" t="s">
        <v>173</v>
      </c>
      <c r="C719" s="118" t="s">
        <v>174</v>
      </c>
      <c r="D719" s="118" t="s">
        <v>463</v>
      </c>
      <c r="E719" s="118" t="s">
        <v>111</v>
      </c>
      <c r="F719" s="119">
        <v>98.342500000000001</v>
      </c>
      <c r="G719" s="119">
        <v>102.6914</v>
      </c>
      <c r="H719" s="119">
        <v>16.43</v>
      </c>
      <c r="I719" s="116">
        <v>56</v>
      </c>
      <c r="J719" s="118" t="s">
        <v>273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463</v>
      </c>
      <c r="E720" s="118" t="s">
        <v>111</v>
      </c>
      <c r="F720" s="119">
        <v>96.979200000000006</v>
      </c>
      <c r="G720" s="119">
        <v>100.60420000000001</v>
      </c>
      <c r="H720" s="119">
        <v>16.829999999999998</v>
      </c>
      <c r="I720" s="116">
        <v>99</v>
      </c>
      <c r="J720" s="118" t="s">
        <v>273</v>
      </c>
    </row>
    <row r="721" spans="1:10" x14ac:dyDescent="0.25">
      <c r="A721" s="116">
        <v>718</v>
      </c>
      <c r="B721" s="117" t="s">
        <v>177</v>
      </c>
      <c r="C721" s="118" t="s">
        <v>10</v>
      </c>
      <c r="D721" s="118" t="s">
        <v>463</v>
      </c>
      <c r="E721" s="118" t="s">
        <v>111</v>
      </c>
      <c r="F721" s="119">
        <v>68.267899999999997</v>
      </c>
      <c r="G721" s="119">
        <v>70.8733</v>
      </c>
      <c r="H721" s="119">
        <v>16.62</v>
      </c>
      <c r="I721" s="116">
        <v>2409</v>
      </c>
      <c r="J721" s="118" t="s">
        <v>273</v>
      </c>
    </row>
    <row r="722" spans="1:10" x14ac:dyDescent="0.25">
      <c r="A722" s="116">
        <v>719</v>
      </c>
      <c r="B722" s="117" t="s">
        <v>178</v>
      </c>
      <c r="C722" s="118" t="s">
        <v>179</v>
      </c>
      <c r="D722" s="118" t="s">
        <v>463</v>
      </c>
      <c r="E722" s="118" t="s">
        <v>111</v>
      </c>
      <c r="F722" s="119">
        <v>70.337500000000006</v>
      </c>
      <c r="G722" s="119">
        <v>74.522900000000007</v>
      </c>
      <c r="H722" s="119">
        <v>16.600000000000001</v>
      </c>
      <c r="I722" s="116">
        <v>3453</v>
      </c>
      <c r="J722" s="118" t="s">
        <v>273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463</v>
      </c>
      <c r="E723" s="118" t="s">
        <v>111</v>
      </c>
      <c r="F723" s="119">
        <v>96.889499999999998</v>
      </c>
      <c r="G723" s="119">
        <v>100.82510000000001</v>
      </c>
      <c r="H723" s="119">
        <v>16.850000000000001</v>
      </c>
      <c r="I723" s="116">
        <v>107</v>
      </c>
      <c r="J723" s="118" t="s">
        <v>273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463</v>
      </c>
      <c r="E724" s="118" t="s">
        <v>111</v>
      </c>
      <c r="F724" s="119">
        <v>89.874499999999998</v>
      </c>
      <c r="G724" s="119">
        <v>95.206400000000002</v>
      </c>
      <c r="H724" s="119">
        <v>17.010000000000002</v>
      </c>
      <c r="I724" s="116">
        <v>371</v>
      </c>
      <c r="J724" s="118" t="s">
        <v>273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463</v>
      </c>
      <c r="E725" s="118" t="s">
        <v>111</v>
      </c>
      <c r="F725" s="119">
        <v>86.962199999999996</v>
      </c>
      <c r="G725" s="119">
        <v>90.49</v>
      </c>
      <c r="H725" s="119">
        <v>16.97</v>
      </c>
      <c r="I725" s="116">
        <v>466</v>
      </c>
      <c r="J725" s="118" t="s">
        <v>273</v>
      </c>
    </row>
    <row r="726" spans="1:10" x14ac:dyDescent="0.25">
      <c r="A726" s="116">
        <v>723</v>
      </c>
      <c r="B726" s="117" t="s">
        <v>186</v>
      </c>
      <c r="C726" s="118" t="s">
        <v>5</v>
      </c>
      <c r="D726" s="118" t="s">
        <v>463</v>
      </c>
      <c r="E726" s="118" t="s">
        <v>111</v>
      </c>
      <c r="F726" s="119">
        <v>84.724900000000005</v>
      </c>
      <c r="G726" s="119">
        <v>86.707400000000007</v>
      </c>
      <c r="H726" s="119">
        <v>16.84</v>
      </c>
      <c r="I726" s="116">
        <v>590</v>
      </c>
      <c r="J726" s="118" t="s">
        <v>273</v>
      </c>
    </row>
    <row r="727" spans="1:10" x14ac:dyDescent="0.25">
      <c r="A727" s="116">
        <v>724</v>
      </c>
      <c r="B727" s="117" t="s">
        <v>187</v>
      </c>
      <c r="C727" s="118" t="s">
        <v>188</v>
      </c>
      <c r="D727" s="118" t="s">
        <v>463</v>
      </c>
      <c r="E727" s="118" t="s">
        <v>111</v>
      </c>
      <c r="F727" s="119">
        <v>81.103200000000001</v>
      </c>
      <c r="G727" s="119">
        <v>85.968000000000004</v>
      </c>
      <c r="H727" s="119">
        <v>16.809999999999999</v>
      </c>
      <c r="I727" s="116">
        <v>761</v>
      </c>
      <c r="J727" s="118" t="s">
        <v>273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463</v>
      </c>
      <c r="E728" s="118" t="s">
        <v>111</v>
      </c>
      <c r="F728" s="119">
        <v>82.099199999999996</v>
      </c>
      <c r="G728" s="119">
        <v>87.2089</v>
      </c>
      <c r="H728" s="119">
        <v>16.79</v>
      </c>
      <c r="I728" s="116">
        <v>797</v>
      </c>
      <c r="J728" s="118" t="s">
        <v>273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463</v>
      </c>
      <c r="E729" s="118" t="s">
        <v>111</v>
      </c>
      <c r="F729" s="119">
        <v>76.958299999999994</v>
      </c>
      <c r="G729" s="119">
        <v>81.711500000000001</v>
      </c>
      <c r="H729" s="119">
        <v>16.72</v>
      </c>
      <c r="I729" s="116">
        <v>1203</v>
      </c>
      <c r="J729" s="118" t="s">
        <v>273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463</v>
      </c>
      <c r="E730" s="118" t="s">
        <v>111</v>
      </c>
      <c r="F730" s="119">
        <v>75.073599999999999</v>
      </c>
      <c r="G730" s="119">
        <v>82.625600000000006</v>
      </c>
      <c r="H730" s="119">
        <v>16.68</v>
      </c>
      <c r="I730" s="116">
        <v>1446</v>
      </c>
      <c r="J730" s="118" t="s">
        <v>273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463</v>
      </c>
      <c r="E731" s="118" t="s">
        <v>111</v>
      </c>
      <c r="F731" s="119">
        <v>72.871300000000005</v>
      </c>
      <c r="G731" s="119">
        <v>76.775300000000001</v>
      </c>
      <c r="H731" s="119">
        <v>16.68</v>
      </c>
      <c r="I731" s="116">
        <v>1617</v>
      </c>
      <c r="J731" s="118" t="s">
        <v>273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463</v>
      </c>
      <c r="E732" s="118" t="s">
        <v>111</v>
      </c>
      <c r="F732" s="119">
        <v>66.731999999999999</v>
      </c>
      <c r="G732" s="119">
        <v>69.690799999999996</v>
      </c>
      <c r="H732" s="119">
        <v>16.61</v>
      </c>
      <c r="I732" s="116">
        <v>2757</v>
      </c>
      <c r="J732" s="118" t="s">
        <v>273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463</v>
      </c>
      <c r="E733" s="118" t="s">
        <v>111</v>
      </c>
      <c r="F733" s="119">
        <v>65.804000000000002</v>
      </c>
      <c r="G733" s="119">
        <v>68.248000000000005</v>
      </c>
      <c r="H733" s="119">
        <v>16.61</v>
      </c>
      <c r="I733" s="116">
        <v>2776</v>
      </c>
      <c r="J733" s="118" t="s">
        <v>273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463</v>
      </c>
      <c r="E734" s="118" t="s">
        <v>111</v>
      </c>
      <c r="F734" s="119">
        <v>71.335400000000007</v>
      </c>
      <c r="G734" s="119">
        <v>81.576400000000007</v>
      </c>
      <c r="H734" s="119">
        <v>16.600000000000001</v>
      </c>
      <c r="I734" s="116">
        <v>3978</v>
      </c>
      <c r="J734" s="118" t="s">
        <v>273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463</v>
      </c>
      <c r="E735" s="118" t="s">
        <v>111</v>
      </c>
      <c r="F735" s="119">
        <v>72.077399999999997</v>
      </c>
      <c r="G735" s="119">
        <v>77.878699999999995</v>
      </c>
      <c r="H735" s="119">
        <v>16.600000000000001</v>
      </c>
      <c r="I735" s="116">
        <v>4131</v>
      </c>
      <c r="J735" s="118" t="s">
        <v>273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463</v>
      </c>
      <c r="E736" s="118" t="s">
        <v>111</v>
      </c>
      <c r="F736" s="119">
        <v>80.141099999999994</v>
      </c>
      <c r="G736" s="119">
        <v>84.381100000000004</v>
      </c>
      <c r="H736" s="119">
        <v>16.79</v>
      </c>
      <c r="I736" s="116">
        <v>792</v>
      </c>
      <c r="J736" s="118" t="s">
        <v>273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463</v>
      </c>
      <c r="E737" s="118" t="s">
        <v>111</v>
      </c>
      <c r="F737" s="119">
        <v>75.972099999999998</v>
      </c>
      <c r="G737" s="119">
        <v>77.486000000000004</v>
      </c>
      <c r="H737" s="119">
        <v>16.75</v>
      </c>
      <c r="I737" s="116">
        <v>971</v>
      </c>
      <c r="J737" s="118" t="s">
        <v>273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463</v>
      </c>
      <c r="E738" s="118" t="s">
        <v>111</v>
      </c>
      <c r="F738" s="119">
        <v>74.263199999999998</v>
      </c>
      <c r="G738" s="119">
        <v>79.106300000000005</v>
      </c>
      <c r="H738" s="119">
        <v>16.73</v>
      </c>
      <c r="I738" s="116">
        <v>1123</v>
      </c>
      <c r="J738" s="118" t="s">
        <v>273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463</v>
      </c>
      <c r="E739" s="118" t="s">
        <v>111</v>
      </c>
      <c r="F739" s="119">
        <v>60.166600000000003</v>
      </c>
      <c r="G739" s="119">
        <v>60.331499999999998</v>
      </c>
      <c r="H739" s="119">
        <v>16.59</v>
      </c>
      <c r="I739" s="116">
        <v>3953</v>
      </c>
      <c r="J739" s="118" t="s">
        <v>273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463</v>
      </c>
      <c r="E740" s="118" t="s">
        <v>111</v>
      </c>
      <c r="F740" s="119">
        <v>60.346800000000002</v>
      </c>
      <c r="G740" s="119">
        <v>64.600099999999998</v>
      </c>
      <c r="H740" s="119">
        <v>16.61</v>
      </c>
      <c r="I740" s="116">
        <v>4144</v>
      </c>
      <c r="J740" s="118" t="s">
        <v>273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463</v>
      </c>
      <c r="E741" s="118" t="s">
        <v>111</v>
      </c>
      <c r="F741" s="119">
        <v>56.856400000000001</v>
      </c>
      <c r="G741" s="119">
        <v>58.43</v>
      </c>
      <c r="H741" s="119">
        <v>16.61</v>
      </c>
      <c r="I741" s="116">
        <v>2417</v>
      </c>
      <c r="J741" s="118" t="s">
        <v>273</v>
      </c>
    </row>
    <row r="742" spans="1:10" x14ac:dyDescent="0.25">
      <c r="A742" s="116">
        <v>739</v>
      </c>
      <c r="B742" s="117" t="s">
        <v>217</v>
      </c>
      <c r="C742" s="118" t="s">
        <v>12</v>
      </c>
      <c r="D742" s="118" t="s">
        <v>463</v>
      </c>
      <c r="E742" s="118" t="s">
        <v>111</v>
      </c>
      <c r="F742" s="119">
        <v>61.884700000000002</v>
      </c>
      <c r="G742" s="119">
        <v>63.790100000000002</v>
      </c>
      <c r="H742" s="119">
        <v>16.600000000000001</v>
      </c>
      <c r="I742" s="116">
        <v>3155</v>
      </c>
      <c r="J742" s="118" t="s">
        <v>273</v>
      </c>
    </row>
    <row r="743" spans="1:10" x14ac:dyDescent="0.25">
      <c r="A743" s="116">
        <v>740</v>
      </c>
      <c r="B743" s="117" t="s">
        <v>218</v>
      </c>
      <c r="C743" s="118" t="s">
        <v>13</v>
      </c>
      <c r="D743" s="118" t="s">
        <v>463</v>
      </c>
      <c r="E743" s="118" t="s">
        <v>111</v>
      </c>
      <c r="F743" s="119">
        <v>60.431800000000003</v>
      </c>
      <c r="G743" s="119">
        <v>64.646100000000004</v>
      </c>
      <c r="H743" s="119">
        <v>16.600000000000001</v>
      </c>
      <c r="I743" s="116">
        <v>3412</v>
      </c>
      <c r="J743" s="118" t="s">
        <v>273</v>
      </c>
    </row>
    <row r="744" spans="1:10" x14ac:dyDescent="0.25">
      <c r="A744" s="116">
        <v>741</v>
      </c>
      <c r="B744" s="117" t="s">
        <v>219</v>
      </c>
      <c r="C744" s="118" t="s">
        <v>220</v>
      </c>
      <c r="D744" s="118" t="s">
        <v>463</v>
      </c>
      <c r="E744" s="118" t="s">
        <v>111</v>
      </c>
      <c r="F744" s="119">
        <v>54.212899999999998</v>
      </c>
      <c r="G744" s="119">
        <v>59.194299999999998</v>
      </c>
      <c r="H744" s="119">
        <v>16.59</v>
      </c>
      <c r="I744" s="116">
        <v>4813</v>
      </c>
      <c r="J744" s="118" t="s">
        <v>273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463</v>
      </c>
      <c r="E745" s="118" t="s">
        <v>111</v>
      </c>
      <c r="F745" s="119">
        <v>56.160299999999999</v>
      </c>
      <c r="G745" s="119">
        <v>56.438600000000001</v>
      </c>
      <c r="H745" s="119">
        <v>16.579999999999998</v>
      </c>
      <c r="I745" s="116">
        <v>5028</v>
      </c>
      <c r="J745" s="118" t="s">
        <v>273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463</v>
      </c>
      <c r="E746" s="118" t="s">
        <v>111</v>
      </c>
      <c r="F746" s="119">
        <v>55.582599999999999</v>
      </c>
      <c r="G746" s="119">
        <v>59.325800000000001</v>
      </c>
      <c r="H746" s="119">
        <v>16.600000000000001</v>
      </c>
      <c r="I746" s="116">
        <v>5239</v>
      </c>
      <c r="J746" s="118" t="s">
        <v>273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463</v>
      </c>
      <c r="E747" s="118" t="s">
        <v>111</v>
      </c>
      <c r="F747" s="119">
        <v>54.611800000000002</v>
      </c>
      <c r="G747" s="119">
        <v>62.084400000000002</v>
      </c>
      <c r="H747" s="119">
        <v>16.59</v>
      </c>
      <c r="I747" s="116">
        <v>6889</v>
      </c>
      <c r="J747" s="118" t="s">
        <v>273</v>
      </c>
    </row>
    <row r="748" spans="1:10" x14ac:dyDescent="0.25">
      <c r="A748" s="116">
        <v>745</v>
      </c>
      <c r="B748" s="117" t="s">
        <v>2112</v>
      </c>
      <c r="C748" s="118" t="s">
        <v>2113</v>
      </c>
      <c r="D748" s="118" t="s">
        <v>463</v>
      </c>
      <c r="E748" s="118" t="s">
        <v>111</v>
      </c>
      <c r="F748" s="119">
        <v>99.783699999999996</v>
      </c>
      <c r="G748" s="119">
        <v>99.783699999999996</v>
      </c>
      <c r="H748" s="119">
        <v>14.288</v>
      </c>
      <c r="I748" s="116">
        <v>2033</v>
      </c>
      <c r="J748" s="118" t="s">
        <v>273</v>
      </c>
    </row>
    <row r="749" spans="1:10" x14ac:dyDescent="0.25">
      <c r="A749" s="116">
        <v>746</v>
      </c>
      <c r="B749" s="117" t="s">
        <v>1515</v>
      </c>
      <c r="C749" s="118" t="s">
        <v>1516</v>
      </c>
      <c r="D749" s="118" t="s">
        <v>453</v>
      </c>
      <c r="E749" s="118" t="s">
        <v>2134</v>
      </c>
      <c r="F749" s="119">
        <v>57696.353999999999</v>
      </c>
      <c r="G749" s="119">
        <v>57696.353999999999</v>
      </c>
      <c r="H749" s="119">
        <v>0</v>
      </c>
      <c r="I749" s="116">
        <v>0</v>
      </c>
      <c r="J749" s="118" t="s">
        <v>242</v>
      </c>
    </row>
    <row r="750" spans="1:10" x14ac:dyDescent="0.25">
      <c r="A750" s="116">
        <v>747</v>
      </c>
      <c r="B750" s="117" t="s">
        <v>1517</v>
      </c>
      <c r="C750" s="118" t="s">
        <v>1518</v>
      </c>
      <c r="D750" s="118" t="s">
        <v>453</v>
      </c>
      <c r="E750" s="118" t="s">
        <v>1519</v>
      </c>
      <c r="F750" s="119">
        <v>482.00361435000002</v>
      </c>
      <c r="G750" s="119">
        <v>482.00361435000002</v>
      </c>
      <c r="H750" s="119">
        <v>0</v>
      </c>
      <c r="I750" s="116">
        <v>2061</v>
      </c>
      <c r="J750" s="118" t="s">
        <v>242</v>
      </c>
    </row>
    <row r="751" spans="1:10" x14ac:dyDescent="0.25">
      <c r="A751" s="116">
        <v>748</v>
      </c>
      <c r="B751" s="117" t="s">
        <v>1345</v>
      </c>
      <c r="C751" s="118" t="s">
        <v>1346</v>
      </c>
      <c r="D751" s="118" t="s">
        <v>453</v>
      </c>
      <c r="E751" s="118" t="s">
        <v>1347</v>
      </c>
      <c r="F751" s="119">
        <v>6545.9038499999997</v>
      </c>
      <c r="G751" s="119">
        <v>6545.9038499999997</v>
      </c>
      <c r="H751" s="119">
        <v>0</v>
      </c>
      <c r="I751" s="116">
        <v>0</v>
      </c>
      <c r="J751" s="118" t="s">
        <v>242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463</v>
      </c>
      <c r="E752" s="118" t="s">
        <v>229</v>
      </c>
      <c r="F752" s="119">
        <v>82.373544642522504</v>
      </c>
      <c r="G752" s="119">
        <v>83.673544642522501</v>
      </c>
      <c r="H752" s="119">
        <v>18.54</v>
      </c>
      <c r="I752" s="116">
        <v>1401</v>
      </c>
      <c r="J752" s="118" t="s">
        <v>273</v>
      </c>
    </row>
    <row r="753" spans="1:10" x14ac:dyDescent="0.25">
      <c r="A753" s="116">
        <v>750</v>
      </c>
      <c r="B753" s="117" t="s">
        <v>230</v>
      </c>
      <c r="C753" s="118" t="s">
        <v>231</v>
      </c>
      <c r="D753" s="118" t="s">
        <v>463</v>
      </c>
      <c r="E753" s="118" t="s">
        <v>229</v>
      </c>
      <c r="F753" s="119">
        <v>99.007936277854881</v>
      </c>
      <c r="G753" s="119">
        <v>104.96903627785488</v>
      </c>
      <c r="H753" s="119">
        <v>19.97</v>
      </c>
      <c r="I753" s="116">
        <v>244</v>
      </c>
      <c r="J753" s="118" t="s">
        <v>273</v>
      </c>
    </row>
    <row r="754" spans="1:10" x14ac:dyDescent="0.25">
      <c r="A754" s="116">
        <v>751</v>
      </c>
      <c r="B754" s="117" t="s">
        <v>1520</v>
      </c>
      <c r="C754" s="118" t="s">
        <v>1521</v>
      </c>
      <c r="D754" s="118" t="s">
        <v>463</v>
      </c>
      <c r="E754" s="118" t="s">
        <v>229</v>
      </c>
      <c r="F754" s="119">
        <v>99</v>
      </c>
      <c r="G754" s="119">
        <v>102.7222</v>
      </c>
      <c r="H754" s="119">
        <v>17.920000000000002</v>
      </c>
      <c r="I754" s="116">
        <v>46</v>
      </c>
      <c r="J754" s="118" t="s">
        <v>273</v>
      </c>
    </row>
    <row r="755" spans="1:10" x14ac:dyDescent="0.25">
      <c r="A755" s="116">
        <v>752</v>
      </c>
      <c r="B755" s="117" t="s">
        <v>2035</v>
      </c>
      <c r="C755" s="118" t="s">
        <v>2036</v>
      </c>
      <c r="D755" s="118" t="s">
        <v>463</v>
      </c>
      <c r="E755" s="118" t="s">
        <v>229</v>
      </c>
      <c r="F755" s="119">
        <v>98.932307580104521</v>
      </c>
      <c r="G755" s="119">
        <v>99.054507580104527</v>
      </c>
      <c r="H755" s="119">
        <v>13.32</v>
      </c>
      <c r="I755" s="116">
        <v>176</v>
      </c>
      <c r="J755" s="118" t="s">
        <v>273</v>
      </c>
    </row>
    <row r="756" spans="1:10" x14ac:dyDescent="0.25">
      <c r="A756" s="116">
        <v>753</v>
      </c>
      <c r="B756" s="117" t="s">
        <v>2167</v>
      </c>
      <c r="C756" s="118" t="s">
        <v>2168</v>
      </c>
      <c r="D756" s="118" t="s">
        <v>463</v>
      </c>
      <c r="E756" s="118" t="s">
        <v>229</v>
      </c>
      <c r="F756" s="119">
        <v>99.964299999999994</v>
      </c>
      <c r="G756" s="119">
        <v>102.2865</v>
      </c>
      <c r="H756" s="119">
        <v>11</v>
      </c>
      <c r="I756" s="116">
        <v>284</v>
      </c>
      <c r="J756" s="118" t="s">
        <v>273</v>
      </c>
    </row>
    <row r="757" spans="1:10" x14ac:dyDescent="0.25">
      <c r="A757" s="116">
        <v>754</v>
      </c>
      <c r="B757" s="117" t="s">
        <v>1522</v>
      </c>
      <c r="C757" s="118" t="s">
        <v>1523</v>
      </c>
      <c r="D757" s="118" t="s">
        <v>463</v>
      </c>
      <c r="E757" s="118" t="s">
        <v>229</v>
      </c>
      <c r="F757" s="119">
        <v>99.056577593958806</v>
      </c>
      <c r="G757" s="119">
        <v>100.77737759395882</v>
      </c>
      <c r="H757" s="119">
        <v>13.35</v>
      </c>
      <c r="I757" s="116">
        <v>121</v>
      </c>
      <c r="J757" s="118" t="s">
        <v>273</v>
      </c>
    </row>
    <row r="758" spans="1:10" x14ac:dyDescent="0.25">
      <c r="A758" s="116">
        <v>755</v>
      </c>
      <c r="B758" s="117" t="s">
        <v>1524</v>
      </c>
      <c r="C758" s="118" t="s">
        <v>1525</v>
      </c>
      <c r="D758" s="118" t="s">
        <v>463</v>
      </c>
      <c r="E758" s="118" t="s">
        <v>229</v>
      </c>
      <c r="F758" s="119">
        <v>91.922369908031115</v>
      </c>
      <c r="G758" s="119">
        <v>93.283469908031108</v>
      </c>
      <c r="H758" s="119">
        <v>12.7</v>
      </c>
      <c r="I758" s="116">
        <v>1391</v>
      </c>
      <c r="J758" s="118" t="s">
        <v>273</v>
      </c>
    </row>
    <row r="759" spans="1:10" x14ac:dyDescent="0.25">
      <c r="A759" s="116">
        <v>756</v>
      </c>
      <c r="B759" s="117" t="s">
        <v>1526</v>
      </c>
      <c r="C759" s="118" t="s">
        <v>1527</v>
      </c>
      <c r="D759" s="118" t="s">
        <v>453</v>
      </c>
      <c r="E759" s="118" t="s">
        <v>1528</v>
      </c>
      <c r="F759" s="119">
        <v>36581.31495</v>
      </c>
      <c r="G759" s="119">
        <v>36581.31495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1529</v>
      </c>
      <c r="C760" s="118" t="s">
        <v>1530</v>
      </c>
      <c r="D760" s="118" t="s">
        <v>453</v>
      </c>
      <c r="E760" s="118" t="s">
        <v>2135</v>
      </c>
      <c r="F760" s="119">
        <v>620340.56145000004</v>
      </c>
      <c r="G760" s="119">
        <v>620340.56145000004</v>
      </c>
      <c r="H760" s="119">
        <v>0</v>
      </c>
      <c r="I760" s="116">
        <v>0</v>
      </c>
      <c r="J760" s="118" t="s">
        <v>242</v>
      </c>
    </row>
    <row r="761" spans="1:10" x14ac:dyDescent="0.25">
      <c r="A761" s="116">
        <v>758</v>
      </c>
      <c r="B761" s="117" t="s">
        <v>2020</v>
      </c>
      <c r="C761" s="118" t="s">
        <v>2021</v>
      </c>
      <c r="D761" s="118" t="s">
        <v>463</v>
      </c>
      <c r="E761" s="118" t="s">
        <v>2022</v>
      </c>
      <c r="F761" s="119">
        <v>99.274301884483592</v>
      </c>
      <c r="G761" s="119">
        <v>101.38540188448358</v>
      </c>
      <c r="H761" s="119">
        <v>19.350000000000001</v>
      </c>
      <c r="I761" s="116">
        <v>860</v>
      </c>
      <c r="J761" s="118" t="s">
        <v>273</v>
      </c>
    </row>
    <row r="762" spans="1:10" x14ac:dyDescent="0.25">
      <c r="A762" s="116">
        <v>759</v>
      </c>
      <c r="B762" s="117" t="s">
        <v>1531</v>
      </c>
      <c r="C762" s="118" t="s">
        <v>1532</v>
      </c>
      <c r="D762" s="118" t="s">
        <v>453</v>
      </c>
      <c r="E762" s="118" t="s">
        <v>2136</v>
      </c>
      <c r="F762" s="119">
        <v>40470.715349999999</v>
      </c>
      <c r="G762" s="119">
        <v>40470.715349999999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1533</v>
      </c>
      <c r="C763" s="118" t="s">
        <v>1534</v>
      </c>
      <c r="D763" s="118" t="s">
        <v>453</v>
      </c>
      <c r="E763" s="118" t="s">
        <v>1535</v>
      </c>
      <c r="F763" s="119">
        <v>6751.38</v>
      </c>
      <c r="G763" s="119">
        <v>6751.38</v>
      </c>
      <c r="H763" s="119">
        <v>0</v>
      </c>
      <c r="I763" s="116">
        <v>0</v>
      </c>
      <c r="J763" s="118" t="s">
        <v>242</v>
      </c>
    </row>
    <row r="764" spans="1:10" x14ac:dyDescent="0.25">
      <c r="A764" s="116">
        <v>761</v>
      </c>
      <c r="B764" s="117" t="s">
        <v>1536</v>
      </c>
      <c r="C764" s="118" t="s">
        <v>1537</v>
      </c>
      <c r="D764" s="118" t="s">
        <v>453</v>
      </c>
      <c r="E764" s="118" t="s">
        <v>1535</v>
      </c>
      <c r="F764" s="119">
        <v>88.363100000000003</v>
      </c>
      <c r="G764" s="119">
        <v>88.363100000000003</v>
      </c>
      <c r="H764" s="119">
        <v>0</v>
      </c>
      <c r="I764" s="116">
        <v>890</v>
      </c>
      <c r="J764" s="118" t="s">
        <v>242</v>
      </c>
    </row>
    <row r="765" spans="1:10" x14ac:dyDescent="0.25">
      <c r="A765" s="116">
        <v>762</v>
      </c>
      <c r="B765" s="117" t="s">
        <v>1538</v>
      </c>
      <c r="C765" s="118" t="s">
        <v>1539</v>
      </c>
      <c r="D765" s="118" t="s">
        <v>453</v>
      </c>
      <c r="E765" s="118" t="s">
        <v>1535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1540</v>
      </c>
      <c r="C766" s="118" t="s">
        <v>1541</v>
      </c>
      <c r="D766" s="118" t="s">
        <v>453</v>
      </c>
      <c r="E766" s="118" t="s">
        <v>1535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242</v>
      </c>
    </row>
    <row r="767" spans="1:10" x14ac:dyDescent="0.25">
      <c r="A767" s="116">
        <v>764</v>
      </c>
      <c r="B767" s="117" t="s">
        <v>1542</v>
      </c>
      <c r="C767" s="118" t="s">
        <v>1543</v>
      </c>
      <c r="D767" s="118" t="s">
        <v>463</v>
      </c>
      <c r="E767" s="118" t="s">
        <v>1535</v>
      </c>
      <c r="F767" s="119">
        <v>96.129118207514423</v>
      </c>
      <c r="G767" s="119">
        <v>100.99581820751442</v>
      </c>
      <c r="H767" s="119">
        <v>18.55</v>
      </c>
      <c r="I767" s="116">
        <v>200</v>
      </c>
      <c r="J767" s="118" t="s">
        <v>273</v>
      </c>
    </row>
    <row r="768" spans="1:10" x14ac:dyDescent="0.25">
      <c r="A768" s="116">
        <v>765</v>
      </c>
      <c r="B768" s="117" t="s">
        <v>1544</v>
      </c>
      <c r="C768" s="118" t="s">
        <v>1545</v>
      </c>
      <c r="D768" s="118" t="s">
        <v>463</v>
      </c>
      <c r="E768" s="118" t="s">
        <v>1535</v>
      </c>
      <c r="F768" s="119">
        <v>35.923796519304204</v>
      </c>
      <c r="G768" s="119">
        <v>37.012696519304207</v>
      </c>
      <c r="H768" s="119">
        <v>18.809999999999999</v>
      </c>
      <c r="I768" s="116">
        <v>3502</v>
      </c>
      <c r="J768" s="118" t="s">
        <v>273</v>
      </c>
    </row>
    <row r="769" spans="1:10" x14ac:dyDescent="0.25">
      <c r="A769" s="116">
        <v>766</v>
      </c>
      <c r="B769" s="117" t="s">
        <v>1546</v>
      </c>
      <c r="C769" s="118" t="s">
        <v>1547</v>
      </c>
      <c r="D769" s="118" t="s">
        <v>453</v>
      </c>
      <c r="E769" s="118" t="s">
        <v>1535</v>
      </c>
      <c r="F769" s="119">
        <v>11898.67</v>
      </c>
      <c r="G769" s="119">
        <v>11898.67</v>
      </c>
      <c r="H769" s="119">
        <v>0</v>
      </c>
      <c r="I769" s="116">
        <v>0</v>
      </c>
      <c r="J769" s="118" t="s">
        <v>242</v>
      </c>
    </row>
    <row r="770" spans="1:10" x14ac:dyDescent="0.25">
      <c r="A770" s="116">
        <v>767</v>
      </c>
      <c r="B770" s="117" t="s">
        <v>1548</v>
      </c>
      <c r="C770" s="118" t="s">
        <v>1549</v>
      </c>
      <c r="D770" s="118" t="s">
        <v>463</v>
      </c>
      <c r="E770" s="118" t="s">
        <v>665</v>
      </c>
      <c r="F770" s="119">
        <v>100</v>
      </c>
      <c r="G770" s="119">
        <v>105.5222</v>
      </c>
      <c r="H770" s="119">
        <v>7.08</v>
      </c>
      <c r="I770" s="116">
        <v>2210</v>
      </c>
      <c r="J770" s="118" t="s">
        <v>273</v>
      </c>
    </row>
    <row r="771" spans="1:10" x14ac:dyDescent="0.25">
      <c r="A771" s="116">
        <v>768</v>
      </c>
      <c r="B771" s="117" t="s">
        <v>1550</v>
      </c>
      <c r="C771" s="118" t="s">
        <v>1551</v>
      </c>
      <c r="D771" s="118" t="s">
        <v>463</v>
      </c>
      <c r="E771" s="118" t="s">
        <v>665</v>
      </c>
      <c r="F771" s="119">
        <v>100</v>
      </c>
      <c r="G771" s="119">
        <v>105.98139999999999</v>
      </c>
      <c r="H771" s="119">
        <v>6.09</v>
      </c>
      <c r="I771" s="116">
        <v>2137</v>
      </c>
      <c r="J771" s="118" t="s">
        <v>273</v>
      </c>
    </row>
    <row r="772" spans="1:10" x14ac:dyDescent="0.25">
      <c r="A772" s="116">
        <v>769</v>
      </c>
      <c r="B772" s="117" t="s">
        <v>1552</v>
      </c>
      <c r="C772" s="118" t="s">
        <v>1553</v>
      </c>
      <c r="D772" s="118" t="s">
        <v>463</v>
      </c>
      <c r="E772" s="118" t="s">
        <v>665</v>
      </c>
      <c r="F772" s="119">
        <v>100</v>
      </c>
      <c r="G772" s="119">
        <v>104.8292</v>
      </c>
      <c r="H772" s="119">
        <v>6.08</v>
      </c>
      <c r="I772" s="116">
        <v>2565</v>
      </c>
      <c r="J772" s="118" t="s">
        <v>273</v>
      </c>
    </row>
    <row r="773" spans="1:10" x14ac:dyDescent="0.25">
      <c r="A773" s="116">
        <v>770</v>
      </c>
      <c r="B773" s="117" t="s">
        <v>1554</v>
      </c>
      <c r="C773" s="118" t="s">
        <v>1555</v>
      </c>
      <c r="D773" s="118" t="s">
        <v>463</v>
      </c>
      <c r="E773" s="118" t="s">
        <v>665</v>
      </c>
      <c r="F773" s="119">
        <v>100</v>
      </c>
      <c r="G773" s="119">
        <v>104.8292</v>
      </c>
      <c r="H773" s="119">
        <v>6.08</v>
      </c>
      <c r="I773" s="116">
        <v>2565</v>
      </c>
      <c r="J773" s="118" t="s">
        <v>273</v>
      </c>
    </row>
    <row r="774" spans="1:10" x14ac:dyDescent="0.25">
      <c r="A774" s="116">
        <v>771</v>
      </c>
      <c r="B774" s="117" t="s">
        <v>1556</v>
      </c>
      <c r="C774" s="118" t="s">
        <v>1557</v>
      </c>
      <c r="D774" s="118" t="s">
        <v>463</v>
      </c>
      <c r="E774" s="118" t="s">
        <v>665</v>
      </c>
      <c r="F774" s="119">
        <v>100</v>
      </c>
      <c r="G774" s="119">
        <v>103.6939</v>
      </c>
      <c r="H774" s="119">
        <v>6.08</v>
      </c>
      <c r="I774" s="116">
        <v>2632</v>
      </c>
      <c r="J774" s="118" t="s">
        <v>273</v>
      </c>
    </row>
    <row r="775" spans="1:10" x14ac:dyDescent="0.25">
      <c r="A775" s="116">
        <v>772</v>
      </c>
      <c r="B775" s="117" t="s">
        <v>2364</v>
      </c>
      <c r="C775" s="118" t="s">
        <v>2365</v>
      </c>
      <c r="D775" s="118" t="s">
        <v>463</v>
      </c>
      <c r="E775" s="118" t="s">
        <v>232</v>
      </c>
      <c r="F775" s="119">
        <v>99.4803</v>
      </c>
      <c r="G775" s="119">
        <v>99.4803</v>
      </c>
      <c r="H775" s="119">
        <v>14.67</v>
      </c>
      <c r="I775" s="116">
        <v>13</v>
      </c>
      <c r="J775" s="118" t="s">
        <v>273</v>
      </c>
    </row>
    <row r="776" spans="1:10" x14ac:dyDescent="0.25">
      <c r="A776" s="116">
        <v>773</v>
      </c>
      <c r="B776" s="117" t="s">
        <v>1558</v>
      </c>
      <c r="C776" s="118" t="s">
        <v>1559</v>
      </c>
      <c r="D776" s="118" t="s">
        <v>453</v>
      </c>
      <c r="E776" s="118" t="s">
        <v>1560</v>
      </c>
      <c r="F776" s="119">
        <v>95435.356499999994</v>
      </c>
      <c r="G776" s="119">
        <v>95435.356499999994</v>
      </c>
      <c r="H776" s="119">
        <v>0</v>
      </c>
      <c r="I776" s="116">
        <v>0</v>
      </c>
      <c r="J776" s="118" t="s">
        <v>242</v>
      </c>
    </row>
    <row r="777" spans="1:10" x14ac:dyDescent="0.25">
      <c r="A777" s="116">
        <v>774</v>
      </c>
      <c r="B777" s="117" t="s">
        <v>1561</v>
      </c>
      <c r="C777" s="118" t="s">
        <v>1562</v>
      </c>
      <c r="D777" s="118" t="s">
        <v>463</v>
      </c>
      <c r="E777" s="118" t="s">
        <v>1563</v>
      </c>
      <c r="F777" s="119">
        <v>100.4463248531533</v>
      </c>
      <c r="G777" s="119">
        <v>103.4463248531533</v>
      </c>
      <c r="H777" s="119">
        <v>5.91</v>
      </c>
      <c r="I777" s="116">
        <v>2340</v>
      </c>
      <c r="J777" s="118" t="s">
        <v>273</v>
      </c>
    </row>
    <row r="778" spans="1:10" x14ac:dyDescent="0.25">
      <c r="A778" s="116">
        <v>775</v>
      </c>
      <c r="B778" s="117" t="s">
        <v>1564</v>
      </c>
      <c r="C778" s="118" t="s">
        <v>1565</v>
      </c>
      <c r="D778" s="118" t="s">
        <v>463</v>
      </c>
      <c r="E778" s="118" t="s">
        <v>1566</v>
      </c>
      <c r="F778" s="119">
        <v>105.209</v>
      </c>
      <c r="G778" s="119">
        <v>105.309</v>
      </c>
      <c r="H778" s="119">
        <v>4.55</v>
      </c>
      <c r="I778" s="116">
        <v>1434</v>
      </c>
      <c r="J778" s="118" t="s">
        <v>273</v>
      </c>
    </row>
    <row r="779" spans="1:10" x14ac:dyDescent="0.25">
      <c r="A779" s="116">
        <v>776</v>
      </c>
      <c r="B779" s="117" t="s">
        <v>2002</v>
      </c>
      <c r="C779" s="118" t="s">
        <v>2003</v>
      </c>
      <c r="D779" s="118" t="s">
        <v>463</v>
      </c>
      <c r="E779" s="118" t="s">
        <v>445</v>
      </c>
      <c r="F779" s="119">
        <v>99.997900000000001</v>
      </c>
      <c r="G779" s="119">
        <v>101.35209999999999</v>
      </c>
      <c r="H779" s="119">
        <v>19.5</v>
      </c>
      <c r="I779" s="116">
        <v>125</v>
      </c>
      <c r="J779" s="118" t="s">
        <v>273</v>
      </c>
    </row>
    <row r="780" spans="1:10" x14ac:dyDescent="0.25">
      <c r="A780" s="116">
        <v>777</v>
      </c>
      <c r="B780" s="117" t="s">
        <v>2087</v>
      </c>
      <c r="C780" s="118" t="s">
        <v>2088</v>
      </c>
      <c r="D780" s="118" t="s">
        <v>463</v>
      </c>
      <c r="E780" s="118" t="s">
        <v>445</v>
      </c>
      <c r="F780" s="119">
        <v>100.31013266651891</v>
      </c>
      <c r="G780" s="119">
        <v>100.4768326665189</v>
      </c>
      <c r="H780" s="119">
        <v>19.420000000000002</v>
      </c>
      <c r="I780" s="116">
        <v>207</v>
      </c>
      <c r="J780" s="118" t="s">
        <v>273</v>
      </c>
    </row>
    <row r="781" spans="1:10" x14ac:dyDescent="0.25">
      <c r="A781" s="116">
        <v>778</v>
      </c>
      <c r="B781" s="117" t="s">
        <v>2163</v>
      </c>
      <c r="C781" s="118" t="s">
        <v>2164</v>
      </c>
      <c r="D781" s="118" t="s">
        <v>463</v>
      </c>
      <c r="E781" s="118" t="s">
        <v>445</v>
      </c>
      <c r="F781" s="119">
        <v>100.33843214880312</v>
      </c>
      <c r="G781" s="119">
        <v>101.17173214880312</v>
      </c>
      <c r="H781" s="119">
        <v>19.48</v>
      </c>
      <c r="I781" s="116">
        <v>255</v>
      </c>
      <c r="J781" s="118" t="s">
        <v>273</v>
      </c>
    </row>
    <row r="782" spans="1:10" x14ac:dyDescent="0.25">
      <c r="A782" s="116">
        <v>779</v>
      </c>
      <c r="B782" s="117" t="s">
        <v>2004</v>
      </c>
      <c r="C782" s="118" t="s">
        <v>2005</v>
      </c>
      <c r="D782" s="118" t="s">
        <v>453</v>
      </c>
      <c r="E782" s="118" t="s">
        <v>2006</v>
      </c>
      <c r="F782" s="119">
        <v>135527.3388</v>
      </c>
      <c r="G782" s="119">
        <v>135527.3388</v>
      </c>
      <c r="H782" s="119">
        <v>0</v>
      </c>
      <c r="I782" s="116">
        <v>0</v>
      </c>
      <c r="J782" s="118" t="s">
        <v>242</v>
      </c>
    </row>
    <row r="783" spans="1:10" x14ac:dyDescent="0.25">
      <c r="A783" s="116">
        <v>780</v>
      </c>
      <c r="B783" s="117" t="s">
        <v>1567</v>
      </c>
      <c r="C783" s="118" t="s">
        <v>1568</v>
      </c>
      <c r="D783" s="118" t="s">
        <v>463</v>
      </c>
      <c r="E783" s="118" t="s">
        <v>1569</v>
      </c>
      <c r="F783" s="119">
        <v>86.770507812594175</v>
      </c>
      <c r="G783" s="119">
        <v>93.62810781259418</v>
      </c>
      <c r="H783" s="119">
        <v>23.38</v>
      </c>
      <c r="I783" s="116">
        <v>3178</v>
      </c>
      <c r="J783" s="118" t="s">
        <v>273</v>
      </c>
    </row>
    <row r="784" spans="1:10" x14ac:dyDescent="0.25">
      <c r="A784" s="116">
        <v>781</v>
      </c>
      <c r="B784" s="117" t="s">
        <v>1570</v>
      </c>
      <c r="C784" s="118" t="s">
        <v>1571</v>
      </c>
      <c r="D784" s="118" t="s">
        <v>463</v>
      </c>
      <c r="E784" s="118" t="s">
        <v>1572</v>
      </c>
      <c r="F784" s="119">
        <v>94.619676365089873</v>
      </c>
      <c r="G784" s="119">
        <v>95.173876365089868</v>
      </c>
      <c r="H784" s="119">
        <v>16.86</v>
      </c>
      <c r="I784" s="116">
        <v>341</v>
      </c>
      <c r="J784" s="118" t="s">
        <v>273</v>
      </c>
    </row>
    <row r="785" spans="1:10" x14ac:dyDescent="0.25">
      <c r="A785" s="116">
        <v>782</v>
      </c>
      <c r="B785" s="117" t="s">
        <v>1573</v>
      </c>
      <c r="C785" s="118" t="s">
        <v>1574</v>
      </c>
      <c r="D785" s="118" t="s">
        <v>463</v>
      </c>
      <c r="E785" s="118" t="s">
        <v>1572</v>
      </c>
      <c r="F785" s="119">
        <v>88.890662236809348</v>
      </c>
      <c r="G785" s="119">
        <v>91.80736223680934</v>
      </c>
      <c r="H785" s="119">
        <v>16.66</v>
      </c>
      <c r="I785" s="116">
        <v>800</v>
      </c>
      <c r="J785" s="118" t="s">
        <v>273</v>
      </c>
    </row>
    <row r="786" spans="1:10" x14ac:dyDescent="0.25">
      <c r="A786" s="116">
        <v>783</v>
      </c>
      <c r="B786" s="117" t="s">
        <v>1575</v>
      </c>
      <c r="C786" s="118" t="s">
        <v>1576</v>
      </c>
      <c r="D786" s="118" t="s">
        <v>453</v>
      </c>
      <c r="E786" s="118" t="s">
        <v>1577</v>
      </c>
      <c r="F786" s="119">
        <v>23242.390650000001</v>
      </c>
      <c r="G786" s="119">
        <v>23242.390650000001</v>
      </c>
      <c r="H786" s="119">
        <v>0</v>
      </c>
      <c r="I786" s="116">
        <v>0</v>
      </c>
      <c r="J786" s="118" t="s">
        <v>242</v>
      </c>
    </row>
    <row r="787" spans="1:10" x14ac:dyDescent="0.25">
      <c r="A787" s="116">
        <v>784</v>
      </c>
      <c r="B787" s="117" t="s">
        <v>1578</v>
      </c>
      <c r="C787" s="118" t="s">
        <v>1579</v>
      </c>
      <c r="D787" s="118" t="s">
        <v>463</v>
      </c>
      <c r="E787" s="118" t="s">
        <v>1580</v>
      </c>
      <c r="F787" s="119">
        <v>100</v>
      </c>
      <c r="G787" s="119">
        <v>104.02670000000001</v>
      </c>
      <c r="H787" s="119">
        <v>9.58</v>
      </c>
      <c r="I787" s="116">
        <v>389</v>
      </c>
      <c r="J787" s="118" t="s">
        <v>273</v>
      </c>
    </row>
    <row r="788" spans="1:10" x14ac:dyDescent="0.25">
      <c r="A788" s="116">
        <v>785</v>
      </c>
      <c r="B788" s="117" t="s">
        <v>1581</v>
      </c>
      <c r="C788" s="118" t="s">
        <v>1582</v>
      </c>
      <c r="D788" s="118" t="s">
        <v>463</v>
      </c>
      <c r="E788" s="118" t="s">
        <v>1583</v>
      </c>
      <c r="F788" s="119">
        <v>100.255</v>
      </c>
      <c r="G788" s="119">
        <v>102.1113</v>
      </c>
      <c r="H788" s="119">
        <v>3.99</v>
      </c>
      <c r="I788" s="116">
        <v>738</v>
      </c>
      <c r="J788" s="118" t="s">
        <v>273</v>
      </c>
    </row>
    <row r="789" spans="1:10" x14ac:dyDescent="0.25">
      <c r="A789" s="116">
        <v>786</v>
      </c>
      <c r="B789" s="117" t="s">
        <v>1584</v>
      </c>
      <c r="C789" s="118" t="s">
        <v>1585</v>
      </c>
      <c r="D789" s="118" t="s">
        <v>463</v>
      </c>
      <c r="E789" s="118" t="s">
        <v>1583</v>
      </c>
      <c r="F789" s="119">
        <v>98.898092064039261</v>
      </c>
      <c r="G789" s="119">
        <v>98.991092064039265</v>
      </c>
      <c r="H789" s="119">
        <v>4.83</v>
      </c>
      <c r="I789" s="116">
        <v>166</v>
      </c>
      <c r="J789" s="118" t="s">
        <v>273</v>
      </c>
    </row>
    <row r="790" spans="1:10" x14ac:dyDescent="0.25">
      <c r="A790" s="116">
        <v>787</v>
      </c>
      <c r="B790" s="117" t="s">
        <v>1586</v>
      </c>
      <c r="C790" s="118" t="s">
        <v>1587</v>
      </c>
      <c r="D790" s="118" t="s">
        <v>453</v>
      </c>
      <c r="E790" s="118" t="s">
        <v>1588</v>
      </c>
      <c r="F790" s="119">
        <v>13013.912249999999</v>
      </c>
      <c r="G790" s="119">
        <v>13013.912249999999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2106</v>
      </c>
      <c r="C791" s="118" t="s">
        <v>1893</v>
      </c>
      <c r="D791" s="118" t="s">
        <v>765</v>
      </c>
      <c r="E791" s="118" t="s">
        <v>1643</v>
      </c>
      <c r="F791" s="119">
        <v>37983.43305</v>
      </c>
      <c r="G791" s="119">
        <v>37983.43305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1594</v>
      </c>
      <c r="C792" s="118" t="s">
        <v>1595</v>
      </c>
      <c r="D792" s="118" t="s">
        <v>453</v>
      </c>
      <c r="E792" s="118" t="s">
        <v>1596</v>
      </c>
      <c r="F792" s="119">
        <v>0.01</v>
      </c>
      <c r="G792" s="119">
        <v>0.01</v>
      </c>
      <c r="H792" s="119">
        <v>0</v>
      </c>
      <c r="I792" s="116">
        <v>0</v>
      </c>
      <c r="J792" s="118" t="s">
        <v>242</v>
      </c>
    </row>
    <row r="793" spans="1:10" x14ac:dyDescent="0.25">
      <c r="A793" s="116">
        <v>790</v>
      </c>
      <c r="B793" s="117" t="s">
        <v>1589</v>
      </c>
      <c r="C793" s="118" t="s">
        <v>1590</v>
      </c>
      <c r="D793" s="118" t="s">
        <v>463</v>
      </c>
      <c r="E793" s="118" t="s">
        <v>1591</v>
      </c>
      <c r="F793" s="119">
        <v>98.194000000000003</v>
      </c>
      <c r="G793" s="119">
        <v>98.433599999999998</v>
      </c>
      <c r="H793" s="119">
        <v>4.32</v>
      </c>
      <c r="I793" s="116">
        <v>1237</v>
      </c>
      <c r="J793" s="118" t="s">
        <v>273</v>
      </c>
    </row>
    <row r="794" spans="1:10" x14ac:dyDescent="0.25">
      <c r="A794" s="116">
        <v>791</v>
      </c>
      <c r="B794" s="117" t="s">
        <v>1592</v>
      </c>
      <c r="C794" s="118" t="s">
        <v>1593</v>
      </c>
      <c r="D794" s="118" t="s">
        <v>463</v>
      </c>
      <c r="E794" s="118" t="s">
        <v>1591</v>
      </c>
      <c r="F794" s="119">
        <v>96.974999999999994</v>
      </c>
      <c r="G794" s="119">
        <v>97.025000000000006</v>
      </c>
      <c r="H794" s="119">
        <v>4.3</v>
      </c>
      <c r="I794" s="116">
        <v>894</v>
      </c>
      <c r="J794" s="118" t="s">
        <v>273</v>
      </c>
    </row>
    <row r="795" spans="1:10" x14ac:dyDescent="0.25">
      <c r="A795" s="116">
        <v>792</v>
      </c>
      <c r="B795" s="117" t="s">
        <v>1597</v>
      </c>
      <c r="C795" s="118" t="s">
        <v>1598</v>
      </c>
      <c r="D795" s="118" t="s">
        <v>463</v>
      </c>
      <c r="E795" s="118" t="s">
        <v>1599</v>
      </c>
      <c r="F795" s="119">
        <v>85.513765765234098</v>
      </c>
      <c r="G795" s="119">
        <v>88.624865765234091</v>
      </c>
      <c r="H795" s="119">
        <v>18.34</v>
      </c>
      <c r="I795" s="116">
        <v>1900</v>
      </c>
      <c r="J795" s="118" t="s">
        <v>273</v>
      </c>
    </row>
    <row r="796" spans="1:10" x14ac:dyDescent="0.25">
      <c r="A796" s="116">
        <v>793</v>
      </c>
      <c r="B796" s="117" t="s">
        <v>2081</v>
      </c>
      <c r="C796" s="118" t="s">
        <v>2082</v>
      </c>
      <c r="D796" s="118" t="s">
        <v>463</v>
      </c>
      <c r="E796" s="118" t="s">
        <v>399</v>
      </c>
      <c r="F796" s="119">
        <v>100.43119585142722</v>
      </c>
      <c r="G796" s="119">
        <v>100.43119585142722</v>
      </c>
      <c r="H796" s="119">
        <v>17.52</v>
      </c>
      <c r="I796" s="116">
        <v>360</v>
      </c>
      <c r="J796" s="118" t="s">
        <v>273</v>
      </c>
    </row>
    <row r="797" spans="1:10" x14ac:dyDescent="0.25">
      <c r="A797" s="116">
        <v>794</v>
      </c>
      <c r="B797" s="117" t="s">
        <v>2083</v>
      </c>
      <c r="C797" s="118" t="s">
        <v>2084</v>
      </c>
      <c r="D797" s="118" t="s">
        <v>463</v>
      </c>
      <c r="E797" s="118" t="s">
        <v>399</v>
      </c>
      <c r="F797" s="119">
        <v>100.43119585142722</v>
      </c>
      <c r="G797" s="119">
        <v>100.43119585142722</v>
      </c>
      <c r="H797" s="119">
        <v>17.52</v>
      </c>
      <c r="I797" s="116">
        <v>360</v>
      </c>
      <c r="J797" s="118" t="s">
        <v>273</v>
      </c>
    </row>
    <row r="798" spans="1:10" x14ac:dyDescent="0.25">
      <c r="A798" s="116">
        <v>795</v>
      </c>
      <c r="B798" s="117" t="s">
        <v>1600</v>
      </c>
      <c r="C798" s="118" t="s">
        <v>1601</v>
      </c>
      <c r="D798" s="118" t="s">
        <v>453</v>
      </c>
      <c r="E798" s="118" t="s">
        <v>399</v>
      </c>
      <c r="F798" s="119">
        <v>3395.73</v>
      </c>
      <c r="G798" s="119">
        <v>3395.73</v>
      </c>
      <c r="H798" s="119">
        <v>0</v>
      </c>
      <c r="I798" s="116">
        <v>231</v>
      </c>
      <c r="J798" s="118" t="s">
        <v>242</v>
      </c>
    </row>
    <row r="799" spans="1:10" x14ac:dyDescent="0.25">
      <c r="A799" s="116">
        <v>796</v>
      </c>
      <c r="B799" s="117" t="s">
        <v>1602</v>
      </c>
      <c r="C799" s="118" t="s">
        <v>1603</v>
      </c>
      <c r="D799" s="118" t="s">
        <v>463</v>
      </c>
      <c r="E799" s="118" t="s">
        <v>1604</v>
      </c>
      <c r="F799" s="119">
        <v>100</v>
      </c>
      <c r="G799" s="119">
        <v>101.9597</v>
      </c>
      <c r="H799" s="119">
        <v>4.24</v>
      </c>
      <c r="I799" s="116">
        <v>314</v>
      </c>
      <c r="J799" s="118" t="s">
        <v>273</v>
      </c>
    </row>
    <row r="800" spans="1:10" x14ac:dyDescent="0.25">
      <c r="A800" s="116">
        <v>797</v>
      </c>
      <c r="B800" s="117" t="s">
        <v>1605</v>
      </c>
      <c r="C800" s="118" t="s">
        <v>1606</v>
      </c>
      <c r="D800" s="118" t="s">
        <v>463</v>
      </c>
      <c r="E800" s="118" t="s">
        <v>1604</v>
      </c>
      <c r="F800" s="119">
        <v>100</v>
      </c>
      <c r="G800" s="119">
        <v>100.06610000000001</v>
      </c>
      <c r="H800" s="119">
        <v>0.35</v>
      </c>
      <c r="I800" s="116">
        <v>112</v>
      </c>
      <c r="J800" s="118" t="s">
        <v>273</v>
      </c>
    </row>
    <row r="801" spans="1:10" x14ac:dyDescent="0.25">
      <c r="A801" s="116">
        <v>798</v>
      </c>
      <c r="B801" s="117" t="s">
        <v>1607</v>
      </c>
      <c r="C801" s="118" t="s">
        <v>1608</v>
      </c>
      <c r="D801" s="118" t="s">
        <v>463</v>
      </c>
      <c r="E801" s="118" t="s">
        <v>1604</v>
      </c>
      <c r="F801" s="119">
        <v>100</v>
      </c>
      <c r="G801" s="119">
        <v>100.0622</v>
      </c>
      <c r="H801" s="119">
        <v>0.35</v>
      </c>
      <c r="I801" s="116">
        <v>296</v>
      </c>
      <c r="J801" s="118" t="s">
        <v>273</v>
      </c>
    </row>
    <row r="802" spans="1:10" x14ac:dyDescent="0.25">
      <c r="A802" s="116">
        <v>799</v>
      </c>
      <c r="B802" s="117" t="s">
        <v>2233</v>
      </c>
      <c r="C802" s="118" t="s">
        <v>2234</v>
      </c>
      <c r="D802" s="118" t="s">
        <v>463</v>
      </c>
      <c r="E802" s="118" t="s">
        <v>1604</v>
      </c>
      <c r="F802" s="119">
        <v>100</v>
      </c>
      <c r="G802" s="119">
        <v>100.0681</v>
      </c>
      <c r="H802" s="119">
        <v>0.35</v>
      </c>
      <c r="I802" s="116">
        <v>650</v>
      </c>
      <c r="J802" s="118" t="s">
        <v>273</v>
      </c>
    </row>
    <row r="803" spans="1:10" x14ac:dyDescent="0.25">
      <c r="A803" s="116">
        <v>800</v>
      </c>
      <c r="B803" s="117" t="s">
        <v>1609</v>
      </c>
      <c r="C803" s="118" t="s">
        <v>1610</v>
      </c>
      <c r="D803" s="118" t="s">
        <v>463</v>
      </c>
      <c r="E803" s="118" t="s">
        <v>1604</v>
      </c>
      <c r="F803" s="119">
        <v>100</v>
      </c>
      <c r="G803" s="119">
        <v>100.0001</v>
      </c>
      <c r="H803" s="119">
        <v>0.02</v>
      </c>
      <c r="I803" s="116">
        <v>3113</v>
      </c>
      <c r="J803" s="118" t="s">
        <v>273</v>
      </c>
    </row>
    <row r="804" spans="1:10" x14ac:dyDescent="0.25">
      <c r="A804" s="116">
        <v>801</v>
      </c>
      <c r="B804" s="117" t="s">
        <v>1611</v>
      </c>
      <c r="C804" s="118" t="s">
        <v>1612</v>
      </c>
      <c r="D804" s="118" t="s">
        <v>463</v>
      </c>
      <c r="E804" s="118" t="s">
        <v>1604</v>
      </c>
      <c r="F804" s="119">
        <v>100</v>
      </c>
      <c r="G804" s="119">
        <v>100.71169999999999</v>
      </c>
      <c r="H804" s="119">
        <v>6.08</v>
      </c>
      <c r="I804" s="116">
        <v>1728</v>
      </c>
      <c r="J804" s="118" t="s">
        <v>273</v>
      </c>
    </row>
    <row r="805" spans="1:10" x14ac:dyDescent="0.25">
      <c r="A805" s="116">
        <v>802</v>
      </c>
      <c r="B805" s="117" t="s">
        <v>1613</v>
      </c>
      <c r="C805" s="118" t="s">
        <v>1614</v>
      </c>
      <c r="D805" s="118" t="s">
        <v>463</v>
      </c>
      <c r="E805" s="118" t="s">
        <v>1604</v>
      </c>
      <c r="F805" s="119">
        <v>100</v>
      </c>
      <c r="G805" s="119">
        <v>105.5222</v>
      </c>
      <c r="H805" s="119">
        <v>7.08</v>
      </c>
      <c r="I805" s="116">
        <v>2210</v>
      </c>
      <c r="J805" s="118" t="s">
        <v>273</v>
      </c>
    </row>
    <row r="806" spans="1:10" x14ac:dyDescent="0.25">
      <c r="A806" s="116">
        <v>803</v>
      </c>
      <c r="B806" s="117" t="s">
        <v>2351</v>
      </c>
      <c r="C806" s="118" t="s">
        <v>2352</v>
      </c>
      <c r="D806" s="118" t="s">
        <v>463</v>
      </c>
      <c r="E806" s="118" t="s">
        <v>1604</v>
      </c>
      <c r="F806" s="119">
        <v>91.142901693916656</v>
      </c>
      <c r="G806" s="119">
        <v>92.103501693916655</v>
      </c>
      <c r="H806" s="119">
        <v>20.32</v>
      </c>
      <c r="I806" s="116">
        <v>3581</v>
      </c>
      <c r="J806" s="118" t="s">
        <v>273</v>
      </c>
    </row>
    <row r="807" spans="1:10" x14ac:dyDescent="0.25">
      <c r="A807" s="116">
        <v>804</v>
      </c>
      <c r="B807" s="117" t="s">
        <v>1615</v>
      </c>
      <c r="C807" s="118" t="s">
        <v>1616</v>
      </c>
      <c r="D807" s="118" t="s">
        <v>463</v>
      </c>
      <c r="E807" s="118" t="s">
        <v>1604</v>
      </c>
      <c r="F807" s="119">
        <v>100</v>
      </c>
      <c r="G807" s="119">
        <v>105.98139999999999</v>
      </c>
      <c r="H807" s="119">
        <v>6.09</v>
      </c>
      <c r="I807" s="116">
        <v>2137</v>
      </c>
      <c r="J807" s="118" t="s">
        <v>273</v>
      </c>
    </row>
    <row r="808" spans="1:10" x14ac:dyDescent="0.25">
      <c r="A808" s="116">
        <v>805</v>
      </c>
      <c r="B808" s="117" t="s">
        <v>1617</v>
      </c>
      <c r="C808" s="118" t="s">
        <v>1618</v>
      </c>
      <c r="D808" s="118" t="s">
        <v>463</v>
      </c>
      <c r="E808" s="118" t="s">
        <v>1604</v>
      </c>
      <c r="F808" s="119">
        <v>100</v>
      </c>
      <c r="G808" s="119">
        <v>104.8292</v>
      </c>
      <c r="H808" s="119">
        <v>6.08</v>
      </c>
      <c r="I808" s="116">
        <v>2565</v>
      </c>
      <c r="J808" s="118" t="s">
        <v>273</v>
      </c>
    </row>
    <row r="809" spans="1:10" x14ac:dyDescent="0.25">
      <c r="A809" s="116">
        <v>806</v>
      </c>
      <c r="B809" s="117" t="s">
        <v>1619</v>
      </c>
      <c r="C809" s="118" t="s">
        <v>1620</v>
      </c>
      <c r="D809" s="118" t="s">
        <v>463</v>
      </c>
      <c r="E809" s="118" t="s">
        <v>1604</v>
      </c>
      <c r="F809" s="119">
        <v>100</v>
      </c>
      <c r="G809" s="119">
        <v>104.8292</v>
      </c>
      <c r="H809" s="119">
        <v>6.08</v>
      </c>
      <c r="I809" s="116">
        <v>2565</v>
      </c>
      <c r="J809" s="118" t="s">
        <v>273</v>
      </c>
    </row>
    <row r="810" spans="1:10" x14ac:dyDescent="0.25">
      <c r="A810" s="116">
        <v>807</v>
      </c>
      <c r="B810" s="117" t="s">
        <v>1621</v>
      </c>
      <c r="C810" s="118" t="s">
        <v>1622</v>
      </c>
      <c r="D810" s="118" t="s">
        <v>463</v>
      </c>
      <c r="E810" s="118" t="s">
        <v>1604</v>
      </c>
      <c r="F810" s="119">
        <v>100</v>
      </c>
      <c r="G810" s="119">
        <v>103.6939</v>
      </c>
      <c r="H810" s="119">
        <v>6.08</v>
      </c>
      <c r="I810" s="116">
        <v>2632</v>
      </c>
      <c r="J810" s="118" t="s">
        <v>273</v>
      </c>
    </row>
    <row r="811" spans="1:10" x14ac:dyDescent="0.25">
      <c r="A811" s="116">
        <v>808</v>
      </c>
      <c r="B811" s="117" t="s">
        <v>1623</v>
      </c>
      <c r="C811" s="118" t="s">
        <v>1624</v>
      </c>
      <c r="D811" s="118" t="s">
        <v>453</v>
      </c>
      <c r="E811" s="118" t="s">
        <v>1625</v>
      </c>
      <c r="F811" s="119">
        <v>36707.559300000001</v>
      </c>
      <c r="G811" s="119">
        <v>36707.559300000001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1626</v>
      </c>
      <c r="C812" s="118" t="s">
        <v>1627</v>
      </c>
      <c r="D812" s="118" t="s">
        <v>453</v>
      </c>
      <c r="E812" s="118" t="s">
        <v>1628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242</v>
      </c>
    </row>
    <row r="813" spans="1:10" x14ac:dyDescent="0.25">
      <c r="A813" s="116">
        <v>810</v>
      </c>
      <c r="B813" s="117" t="s">
        <v>1629</v>
      </c>
      <c r="C813" s="118" t="s">
        <v>1630</v>
      </c>
      <c r="D813" s="118" t="s">
        <v>463</v>
      </c>
      <c r="E813" s="118" t="s">
        <v>1631</v>
      </c>
      <c r="F813" s="119">
        <v>99.093000000000004</v>
      </c>
      <c r="G813" s="119">
        <v>99.6798</v>
      </c>
      <c r="H813" s="119">
        <v>4.38</v>
      </c>
      <c r="I813" s="116">
        <v>295</v>
      </c>
      <c r="J813" s="118" t="s">
        <v>273</v>
      </c>
    </row>
    <row r="814" spans="1:10" x14ac:dyDescent="0.25">
      <c r="A814" s="116">
        <v>811</v>
      </c>
      <c r="B814" s="117" t="s">
        <v>1632</v>
      </c>
      <c r="C814" s="118" t="s">
        <v>1633</v>
      </c>
      <c r="D814" s="118" t="s">
        <v>463</v>
      </c>
      <c r="E814" s="118" t="s">
        <v>1631</v>
      </c>
      <c r="F814" s="119">
        <v>98.462999999999994</v>
      </c>
      <c r="G814" s="119">
        <v>99.619299999999996</v>
      </c>
      <c r="H814" s="119">
        <v>4.1100000000000003</v>
      </c>
      <c r="I814" s="116">
        <v>1689</v>
      </c>
      <c r="J814" s="118" t="s">
        <v>273</v>
      </c>
    </row>
    <row r="815" spans="1:10" x14ac:dyDescent="0.25">
      <c r="A815" s="116">
        <v>812</v>
      </c>
      <c r="B815" s="117" t="s">
        <v>1634</v>
      </c>
      <c r="C815" s="118" t="s">
        <v>1635</v>
      </c>
      <c r="D815" s="118" t="s">
        <v>463</v>
      </c>
      <c r="E815" s="118" t="s">
        <v>1631</v>
      </c>
      <c r="F815" s="119">
        <v>99.725493010496734</v>
      </c>
      <c r="G815" s="119">
        <v>101.31439301049673</v>
      </c>
      <c r="H815" s="119">
        <v>4.08</v>
      </c>
      <c r="I815" s="116">
        <v>1297</v>
      </c>
      <c r="J815" s="118" t="s">
        <v>273</v>
      </c>
    </row>
    <row r="816" spans="1:10" x14ac:dyDescent="0.25">
      <c r="A816" s="116">
        <v>813</v>
      </c>
      <c r="B816" s="117" t="s">
        <v>1636</v>
      </c>
      <c r="C816" s="118" t="s">
        <v>1637</v>
      </c>
      <c r="D816" s="118" t="s">
        <v>463</v>
      </c>
      <c r="E816" s="118" t="s">
        <v>1631</v>
      </c>
      <c r="F816" s="119">
        <v>101.256</v>
      </c>
      <c r="G816" s="119">
        <v>102.556</v>
      </c>
      <c r="H816" s="119">
        <v>4</v>
      </c>
      <c r="I816" s="116">
        <v>976</v>
      </c>
      <c r="J816" s="118" t="s">
        <v>273</v>
      </c>
    </row>
    <row r="817" spans="1:10" x14ac:dyDescent="0.25">
      <c r="A817" s="116">
        <v>814</v>
      </c>
      <c r="B817" s="117" t="s">
        <v>1638</v>
      </c>
      <c r="C817" s="118" t="s">
        <v>1639</v>
      </c>
      <c r="D817" s="118" t="s">
        <v>453</v>
      </c>
      <c r="E817" s="118" t="s">
        <v>1640</v>
      </c>
      <c r="F817" s="119">
        <v>77570.437950000007</v>
      </c>
      <c r="G817" s="119">
        <v>77570.437950000007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1641</v>
      </c>
      <c r="C818" s="118" t="s">
        <v>1642</v>
      </c>
      <c r="D818" s="118" t="s">
        <v>765</v>
      </c>
      <c r="E818" s="118" t="s">
        <v>1643</v>
      </c>
      <c r="F818" s="119">
        <v>301530.60090000002</v>
      </c>
      <c r="G818" s="119">
        <v>301530.60090000002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1644</v>
      </c>
      <c r="C819" s="118" t="s">
        <v>1645</v>
      </c>
      <c r="D819" s="118" t="s">
        <v>453</v>
      </c>
      <c r="E819" s="118" t="s">
        <v>1646</v>
      </c>
      <c r="F819" s="119">
        <v>17000.39</v>
      </c>
      <c r="G819" s="119">
        <v>17000.39</v>
      </c>
      <c r="H819" s="119">
        <v>0</v>
      </c>
      <c r="I819" s="116">
        <v>0</v>
      </c>
      <c r="J819" s="118" t="s">
        <v>242</v>
      </c>
    </row>
    <row r="820" spans="1:10" x14ac:dyDescent="0.25">
      <c r="A820" s="116">
        <v>817</v>
      </c>
      <c r="B820" s="117" t="s">
        <v>1647</v>
      </c>
      <c r="C820" s="118" t="s">
        <v>1648</v>
      </c>
      <c r="D820" s="118" t="s">
        <v>463</v>
      </c>
      <c r="E820" s="118" t="s">
        <v>1649</v>
      </c>
      <c r="F820" s="119">
        <v>96.298494147879779</v>
      </c>
      <c r="G820" s="119">
        <v>100.63179414787977</v>
      </c>
      <c r="H820" s="119">
        <v>31.52</v>
      </c>
      <c r="I820" s="116">
        <v>1658</v>
      </c>
      <c r="J820" s="118" t="s">
        <v>273</v>
      </c>
    </row>
    <row r="821" spans="1:10" x14ac:dyDescent="0.25">
      <c r="A821" s="116">
        <v>818</v>
      </c>
      <c r="B821" s="117" t="s">
        <v>1650</v>
      </c>
      <c r="C821" s="118" t="s">
        <v>1651</v>
      </c>
      <c r="D821" s="118" t="s">
        <v>463</v>
      </c>
      <c r="E821" s="118" t="s">
        <v>1652</v>
      </c>
      <c r="F821" s="119">
        <v>73.631921164713475</v>
      </c>
      <c r="G821" s="119">
        <v>76.687521164713473</v>
      </c>
      <c r="H821" s="119">
        <v>29.71</v>
      </c>
      <c r="I821" s="116">
        <v>2105</v>
      </c>
      <c r="J821" s="118" t="s">
        <v>273</v>
      </c>
    </row>
    <row r="822" spans="1:10" x14ac:dyDescent="0.25">
      <c r="A822" s="116">
        <v>819</v>
      </c>
      <c r="B822" s="117" t="s">
        <v>1653</v>
      </c>
      <c r="C822" s="118" t="s">
        <v>1654</v>
      </c>
      <c r="D822" s="118" t="s">
        <v>463</v>
      </c>
      <c r="E822" s="118" t="s">
        <v>1652</v>
      </c>
      <c r="F822" s="119">
        <v>70.904857832565526</v>
      </c>
      <c r="G822" s="119">
        <v>74.071557832565517</v>
      </c>
      <c r="H822" s="119">
        <v>29.7</v>
      </c>
      <c r="I822" s="116">
        <v>2823</v>
      </c>
      <c r="J822" s="118" t="s">
        <v>273</v>
      </c>
    </row>
    <row r="823" spans="1:10" x14ac:dyDescent="0.25">
      <c r="A823" s="116">
        <v>820</v>
      </c>
      <c r="B823" s="117" t="s">
        <v>1655</v>
      </c>
      <c r="C823" s="118" t="s">
        <v>1656</v>
      </c>
      <c r="D823" s="118" t="s">
        <v>453</v>
      </c>
      <c r="E823" s="118" t="s">
        <v>1657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1658</v>
      </c>
      <c r="C824" s="118" t="s">
        <v>1659</v>
      </c>
      <c r="D824" s="118" t="s">
        <v>453</v>
      </c>
      <c r="E824" s="118" t="s">
        <v>1657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1671</v>
      </c>
      <c r="C825" s="118" t="s">
        <v>1672</v>
      </c>
      <c r="D825" s="118" t="s">
        <v>453</v>
      </c>
      <c r="E825" s="118" t="s">
        <v>1673</v>
      </c>
      <c r="F825" s="119">
        <v>34400</v>
      </c>
      <c r="G825" s="119">
        <v>34400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1674</v>
      </c>
      <c r="C826" s="118" t="s">
        <v>1675</v>
      </c>
      <c r="D826" s="118" t="s">
        <v>453</v>
      </c>
      <c r="E826" s="118" t="s">
        <v>1673</v>
      </c>
      <c r="F826" s="119">
        <v>17800</v>
      </c>
      <c r="G826" s="119">
        <v>17800</v>
      </c>
      <c r="H826" s="119">
        <v>0</v>
      </c>
      <c r="I826" s="116">
        <v>0</v>
      </c>
      <c r="J826" s="118" t="s">
        <v>242</v>
      </c>
    </row>
    <row r="827" spans="1:10" x14ac:dyDescent="0.25">
      <c r="A827" s="116">
        <v>824</v>
      </c>
      <c r="B827" s="117" t="s">
        <v>1676</v>
      </c>
      <c r="C827" s="118" t="s">
        <v>1677</v>
      </c>
      <c r="D827" s="118" t="s">
        <v>453</v>
      </c>
      <c r="E827" s="118" t="s">
        <v>1678</v>
      </c>
      <c r="F827" s="119">
        <v>1000</v>
      </c>
      <c r="G827" s="119">
        <v>1000</v>
      </c>
      <c r="H827" s="119">
        <v>0</v>
      </c>
      <c r="I827" s="116">
        <v>259</v>
      </c>
      <c r="J827" s="118" t="s">
        <v>242</v>
      </c>
    </row>
    <row r="828" spans="1:10" x14ac:dyDescent="0.25">
      <c r="A828" s="116">
        <v>825</v>
      </c>
      <c r="B828" s="117" t="s">
        <v>1679</v>
      </c>
      <c r="C828" s="118" t="s">
        <v>1680</v>
      </c>
      <c r="D828" s="118" t="s">
        <v>453</v>
      </c>
      <c r="E828" s="118" t="s">
        <v>1681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1682</v>
      </c>
      <c r="C829" s="118" t="s">
        <v>1683</v>
      </c>
      <c r="D829" s="118" t="s">
        <v>453</v>
      </c>
      <c r="E829" s="118" t="s">
        <v>1684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1685</v>
      </c>
      <c r="C830" s="118" t="s">
        <v>1686</v>
      </c>
      <c r="D830" s="118" t="s">
        <v>453</v>
      </c>
      <c r="E830" s="118" t="s">
        <v>1684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242</v>
      </c>
    </row>
    <row r="831" spans="1:10" x14ac:dyDescent="0.25">
      <c r="A831" s="116">
        <v>828</v>
      </c>
      <c r="B831" s="117" t="s">
        <v>1660</v>
      </c>
      <c r="C831" s="118" t="s">
        <v>1661</v>
      </c>
      <c r="D831" s="118" t="s">
        <v>463</v>
      </c>
      <c r="E831" s="118" t="s">
        <v>1662</v>
      </c>
      <c r="F831" s="119">
        <v>98.516000000000005</v>
      </c>
      <c r="G831" s="119">
        <v>100.0566</v>
      </c>
      <c r="H831" s="119">
        <v>4.24</v>
      </c>
      <c r="I831" s="116">
        <v>927</v>
      </c>
      <c r="J831" s="118" t="s">
        <v>273</v>
      </c>
    </row>
    <row r="832" spans="1:10" x14ac:dyDescent="0.25">
      <c r="A832" s="116">
        <v>829</v>
      </c>
      <c r="B832" s="117" t="s">
        <v>1663</v>
      </c>
      <c r="C832" s="118" t="s">
        <v>1664</v>
      </c>
      <c r="D832" s="118" t="s">
        <v>463</v>
      </c>
      <c r="E832" s="118" t="s">
        <v>1662</v>
      </c>
      <c r="F832" s="119">
        <v>100.29968897434586</v>
      </c>
      <c r="G832" s="119">
        <v>101.64868897434586</v>
      </c>
      <c r="H832" s="119">
        <v>4.28</v>
      </c>
      <c r="I832" s="116">
        <v>1329</v>
      </c>
      <c r="J832" s="118" t="s">
        <v>273</v>
      </c>
    </row>
    <row r="833" spans="1:10" x14ac:dyDescent="0.25">
      <c r="A833" s="116">
        <v>830</v>
      </c>
      <c r="B833" s="117" t="s">
        <v>1665</v>
      </c>
      <c r="C833" s="118" t="s">
        <v>1666</v>
      </c>
      <c r="D833" s="118" t="s">
        <v>463</v>
      </c>
      <c r="E833" s="118" t="s">
        <v>1662</v>
      </c>
      <c r="F833" s="119">
        <v>97.296000000000006</v>
      </c>
      <c r="G833" s="119">
        <v>97.323800000000006</v>
      </c>
      <c r="H833" s="119">
        <v>4.4000000000000004</v>
      </c>
      <c r="I833" s="116">
        <v>536</v>
      </c>
      <c r="J833" s="118" t="s">
        <v>273</v>
      </c>
    </row>
    <row r="834" spans="1:10" x14ac:dyDescent="0.25">
      <c r="A834" s="116">
        <v>831</v>
      </c>
      <c r="B834" s="117" t="s">
        <v>1667</v>
      </c>
      <c r="C834" s="118" t="s">
        <v>1668</v>
      </c>
      <c r="D834" s="118" t="s">
        <v>463</v>
      </c>
      <c r="E834" s="118" t="s">
        <v>1662</v>
      </c>
      <c r="F834" s="119">
        <v>98.617000000000004</v>
      </c>
      <c r="G834" s="119">
        <v>99.528800000000004</v>
      </c>
      <c r="H834" s="119">
        <v>4.42</v>
      </c>
      <c r="I834" s="116">
        <v>439</v>
      </c>
      <c r="J834" s="118" t="s">
        <v>273</v>
      </c>
    </row>
    <row r="835" spans="1:10" x14ac:dyDescent="0.25">
      <c r="A835" s="116">
        <v>832</v>
      </c>
      <c r="B835" s="117" t="s">
        <v>1669</v>
      </c>
      <c r="C835" s="118" t="s">
        <v>1670</v>
      </c>
      <c r="D835" s="118" t="s">
        <v>453</v>
      </c>
      <c r="E835" s="118" t="s">
        <v>1662</v>
      </c>
      <c r="F835" s="119">
        <v>531.24159689999999</v>
      </c>
      <c r="G835" s="119">
        <v>531.24159689999999</v>
      </c>
      <c r="H835" s="119">
        <v>0</v>
      </c>
      <c r="I835" s="116">
        <v>613</v>
      </c>
      <c r="J835" s="118" t="s">
        <v>242</v>
      </c>
    </row>
    <row r="836" spans="1:10" x14ac:dyDescent="0.25">
      <c r="A836" s="116">
        <v>833</v>
      </c>
      <c r="B836" s="117" t="s">
        <v>1687</v>
      </c>
      <c r="C836" s="118" t="s">
        <v>1688</v>
      </c>
      <c r="D836" s="118" t="s">
        <v>453</v>
      </c>
      <c r="E836" s="118" t="s">
        <v>1689</v>
      </c>
      <c r="F836" s="119">
        <v>48069.550799999997</v>
      </c>
      <c r="G836" s="119">
        <v>48069.550799999997</v>
      </c>
      <c r="H836" s="119">
        <v>0</v>
      </c>
      <c r="I836" s="116">
        <v>0</v>
      </c>
      <c r="J836" s="118" t="s">
        <v>242</v>
      </c>
    </row>
    <row r="837" spans="1:10" x14ac:dyDescent="0.25">
      <c r="A837" s="116">
        <v>834</v>
      </c>
      <c r="B837" s="117" t="s">
        <v>2028</v>
      </c>
      <c r="C837" s="118" t="s">
        <v>2029</v>
      </c>
      <c r="D837" s="118" t="s">
        <v>463</v>
      </c>
      <c r="E837" s="118" t="s">
        <v>2030</v>
      </c>
      <c r="F837" s="119">
        <v>94.442563846434282</v>
      </c>
      <c r="G837" s="119">
        <v>94.836363846434281</v>
      </c>
      <c r="H837" s="119">
        <v>23.26</v>
      </c>
      <c r="I837" s="116">
        <v>893</v>
      </c>
      <c r="J837" s="118" t="s">
        <v>273</v>
      </c>
    </row>
    <row r="838" spans="1:10" x14ac:dyDescent="0.25">
      <c r="A838" s="116">
        <v>835</v>
      </c>
      <c r="B838" s="117" t="s">
        <v>2822</v>
      </c>
      <c r="C838" s="118" t="s">
        <v>2823</v>
      </c>
      <c r="D838" s="118" t="s">
        <v>453</v>
      </c>
      <c r="E838" s="118" t="s">
        <v>2030</v>
      </c>
      <c r="F838" s="119">
        <v>1000</v>
      </c>
      <c r="G838" s="119">
        <v>1000</v>
      </c>
      <c r="H838" s="119">
        <v>0</v>
      </c>
      <c r="I838" s="116">
        <v>0</v>
      </c>
      <c r="J838" s="118" t="s">
        <v>242</v>
      </c>
    </row>
    <row r="839" spans="1:10" x14ac:dyDescent="0.25">
      <c r="A839" s="116">
        <v>836</v>
      </c>
      <c r="B839" s="117" t="s">
        <v>1690</v>
      </c>
      <c r="C839" s="118" t="s">
        <v>1691</v>
      </c>
      <c r="D839" s="118" t="s">
        <v>463</v>
      </c>
      <c r="E839" s="118" t="s">
        <v>1692</v>
      </c>
      <c r="F839" s="119">
        <v>100</v>
      </c>
      <c r="G839" s="119">
        <v>100.1653</v>
      </c>
      <c r="H839" s="119">
        <v>4.24</v>
      </c>
      <c r="I839" s="116">
        <v>286</v>
      </c>
      <c r="J839" s="118" t="s">
        <v>273</v>
      </c>
    </row>
    <row r="840" spans="1:10" x14ac:dyDescent="0.25">
      <c r="A840" s="116">
        <v>837</v>
      </c>
      <c r="B840" s="117" t="s">
        <v>2159</v>
      </c>
      <c r="C840" s="118" t="s">
        <v>2160</v>
      </c>
      <c r="D840" s="118" t="s">
        <v>463</v>
      </c>
      <c r="E840" s="118" t="s">
        <v>1692</v>
      </c>
      <c r="F840" s="119">
        <v>100</v>
      </c>
      <c r="G840" s="119">
        <v>101.2868</v>
      </c>
      <c r="H840" s="119">
        <v>4.24</v>
      </c>
      <c r="I840" s="116">
        <v>551</v>
      </c>
      <c r="J840" s="118" t="s">
        <v>273</v>
      </c>
    </row>
    <row r="841" spans="1:10" x14ac:dyDescent="0.25">
      <c r="A841" s="116">
        <v>838</v>
      </c>
      <c r="B841" s="117" t="s">
        <v>1693</v>
      </c>
      <c r="C841" s="118" t="s">
        <v>1694</v>
      </c>
      <c r="D841" s="118" t="s">
        <v>463</v>
      </c>
      <c r="E841" s="118" t="s">
        <v>1692</v>
      </c>
      <c r="F841" s="119">
        <v>100</v>
      </c>
      <c r="G841" s="119">
        <v>100.0583</v>
      </c>
      <c r="H841" s="119">
        <v>0.35</v>
      </c>
      <c r="I841" s="116">
        <v>300</v>
      </c>
      <c r="J841" s="118" t="s">
        <v>273</v>
      </c>
    </row>
    <row r="842" spans="1:10" x14ac:dyDescent="0.25">
      <c r="A842" s="116">
        <v>839</v>
      </c>
      <c r="B842" s="117" t="s">
        <v>1695</v>
      </c>
      <c r="C842" s="118" t="s">
        <v>1696</v>
      </c>
      <c r="D842" s="118" t="s">
        <v>463</v>
      </c>
      <c r="E842" s="118" t="s">
        <v>1692</v>
      </c>
      <c r="F842" s="119">
        <v>95.004432727980657</v>
      </c>
      <c r="G842" s="119">
        <v>99.144432727980657</v>
      </c>
      <c r="H842" s="119">
        <v>19.71</v>
      </c>
      <c r="I842" s="116">
        <v>222</v>
      </c>
      <c r="J842" s="118" t="s">
        <v>273</v>
      </c>
    </row>
    <row r="843" spans="1:10" x14ac:dyDescent="0.25">
      <c r="A843" s="116">
        <v>840</v>
      </c>
      <c r="B843" s="117" t="s">
        <v>1697</v>
      </c>
      <c r="C843" s="118" t="s">
        <v>1698</v>
      </c>
      <c r="D843" s="118" t="s">
        <v>463</v>
      </c>
      <c r="E843" s="118" t="s">
        <v>1692</v>
      </c>
      <c r="F843" s="119">
        <v>100</v>
      </c>
      <c r="G843" s="119">
        <v>100.0001</v>
      </c>
      <c r="H843" s="119">
        <v>0.02</v>
      </c>
      <c r="I843" s="116">
        <v>3113</v>
      </c>
      <c r="J843" s="118" t="s">
        <v>273</v>
      </c>
    </row>
    <row r="844" spans="1:10" x14ac:dyDescent="0.25">
      <c r="A844" s="116">
        <v>841</v>
      </c>
      <c r="B844" s="117" t="s">
        <v>1699</v>
      </c>
      <c r="C844" s="118" t="s">
        <v>1700</v>
      </c>
      <c r="D844" s="118" t="s">
        <v>463</v>
      </c>
      <c r="E844" s="118" t="s">
        <v>1692</v>
      </c>
      <c r="F844" s="119">
        <v>100</v>
      </c>
      <c r="G844" s="119">
        <v>100.71169999999999</v>
      </c>
      <c r="H844" s="119">
        <v>6.08</v>
      </c>
      <c r="I844" s="116">
        <v>1728</v>
      </c>
      <c r="J844" s="118" t="s">
        <v>273</v>
      </c>
    </row>
    <row r="845" spans="1:10" x14ac:dyDescent="0.25">
      <c r="A845" s="116">
        <v>842</v>
      </c>
      <c r="B845" s="117" t="s">
        <v>1701</v>
      </c>
      <c r="C845" s="118" t="s">
        <v>1702</v>
      </c>
      <c r="D845" s="118" t="s">
        <v>463</v>
      </c>
      <c r="E845" s="118" t="s">
        <v>1692</v>
      </c>
      <c r="F845" s="119">
        <v>100</v>
      </c>
      <c r="G845" s="119">
        <v>105.5222</v>
      </c>
      <c r="H845" s="119">
        <v>7.08</v>
      </c>
      <c r="I845" s="116">
        <v>2210</v>
      </c>
      <c r="J845" s="118" t="s">
        <v>273</v>
      </c>
    </row>
    <row r="846" spans="1:10" x14ac:dyDescent="0.25">
      <c r="A846" s="116">
        <v>843</v>
      </c>
      <c r="B846" s="117" t="s">
        <v>1703</v>
      </c>
      <c r="C846" s="118" t="s">
        <v>1704</v>
      </c>
      <c r="D846" s="118" t="s">
        <v>463</v>
      </c>
      <c r="E846" s="118" t="s">
        <v>1692</v>
      </c>
      <c r="F846" s="119">
        <v>100</v>
      </c>
      <c r="G846" s="119">
        <v>105.98139999999999</v>
      </c>
      <c r="H846" s="119">
        <v>6.09</v>
      </c>
      <c r="I846" s="116">
        <v>2137</v>
      </c>
      <c r="J846" s="118" t="s">
        <v>273</v>
      </c>
    </row>
    <row r="847" spans="1:10" x14ac:dyDescent="0.25">
      <c r="A847" s="116">
        <v>844</v>
      </c>
      <c r="B847" s="117" t="s">
        <v>1705</v>
      </c>
      <c r="C847" s="118" t="s">
        <v>1706</v>
      </c>
      <c r="D847" s="118" t="s">
        <v>463</v>
      </c>
      <c r="E847" s="118" t="s">
        <v>1692</v>
      </c>
      <c r="F847" s="119">
        <v>100</v>
      </c>
      <c r="G847" s="119">
        <v>104.8292</v>
      </c>
      <c r="H847" s="119">
        <v>6.08</v>
      </c>
      <c r="I847" s="116">
        <v>2565</v>
      </c>
      <c r="J847" s="118" t="s">
        <v>273</v>
      </c>
    </row>
    <row r="848" spans="1:10" x14ac:dyDescent="0.25">
      <c r="A848" s="116">
        <v>845</v>
      </c>
      <c r="B848" s="117" t="s">
        <v>1707</v>
      </c>
      <c r="C848" s="118" t="s">
        <v>1708</v>
      </c>
      <c r="D848" s="118" t="s">
        <v>463</v>
      </c>
      <c r="E848" s="118" t="s">
        <v>1692</v>
      </c>
      <c r="F848" s="119">
        <v>100</v>
      </c>
      <c r="G848" s="119">
        <v>104.8292</v>
      </c>
      <c r="H848" s="119">
        <v>6.08</v>
      </c>
      <c r="I848" s="116">
        <v>2565</v>
      </c>
      <c r="J848" s="118" t="s">
        <v>273</v>
      </c>
    </row>
    <row r="849" spans="1:10" x14ac:dyDescent="0.25">
      <c r="A849" s="116">
        <v>846</v>
      </c>
      <c r="B849" s="117" t="s">
        <v>1709</v>
      </c>
      <c r="C849" s="118" t="s">
        <v>1710</v>
      </c>
      <c r="D849" s="118" t="s">
        <v>463</v>
      </c>
      <c r="E849" s="118" t="s">
        <v>1692</v>
      </c>
      <c r="F849" s="119">
        <v>100</v>
      </c>
      <c r="G849" s="119">
        <v>103.6939</v>
      </c>
      <c r="H849" s="119">
        <v>6.08</v>
      </c>
      <c r="I849" s="116">
        <v>2632</v>
      </c>
      <c r="J849" s="118" t="s">
        <v>273</v>
      </c>
    </row>
    <row r="850" spans="1:10" x14ac:dyDescent="0.25">
      <c r="A850" s="116">
        <v>847</v>
      </c>
      <c r="B850" s="117" t="s">
        <v>1711</v>
      </c>
      <c r="C850" s="118" t="s">
        <v>1712</v>
      </c>
      <c r="D850" s="118" t="s">
        <v>453</v>
      </c>
      <c r="E850" s="118" t="s">
        <v>1713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1714</v>
      </c>
      <c r="C851" s="118" t="s">
        <v>1715</v>
      </c>
      <c r="D851" s="118" t="s">
        <v>453</v>
      </c>
      <c r="E851" s="118" t="s">
        <v>1716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242</v>
      </c>
    </row>
    <row r="852" spans="1:10" x14ac:dyDescent="0.25">
      <c r="A852" s="116">
        <v>849</v>
      </c>
      <c r="B852" s="117" t="s">
        <v>1717</v>
      </c>
      <c r="C852" s="118" t="s">
        <v>1718</v>
      </c>
      <c r="D852" s="118" t="s">
        <v>463</v>
      </c>
      <c r="E852" s="118" t="s">
        <v>1719</v>
      </c>
      <c r="F852" s="119">
        <v>91.73806682864209</v>
      </c>
      <c r="G852" s="119">
        <v>92.310966828642094</v>
      </c>
      <c r="H852" s="119">
        <v>20.57</v>
      </c>
      <c r="I852" s="116">
        <v>525</v>
      </c>
      <c r="J852" s="118" t="s">
        <v>273</v>
      </c>
    </row>
    <row r="853" spans="1:10" x14ac:dyDescent="0.25">
      <c r="A853" s="116">
        <v>850</v>
      </c>
      <c r="B853" s="117" t="s">
        <v>1720</v>
      </c>
      <c r="C853" s="118" t="s">
        <v>1721</v>
      </c>
      <c r="D853" s="118" t="s">
        <v>463</v>
      </c>
      <c r="E853" s="118" t="s">
        <v>1722</v>
      </c>
      <c r="F853" s="119">
        <v>100</v>
      </c>
      <c r="G853" s="119">
        <v>100.1069</v>
      </c>
      <c r="H853" s="119">
        <v>0.35</v>
      </c>
      <c r="I853" s="116">
        <v>70</v>
      </c>
      <c r="J853" s="118" t="s">
        <v>273</v>
      </c>
    </row>
    <row r="854" spans="1:10" x14ac:dyDescent="0.25">
      <c r="A854" s="116">
        <v>851</v>
      </c>
      <c r="B854" s="117" t="s">
        <v>1723</v>
      </c>
      <c r="C854" s="118" t="s">
        <v>1724</v>
      </c>
      <c r="D854" s="118" t="s">
        <v>463</v>
      </c>
      <c r="E854" s="118" t="s">
        <v>1722</v>
      </c>
      <c r="F854" s="119">
        <v>100</v>
      </c>
      <c r="G854" s="119">
        <v>100.06610000000001</v>
      </c>
      <c r="H854" s="119">
        <v>0.35</v>
      </c>
      <c r="I854" s="116">
        <v>112</v>
      </c>
      <c r="J854" s="118" t="s">
        <v>273</v>
      </c>
    </row>
    <row r="855" spans="1:10" x14ac:dyDescent="0.25">
      <c r="A855" s="116">
        <v>852</v>
      </c>
      <c r="B855" s="117" t="s">
        <v>1725</v>
      </c>
      <c r="C855" s="118" t="s">
        <v>1726</v>
      </c>
      <c r="D855" s="118" t="s">
        <v>463</v>
      </c>
      <c r="E855" s="118" t="s">
        <v>1722</v>
      </c>
      <c r="F855" s="119">
        <v>100</v>
      </c>
      <c r="G855" s="119">
        <v>100.0583</v>
      </c>
      <c r="H855" s="119">
        <v>0.35</v>
      </c>
      <c r="I855" s="116">
        <v>300</v>
      </c>
      <c r="J855" s="118" t="s">
        <v>273</v>
      </c>
    </row>
    <row r="856" spans="1:10" x14ac:dyDescent="0.25">
      <c r="A856" s="116">
        <v>853</v>
      </c>
      <c r="B856" s="117" t="s">
        <v>1727</v>
      </c>
      <c r="C856" s="118" t="s">
        <v>1728</v>
      </c>
      <c r="D856" s="118" t="s">
        <v>463</v>
      </c>
      <c r="E856" s="118" t="s">
        <v>1722</v>
      </c>
      <c r="F856" s="119">
        <v>100</v>
      </c>
      <c r="G856" s="119">
        <v>100.0154</v>
      </c>
      <c r="H856" s="119">
        <v>0.02</v>
      </c>
      <c r="I856" s="116">
        <v>3113</v>
      </c>
      <c r="J856" s="118" t="s">
        <v>273</v>
      </c>
    </row>
    <row r="857" spans="1:10" x14ac:dyDescent="0.25">
      <c r="A857" s="116">
        <v>854</v>
      </c>
      <c r="B857" s="117" t="s">
        <v>1729</v>
      </c>
      <c r="C857" s="118" t="s">
        <v>1730</v>
      </c>
      <c r="D857" s="118" t="s">
        <v>463</v>
      </c>
      <c r="E857" s="118" t="s">
        <v>1722</v>
      </c>
      <c r="F857" s="119">
        <v>100</v>
      </c>
      <c r="G857" s="119">
        <v>100.71169999999999</v>
      </c>
      <c r="H857" s="119">
        <v>6.08</v>
      </c>
      <c r="I857" s="116">
        <v>1728</v>
      </c>
      <c r="J857" s="118" t="s">
        <v>273</v>
      </c>
    </row>
    <row r="858" spans="1:10" x14ac:dyDescent="0.25">
      <c r="A858" s="116">
        <v>855</v>
      </c>
      <c r="B858" s="117" t="s">
        <v>1731</v>
      </c>
      <c r="C858" s="118" t="s">
        <v>1732</v>
      </c>
      <c r="D858" s="118" t="s">
        <v>463</v>
      </c>
      <c r="E858" s="118" t="s">
        <v>1722</v>
      </c>
      <c r="F858" s="119">
        <v>100</v>
      </c>
      <c r="G858" s="119">
        <v>105.5222</v>
      </c>
      <c r="H858" s="119">
        <v>7.08</v>
      </c>
      <c r="I858" s="116">
        <v>2210</v>
      </c>
      <c r="J858" s="118" t="s">
        <v>273</v>
      </c>
    </row>
    <row r="859" spans="1:10" x14ac:dyDescent="0.25">
      <c r="A859" s="116">
        <v>856</v>
      </c>
      <c r="B859" s="117" t="s">
        <v>2353</v>
      </c>
      <c r="C859" s="118" t="s">
        <v>2354</v>
      </c>
      <c r="D859" s="118" t="s">
        <v>463</v>
      </c>
      <c r="E859" s="118" t="s">
        <v>1722</v>
      </c>
      <c r="F859" s="119">
        <v>91.142901693916656</v>
      </c>
      <c r="G859" s="119">
        <v>92.103501693916655</v>
      </c>
      <c r="H859" s="119">
        <v>20.32</v>
      </c>
      <c r="I859" s="116">
        <v>3581</v>
      </c>
      <c r="J859" s="118" t="s">
        <v>273</v>
      </c>
    </row>
    <row r="860" spans="1:10" x14ac:dyDescent="0.25">
      <c r="A860" s="116">
        <v>857</v>
      </c>
      <c r="B860" s="117" t="s">
        <v>2447</v>
      </c>
      <c r="C860" s="118" t="s">
        <v>2448</v>
      </c>
      <c r="D860" s="118" t="s">
        <v>463</v>
      </c>
      <c r="E860" s="118" t="s">
        <v>1722</v>
      </c>
      <c r="F860" s="119">
        <v>91.146934647447111</v>
      </c>
      <c r="G860" s="119">
        <v>91.500834647447107</v>
      </c>
      <c r="H860" s="119">
        <v>20.329999999999998</v>
      </c>
      <c r="I860" s="116">
        <v>3593</v>
      </c>
      <c r="J860" s="118" t="s">
        <v>273</v>
      </c>
    </row>
    <row r="861" spans="1:10" x14ac:dyDescent="0.25">
      <c r="A861" s="116">
        <v>858</v>
      </c>
      <c r="B861" s="117" t="s">
        <v>1733</v>
      </c>
      <c r="C861" s="118" t="s">
        <v>1734</v>
      </c>
      <c r="D861" s="118" t="s">
        <v>463</v>
      </c>
      <c r="E861" s="118" t="s">
        <v>1722</v>
      </c>
      <c r="F861" s="119">
        <v>100</v>
      </c>
      <c r="G861" s="119">
        <v>105.98139999999999</v>
      </c>
      <c r="H861" s="119">
        <v>6.09</v>
      </c>
      <c r="I861" s="116">
        <v>2137</v>
      </c>
      <c r="J861" s="118" t="s">
        <v>273</v>
      </c>
    </row>
    <row r="862" spans="1:10" x14ac:dyDescent="0.25">
      <c r="A862" s="116">
        <v>859</v>
      </c>
      <c r="B862" s="117" t="s">
        <v>1735</v>
      </c>
      <c r="C862" s="118" t="s">
        <v>1736</v>
      </c>
      <c r="D862" s="118" t="s">
        <v>463</v>
      </c>
      <c r="E862" s="118" t="s">
        <v>1722</v>
      </c>
      <c r="F862" s="119">
        <v>100</v>
      </c>
      <c r="G862" s="119">
        <v>104.8292</v>
      </c>
      <c r="H862" s="119">
        <v>6.08</v>
      </c>
      <c r="I862" s="116">
        <v>2565</v>
      </c>
      <c r="J862" s="118" t="s">
        <v>273</v>
      </c>
    </row>
    <row r="863" spans="1:10" x14ac:dyDescent="0.25">
      <c r="A863" s="116">
        <v>860</v>
      </c>
      <c r="B863" s="117" t="s">
        <v>1737</v>
      </c>
      <c r="C863" s="118" t="s">
        <v>1738</v>
      </c>
      <c r="D863" s="118" t="s">
        <v>463</v>
      </c>
      <c r="E863" s="118" t="s">
        <v>1722</v>
      </c>
      <c r="F863" s="119">
        <v>100</v>
      </c>
      <c r="G863" s="119">
        <v>104.8292</v>
      </c>
      <c r="H863" s="119">
        <v>6.08</v>
      </c>
      <c r="I863" s="116">
        <v>2565</v>
      </c>
      <c r="J863" s="118" t="s">
        <v>273</v>
      </c>
    </row>
    <row r="864" spans="1:10" x14ac:dyDescent="0.25">
      <c r="A864" s="116">
        <v>861</v>
      </c>
      <c r="B864" s="117" t="s">
        <v>1739</v>
      </c>
      <c r="C864" s="118" t="s">
        <v>1740</v>
      </c>
      <c r="D864" s="118" t="s">
        <v>463</v>
      </c>
      <c r="E864" s="118" t="s">
        <v>1722</v>
      </c>
      <c r="F864" s="119">
        <v>100</v>
      </c>
      <c r="G864" s="119">
        <v>103.6939</v>
      </c>
      <c r="H864" s="119">
        <v>6.08</v>
      </c>
      <c r="I864" s="116">
        <v>2632</v>
      </c>
      <c r="J864" s="118" t="s">
        <v>273</v>
      </c>
    </row>
    <row r="865" spans="1:10" x14ac:dyDescent="0.25">
      <c r="A865" s="116">
        <v>862</v>
      </c>
      <c r="B865" s="117" t="s">
        <v>430</v>
      </c>
      <c r="C865" s="118" t="s">
        <v>431</v>
      </c>
      <c r="D865" s="118" t="s">
        <v>463</v>
      </c>
      <c r="E865" s="118" t="s">
        <v>437</v>
      </c>
      <c r="F865" s="119">
        <v>90.222446376146692</v>
      </c>
      <c r="G865" s="119">
        <v>90.339146376146687</v>
      </c>
      <c r="H865" s="119">
        <v>16.46</v>
      </c>
      <c r="I865" s="116">
        <v>716</v>
      </c>
      <c r="J865" s="118" t="s">
        <v>273</v>
      </c>
    </row>
    <row r="866" spans="1:10" x14ac:dyDescent="0.25">
      <c r="A866" s="116">
        <v>863</v>
      </c>
      <c r="B866" s="117" t="s">
        <v>432</v>
      </c>
      <c r="C866" s="118" t="s">
        <v>433</v>
      </c>
      <c r="D866" s="118" t="s">
        <v>463</v>
      </c>
      <c r="E866" s="118" t="s">
        <v>437</v>
      </c>
      <c r="F866" s="119">
        <v>96.375817930863946</v>
      </c>
      <c r="G866" s="119">
        <v>96.925817930863943</v>
      </c>
      <c r="H866" s="119">
        <v>5.09</v>
      </c>
      <c r="I866" s="116">
        <v>441</v>
      </c>
      <c r="J866" s="118" t="s">
        <v>273</v>
      </c>
    </row>
    <row r="867" spans="1:10" x14ac:dyDescent="0.25">
      <c r="A867" s="116">
        <v>864</v>
      </c>
      <c r="B867" s="117" t="s">
        <v>1741</v>
      </c>
      <c r="C867" s="118" t="s">
        <v>1742</v>
      </c>
      <c r="D867" s="118" t="s">
        <v>453</v>
      </c>
      <c r="E867" s="118" t="s">
        <v>1743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242</v>
      </c>
    </row>
    <row r="868" spans="1:10" x14ac:dyDescent="0.25">
      <c r="A868" s="116">
        <v>865</v>
      </c>
      <c r="B868" s="117" t="s">
        <v>1744</v>
      </c>
      <c r="C868" s="118" t="s">
        <v>1745</v>
      </c>
      <c r="D868" s="118" t="s">
        <v>463</v>
      </c>
      <c r="E868" s="118" t="s">
        <v>1746</v>
      </c>
      <c r="F868" s="119">
        <v>98.380965872574961</v>
      </c>
      <c r="G868" s="119">
        <v>100.46536587257495</v>
      </c>
      <c r="H868" s="119">
        <v>16.53</v>
      </c>
      <c r="I868" s="116">
        <v>113</v>
      </c>
      <c r="J868" s="118" t="s">
        <v>273</v>
      </c>
    </row>
    <row r="869" spans="1:10" x14ac:dyDescent="0.25">
      <c r="A869" s="116">
        <v>866</v>
      </c>
      <c r="B869" s="117" t="s">
        <v>1747</v>
      </c>
      <c r="C869" s="118" t="s">
        <v>1748</v>
      </c>
      <c r="D869" s="118" t="s">
        <v>463</v>
      </c>
      <c r="E869" s="118" t="s">
        <v>1749</v>
      </c>
      <c r="F869" s="119">
        <v>95.534395056910313</v>
      </c>
      <c r="G869" s="119">
        <v>101.63019505691031</v>
      </c>
      <c r="H869" s="119">
        <v>29.93</v>
      </c>
      <c r="I869" s="116">
        <v>3253</v>
      </c>
      <c r="J869" s="118" t="s">
        <v>273</v>
      </c>
    </row>
    <row r="870" spans="1:10" x14ac:dyDescent="0.25">
      <c r="A870" s="116">
        <v>867</v>
      </c>
      <c r="B870" s="117" t="s">
        <v>2111</v>
      </c>
      <c r="C870" s="118" t="s">
        <v>1894</v>
      </c>
      <c r="D870" s="118" t="s">
        <v>765</v>
      </c>
      <c r="E870" s="118" t="s">
        <v>1895</v>
      </c>
      <c r="F870" s="119">
        <v>337566.64769999997</v>
      </c>
      <c r="G870" s="119">
        <v>337566.64769999997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1750</v>
      </c>
      <c r="C871" s="118" t="s">
        <v>1751</v>
      </c>
      <c r="D871" s="118" t="s">
        <v>453</v>
      </c>
      <c r="E871" s="118" t="s">
        <v>1752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242</v>
      </c>
    </row>
    <row r="872" spans="1:10" x14ac:dyDescent="0.25">
      <c r="A872" s="116">
        <v>869</v>
      </c>
      <c r="B872" s="117" t="s">
        <v>2235</v>
      </c>
      <c r="C872" s="118" t="s">
        <v>2236</v>
      </c>
      <c r="D872" s="118" t="s">
        <v>463</v>
      </c>
      <c r="E872" s="118" t="s">
        <v>2237</v>
      </c>
      <c r="F872" s="119">
        <v>101.03030356372653</v>
      </c>
      <c r="G872" s="119">
        <v>105.05530356372653</v>
      </c>
      <c r="H872" s="119">
        <v>20.5</v>
      </c>
      <c r="I872" s="116">
        <v>1011</v>
      </c>
      <c r="J872" s="118" t="s">
        <v>273</v>
      </c>
    </row>
    <row r="873" spans="1:10" x14ac:dyDescent="0.25">
      <c r="A873" s="116">
        <v>870</v>
      </c>
      <c r="B873" s="117" t="s">
        <v>1756</v>
      </c>
      <c r="C873" s="118" t="s">
        <v>1757</v>
      </c>
      <c r="D873" s="118" t="s">
        <v>463</v>
      </c>
      <c r="E873" s="118" t="s">
        <v>434</v>
      </c>
      <c r="F873" s="119">
        <v>100</v>
      </c>
      <c r="G873" s="119">
        <v>100.8625</v>
      </c>
      <c r="H873" s="119">
        <v>11.5</v>
      </c>
      <c r="I873" s="116">
        <v>2313</v>
      </c>
      <c r="J873" s="118" t="s">
        <v>273</v>
      </c>
    </row>
    <row r="874" spans="1:10" x14ac:dyDescent="0.25">
      <c r="A874" s="116">
        <v>871</v>
      </c>
      <c r="B874" s="117" t="s">
        <v>435</v>
      </c>
      <c r="C874" s="118" t="s">
        <v>436</v>
      </c>
      <c r="D874" s="118" t="s">
        <v>463</v>
      </c>
      <c r="E874" s="118" t="s">
        <v>434</v>
      </c>
      <c r="F874" s="119">
        <v>100</v>
      </c>
      <c r="G874" s="119">
        <v>102.8167</v>
      </c>
      <c r="H874" s="119">
        <v>12.98</v>
      </c>
      <c r="I874" s="116">
        <v>1182</v>
      </c>
      <c r="J874" s="118" t="s">
        <v>273</v>
      </c>
    </row>
    <row r="875" spans="1:10" x14ac:dyDescent="0.25">
      <c r="A875" s="116">
        <v>872</v>
      </c>
      <c r="B875" s="117" t="s">
        <v>1758</v>
      </c>
      <c r="C875" s="118" t="s">
        <v>1759</v>
      </c>
      <c r="D875" s="118" t="s">
        <v>463</v>
      </c>
      <c r="E875" s="118" t="s">
        <v>641</v>
      </c>
      <c r="F875" s="119">
        <v>100</v>
      </c>
      <c r="G875" s="119">
        <v>101.5111</v>
      </c>
      <c r="H875" s="119">
        <v>8</v>
      </c>
      <c r="I875" s="116">
        <v>472</v>
      </c>
      <c r="J875" s="118" t="s">
        <v>273</v>
      </c>
    </row>
    <row r="876" spans="1:10" x14ac:dyDescent="0.25">
      <c r="A876" s="116">
        <v>873</v>
      </c>
      <c r="B876" s="117" t="s">
        <v>1760</v>
      </c>
      <c r="C876" s="118" t="s">
        <v>1761</v>
      </c>
      <c r="D876" s="118" t="s">
        <v>463</v>
      </c>
      <c r="E876" s="118" t="s">
        <v>641</v>
      </c>
      <c r="F876" s="119">
        <v>100</v>
      </c>
      <c r="G876" s="119">
        <v>101.5111</v>
      </c>
      <c r="H876" s="119">
        <v>8</v>
      </c>
      <c r="I876" s="116">
        <v>2272</v>
      </c>
      <c r="J876" s="118" t="s">
        <v>273</v>
      </c>
    </row>
    <row r="877" spans="1:10" x14ac:dyDescent="0.25">
      <c r="A877" s="116">
        <v>874</v>
      </c>
      <c r="B877" s="117" t="s">
        <v>1762</v>
      </c>
      <c r="C877" s="118" t="s">
        <v>1763</v>
      </c>
      <c r="D877" s="118" t="s">
        <v>463</v>
      </c>
      <c r="E877" s="118" t="s">
        <v>641</v>
      </c>
      <c r="F877" s="119">
        <v>100</v>
      </c>
      <c r="G877" s="119">
        <v>102.5111</v>
      </c>
      <c r="H877" s="119">
        <v>8</v>
      </c>
      <c r="I877" s="116">
        <v>247</v>
      </c>
      <c r="J877" s="118" t="s">
        <v>273</v>
      </c>
    </row>
    <row r="878" spans="1:10" x14ac:dyDescent="0.25">
      <c r="A878" s="116">
        <v>875</v>
      </c>
      <c r="B878" s="117" t="s">
        <v>1764</v>
      </c>
      <c r="C878" s="118" t="s">
        <v>1765</v>
      </c>
      <c r="D878" s="118" t="s">
        <v>463</v>
      </c>
      <c r="E878" s="118" t="s">
        <v>641</v>
      </c>
      <c r="F878" s="119">
        <v>100</v>
      </c>
      <c r="G878" s="119">
        <v>102.5111</v>
      </c>
      <c r="H878" s="119">
        <v>8</v>
      </c>
      <c r="I878" s="116">
        <v>247</v>
      </c>
      <c r="J878" s="118" t="s">
        <v>273</v>
      </c>
    </row>
    <row r="879" spans="1:10" x14ac:dyDescent="0.25">
      <c r="A879" s="116">
        <v>876</v>
      </c>
      <c r="B879" s="117" t="s">
        <v>1766</v>
      </c>
      <c r="C879" s="118" t="s">
        <v>1767</v>
      </c>
      <c r="D879" s="118" t="s">
        <v>463</v>
      </c>
      <c r="E879" s="118" t="s">
        <v>641</v>
      </c>
      <c r="F879" s="119">
        <v>100</v>
      </c>
      <c r="G879" s="119">
        <v>102.5111</v>
      </c>
      <c r="H879" s="119">
        <v>8</v>
      </c>
      <c r="I879" s="116">
        <v>607</v>
      </c>
      <c r="J879" s="118" t="s">
        <v>273</v>
      </c>
    </row>
    <row r="880" spans="1:10" x14ac:dyDescent="0.25">
      <c r="A880" s="116">
        <v>877</v>
      </c>
      <c r="B880" s="117" t="s">
        <v>1768</v>
      </c>
      <c r="C880" s="118" t="s">
        <v>1769</v>
      </c>
      <c r="D880" s="118" t="s">
        <v>463</v>
      </c>
      <c r="E880" s="118" t="s">
        <v>641</v>
      </c>
      <c r="F880" s="119">
        <v>100</v>
      </c>
      <c r="G880" s="119">
        <v>102.5111</v>
      </c>
      <c r="H880" s="119">
        <v>8</v>
      </c>
      <c r="I880" s="116">
        <v>607</v>
      </c>
      <c r="J880" s="118" t="s">
        <v>273</v>
      </c>
    </row>
    <row r="881" spans="1:10" x14ac:dyDescent="0.25">
      <c r="A881" s="116">
        <v>878</v>
      </c>
      <c r="B881" s="117" t="s">
        <v>1770</v>
      </c>
      <c r="C881" s="118" t="s">
        <v>1771</v>
      </c>
      <c r="D881" s="118" t="s">
        <v>463</v>
      </c>
      <c r="E881" s="118" t="s">
        <v>1772</v>
      </c>
      <c r="F881" s="119">
        <v>91.037159544709809</v>
      </c>
      <c r="G881" s="119">
        <v>100.25385954470981</v>
      </c>
      <c r="H881" s="119">
        <v>23.28</v>
      </c>
      <c r="I881" s="116">
        <v>1452</v>
      </c>
      <c r="J881" s="118" t="s">
        <v>273</v>
      </c>
    </row>
    <row r="882" spans="1:10" x14ac:dyDescent="0.25">
      <c r="A882" s="116">
        <v>879</v>
      </c>
      <c r="B882" s="117" t="s">
        <v>1773</v>
      </c>
      <c r="C882" s="118" t="s">
        <v>1774</v>
      </c>
      <c r="D882" s="118" t="s">
        <v>463</v>
      </c>
      <c r="E882" s="118" t="s">
        <v>1775</v>
      </c>
      <c r="F882" s="119">
        <v>100</v>
      </c>
      <c r="G882" s="119">
        <v>100.059</v>
      </c>
      <c r="H882" s="119">
        <v>4.24</v>
      </c>
      <c r="I882" s="116">
        <v>295</v>
      </c>
      <c r="J882" s="118" t="s">
        <v>273</v>
      </c>
    </row>
    <row r="883" spans="1:10" x14ac:dyDescent="0.25">
      <c r="A883" s="116">
        <v>880</v>
      </c>
      <c r="B883" s="117" t="s">
        <v>1776</v>
      </c>
      <c r="C883" s="118" t="s">
        <v>1777</v>
      </c>
      <c r="D883" s="118" t="s">
        <v>463</v>
      </c>
      <c r="E883" s="118" t="s">
        <v>1775</v>
      </c>
      <c r="F883" s="119">
        <v>100</v>
      </c>
      <c r="G883" s="119">
        <v>100.0729</v>
      </c>
      <c r="H883" s="119">
        <v>0.35</v>
      </c>
      <c r="I883" s="116">
        <v>105</v>
      </c>
      <c r="J883" s="118" t="s">
        <v>273</v>
      </c>
    </row>
    <row r="884" spans="1:10" x14ac:dyDescent="0.25">
      <c r="A884" s="116">
        <v>881</v>
      </c>
      <c r="B884" s="117" t="s">
        <v>1778</v>
      </c>
      <c r="C884" s="118" t="s">
        <v>1779</v>
      </c>
      <c r="D884" s="118" t="s">
        <v>463</v>
      </c>
      <c r="E884" s="118" t="s">
        <v>1775</v>
      </c>
      <c r="F884" s="119">
        <v>100</v>
      </c>
      <c r="G884" s="119">
        <v>100.0583</v>
      </c>
      <c r="H884" s="119">
        <v>0.35</v>
      </c>
      <c r="I884" s="116">
        <v>300</v>
      </c>
      <c r="J884" s="118" t="s">
        <v>273</v>
      </c>
    </row>
    <row r="885" spans="1:10" x14ac:dyDescent="0.25">
      <c r="A885" s="116">
        <v>882</v>
      </c>
      <c r="B885" s="117" t="s">
        <v>2195</v>
      </c>
      <c r="C885" s="118" t="s">
        <v>2196</v>
      </c>
      <c r="D885" s="118" t="s">
        <v>463</v>
      </c>
      <c r="E885" s="118" t="s">
        <v>1775</v>
      </c>
      <c r="F885" s="119">
        <v>100</v>
      </c>
      <c r="G885" s="119">
        <v>100.08069999999999</v>
      </c>
      <c r="H885" s="119">
        <v>0.35</v>
      </c>
      <c r="I885" s="116">
        <v>637</v>
      </c>
      <c r="J885" s="118" t="s">
        <v>273</v>
      </c>
    </row>
    <row r="886" spans="1:10" x14ac:dyDescent="0.25">
      <c r="A886" s="116">
        <v>883</v>
      </c>
      <c r="B886" s="117" t="s">
        <v>2007</v>
      </c>
      <c r="C886" s="118" t="s">
        <v>2008</v>
      </c>
      <c r="D886" s="118" t="s">
        <v>463</v>
      </c>
      <c r="E886" s="118" t="s">
        <v>1775</v>
      </c>
      <c r="F886" s="119">
        <v>100</v>
      </c>
      <c r="G886" s="119">
        <v>100.0128</v>
      </c>
      <c r="H886" s="119">
        <v>0.02</v>
      </c>
      <c r="I886" s="116">
        <v>3113</v>
      </c>
      <c r="J886" s="118" t="s">
        <v>273</v>
      </c>
    </row>
    <row r="887" spans="1:10" x14ac:dyDescent="0.25">
      <c r="A887" s="116">
        <v>884</v>
      </c>
      <c r="B887" s="117" t="s">
        <v>1780</v>
      </c>
      <c r="C887" s="118" t="s">
        <v>1781</v>
      </c>
      <c r="D887" s="118" t="s">
        <v>463</v>
      </c>
      <c r="E887" s="118" t="s">
        <v>1775</v>
      </c>
      <c r="F887" s="119">
        <v>100</v>
      </c>
      <c r="G887" s="119">
        <v>104.3981</v>
      </c>
      <c r="H887" s="119">
        <v>7.05</v>
      </c>
      <c r="I887" s="116">
        <v>2210</v>
      </c>
      <c r="J887" s="118" t="s">
        <v>273</v>
      </c>
    </row>
    <row r="888" spans="1:10" x14ac:dyDescent="0.25">
      <c r="A888" s="116">
        <v>885</v>
      </c>
      <c r="B888" s="117" t="s">
        <v>1782</v>
      </c>
      <c r="C888" s="118" t="s">
        <v>1783</v>
      </c>
      <c r="D888" s="118" t="s">
        <v>463</v>
      </c>
      <c r="E888" s="118" t="s">
        <v>1775</v>
      </c>
      <c r="F888" s="119">
        <v>100</v>
      </c>
      <c r="G888" s="119">
        <v>100.0027</v>
      </c>
      <c r="H888" s="119">
        <v>0.02</v>
      </c>
      <c r="I888" s="116">
        <v>3113</v>
      </c>
      <c r="J888" s="118" t="s">
        <v>273</v>
      </c>
    </row>
    <row r="889" spans="1:10" x14ac:dyDescent="0.25">
      <c r="A889" s="116">
        <v>886</v>
      </c>
      <c r="B889" s="117" t="s">
        <v>1784</v>
      </c>
      <c r="C889" s="118" t="s">
        <v>1785</v>
      </c>
      <c r="D889" s="118" t="s">
        <v>463</v>
      </c>
      <c r="E889" s="118" t="s">
        <v>1775</v>
      </c>
      <c r="F889" s="119">
        <v>100</v>
      </c>
      <c r="G889" s="119">
        <v>100.00320000000001</v>
      </c>
      <c r="H889" s="119">
        <v>0.02</v>
      </c>
      <c r="I889" s="116">
        <v>3113</v>
      </c>
      <c r="J889" s="118" t="s">
        <v>273</v>
      </c>
    </row>
    <row r="890" spans="1:10" x14ac:dyDescent="0.25">
      <c r="A890" s="116">
        <v>887</v>
      </c>
      <c r="B890" s="117" t="s">
        <v>1786</v>
      </c>
      <c r="C890" s="118" t="s">
        <v>1787</v>
      </c>
      <c r="D890" s="118" t="s">
        <v>463</v>
      </c>
      <c r="E890" s="118" t="s">
        <v>1775</v>
      </c>
      <c r="F890" s="119">
        <v>100</v>
      </c>
      <c r="G890" s="119">
        <v>100.71169999999999</v>
      </c>
      <c r="H890" s="119">
        <v>6.08</v>
      </c>
      <c r="I890" s="116">
        <v>1728</v>
      </c>
      <c r="J890" s="118" t="s">
        <v>273</v>
      </c>
    </row>
    <row r="891" spans="1:10" x14ac:dyDescent="0.25">
      <c r="A891" s="116">
        <v>888</v>
      </c>
      <c r="B891" s="117" t="s">
        <v>1788</v>
      </c>
      <c r="C891" s="118" t="s">
        <v>1789</v>
      </c>
      <c r="D891" s="118" t="s">
        <v>463</v>
      </c>
      <c r="E891" s="118" t="s">
        <v>1775</v>
      </c>
      <c r="F891" s="119">
        <v>100</v>
      </c>
      <c r="G891" s="119">
        <v>105.98139999999999</v>
      </c>
      <c r="H891" s="119">
        <v>6.09</v>
      </c>
      <c r="I891" s="116">
        <v>2137</v>
      </c>
      <c r="J891" s="118" t="s">
        <v>273</v>
      </c>
    </row>
    <row r="892" spans="1:10" x14ac:dyDescent="0.25">
      <c r="A892" s="116">
        <v>889</v>
      </c>
      <c r="B892" s="117" t="s">
        <v>1790</v>
      </c>
      <c r="C892" s="118" t="s">
        <v>1791</v>
      </c>
      <c r="D892" s="118" t="s">
        <v>463</v>
      </c>
      <c r="E892" s="118" t="s">
        <v>1775</v>
      </c>
      <c r="F892" s="119">
        <v>100</v>
      </c>
      <c r="G892" s="119">
        <v>102.6264</v>
      </c>
      <c r="H892" s="119">
        <v>6.06</v>
      </c>
      <c r="I892" s="116">
        <v>2635</v>
      </c>
      <c r="J892" s="118" t="s">
        <v>273</v>
      </c>
    </row>
    <row r="893" spans="1:10" x14ac:dyDescent="0.25">
      <c r="A893" s="116">
        <v>890</v>
      </c>
      <c r="B893" s="117" t="s">
        <v>1792</v>
      </c>
      <c r="C893" s="118" t="s">
        <v>1793</v>
      </c>
      <c r="D893" s="118" t="s">
        <v>463</v>
      </c>
      <c r="E893" s="118" t="s">
        <v>1775</v>
      </c>
      <c r="F893" s="119">
        <v>100</v>
      </c>
      <c r="G893" s="119">
        <v>104.8292</v>
      </c>
      <c r="H893" s="119">
        <v>6.08</v>
      </c>
      <c r="I893" s="116">
        <v>2565</v>
      </c>
      <c r="J893" s="118" t="s">
        <v>273</v>
      </c>
    </row>
    <row r="894" spans="1:10" x14ac:dyDescent="0.25">
      <c r="A894" s="116">
        <v>891</v>
      </c>
      <c r="B894" s="117" t="s">
        <v>1794</v>
      </c>
      <c r="C894" s="118" t="s">
        <v>1795</v>
      </c>
      <c r="D894" s="118" t="s">
        <v>463</v>
      </c>
      <c r="E894" s="118" t="s">
        <v>1775</v>
      </c>
      <c r="F894" s="119">
        <v>100</v>
      </c>
      <c r="G894" s="119">
        <v>104.8292</v>
      </c>
      <c r="H894" s="119">
        <v>6.08</v>
      </c>
      <c r="I894" s="116">
        <v>2565</v>
      </c>
      <c r="J894" s="118" t="s">
        <v>273</v>
      </c>
    </row>
    <row r="895" spans="1:10" x14ac:dyDescent="0.25">
      <c r="A895" s="116">
        <v>892</v>
      </c>
      <c r="B895" s="117" t="s">
        <v>1796</v>
      </c>
      <c r="C895" s="118" t="s">
        <v>1797</v>
      </c>
      <c r="D895" s="118" t="s">
        <v>463</v>
      </c>
      <c r="E895" s="118" t="s">
        <v>1775</v>
      </c>
      <c r="F895" s="119">
        <v>100</v>
      </c>
      <c r="G895" s="119">
        <v>103.6939</v>
      </c>
      <c r="H895" s="119">
        <v>6.08</v>
      </c>
      <c r="I895" s="116">
        <v>2632</v>
      </c>
      <c r="J895" s="118" t="s">
        <v>273</v>
      </c>
    </row>
    <row r="896" spans="1:10" x14ac:dyDescent="0.25">
      <c r="A896" s="116">
        <v>893</v>
      </c>
      <c r="B896" s="117" t="s">
        <v>1798</v>
      </c>
      <c r="C896" s="118" t="s">
        <v>1799</v>
      </c>
      <c r="D896" s="118" t="s">
        <v>765</v>
      </c>
      <c r="E896" s="118" t="s">
        <v>1090</v>
      </c>
      <c r="F896" s="119">
        <v>47250.305549999997</v>
      </c>
      <c r="G896" s="119">
        <v>47250.305549999997</v>
      </c>
      <c r="H896" s="119">
        <v>0</v>
      </c>
      <c r="I896" s="116">
        <v>0</v>
      </c>
      <c r="J896" s="118" t="s">
        <v>242</v>
      </c>
    </row>
    <row r="897" spans="1:10" x14ac:dyDescent="0.25">
      <c r="A897" s="116">
        <v>894</v>
      </c>
      <c r="B897" s="117" t="s">
        <v>1800</v>
      </c>
      <c r="C897" s="118" t="s">
        <v>1801</v>
      </c>
      <c r="D897" s="118" t="s">
        <v>463</v>
      </c>
      <c r="E897" s="118" t="s">
        <v>2140</v>
      </c>
      <c r="F897" s="119">
        <v>94.115776786352953</v>
      </c>
      <c r="G897" s="119">
        <v>97.351476786352961</v>
      </c>
      <c r="H897" s="119">
        <v>20.72</v>
      </c>
      <c r="I897" s="116">
        <v>258</v>
      </c>
      <c r="J897" s="118" t="s">
        <v>273</v>
      </c>
    </row>
    <row r="898" spans="1:10" x14ac:dyDescent="0.25">
      <c r="A898" s="116">
        <v>895</v>
      </c>
      <c r="B898" s="117" t="s">
        <v>1802</v>
      </c>
      <c r="C898" s="118" t="s">
        <v>1803</v>
      </c>
      <c r="D898" s="118" t="s">
        <v>463</v>
      </c>
      <c r="E898" s="118" t="s">
        <v>2140</v>
      </c>
      <c r="F898" s="119">
        <v>86.582933200847279</v>
      </c>
      <c r="G898" s="119">
        <v>86.919033200847281</v>
      </c>
      <c r="H898" s="119">
        <v>19.53</v>
      </c>
      <c r="I898" s="116">
        <v>707</v>
      </c>
      <c r="J898" s="118" t="s">
        <v>273</v>
      </c>
    </row>
    <row r="899" spans="1:10" x14ac:dyDescent="0.25">
      <c r="A899" s="116">
        <v>896</v>
      </c>
      <c r="B899" s="117" t="s">
        <v>1804</v>
      </c>
      <c r="C899" s="118" t="s">
        <v>1805</v>
      </c>
      <c r="D899" s="118" t="s">
        <v>463</v>
      </c>
      <c r="E899" s="118" t="s">
        <v>2140</v>
      </c>
      <c r="F899" s="119">
        <v>27.252484096870067</v>
      </c>
      <c r="G899" s="119">
        <v>28.180284096870064</v>
      </c>
      <c r="H899" s="119">
        <v>19.34</v>
      </c>
      <c r="I899" s="116">
        <v>3253</v>
      </c>
      <c r="J899" s="118" t="s">
        <v>273</v>
      </c>
    </row>
    <row r="900" spans="1:10" x14ac:dyDescent="0.25">
      <c r="A900" s="116">
        <v>897</v>
      </c>
      <c r="B900" s="117" t="s">
        <v>1806</v>
      </c>
      <c r="C900" s="118" t="s">
        <v>1807</v>
      </c>
      <c r="D900" s="118" t="s">
        <v>463</v>
      </c>
      <c r="E900" s="118" t="s">
        <v>2140</v>
      </c>
      <c r="F900" s="119">
        <v>66.811508702129942</v>
      </c>
      <c r="G900" s="119">
        <v>70.772608702129943</v>
      </c>
      <c r="H900" s="119">
        <v>19.36</v>
      </c>
      <c r="I900" s="116">
        <v>3296</v>
      </c>
      <c r="J900" s="118" t="s">
        <v>273</v>
      </c>
    </row>
    <row r="901" spans="1:10" x14ac:dyDescent="0.25">
      <c r="A901" s="116">
        <v>898</v>
      </c>
      <c r="B901" s="117" t="s">
        <v>1808</v>
      </c>
      <c r="C901" s="118" t="s">
        <v>1809</v>
      </c>
      <c r="D901" s="118" t="s">
        <v>463</v>
      </c>
      <c r="E901" s="118" t="s">
        <v>2140</v>
      </c>
      <c r="F901" s="119">
        <v>66.908076799002487</v>
      </c>
      <c r="G901" s="119">
        <v>71.539976799002488</v>
      </c>
      <c r="H901" s="119">
        <v>19.36</v>
      </c>
      <c r="I901" s="116">
        <v>3275</v>
      </c>
      <c r="J901" s="118" t="s">
        <v>273</v>
      </c>
    </row>
    <row r="902" spans="1:10" x14ac:dyDescent="0.25">
      <c r="A902" s="116">
        <v>899</v>
      </c>
      <c r="B902" s="117" t="s">
        <v>1810</v>
      </c>
      <c r="C902" s="118" t="s">
        <v>1811</v>
      </c>
      <c r="D902" s="118" t="s">
        <v>453</v>
      </c>
      <c r="E902" s="118" t="s">
        <v>1812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1813</v>
      </c>
      <c r="C903" s="118" t="s">
        <v>1814</v>
      </c>
      <c r="D903" s="118" t="s">
        <v>453</v>
      </c>
      <c r="E903" s="118" t="s">
        <v>1815</v>
      </c>
      <c r="F903" s="119">
        <v>2740</v>
      </c>
      <c r="G903" s="119">
        <v>2740</v>
      </c>
      <c r="H903" s="119">
        <v>0</v>
      </c>
      <c r="I903" s="116">
        <v>0</v>
      </c>
      <c r="J903" s="118" t="s">
        <v>242</v>
      </c>
    </row>
    <row r="904" spans="1:10" x14ac:dyDescent="0.25">
      <c r="A904" s="116">
        <v>901</v>
      </c>
      <c r="B904" s="117" t="s">
        <v>1816</v>
      </c>
      <c r="C904" s="118" t="s">
        <v>1817</v>
      </c>
      <c r="D904" s="118" t="s">
        <v>463</v>
      </c>
      <c r="E904" s="118" t="s">
        <v>1818</v>
      </c>
      <c r="F904" s="119">
        <v>105.241</v>
      </c>
      <c r="G904" s="119">
        <v>107.3802</v>
      </c>
      <c r="H904" s="119">
        <v>6.03</v>
      </c>
      <c r="I904" s="116">
        <v>1339</v>
      </c>
      <c r="J904" s="118" t="s">
        <v>273</v>
      </c>
    </row>
    <row r="905" spans="1:10" x14ac:dyDescent="0.25">
      <c r="A905" s="116">
        <v>902</v>
      </c>
      <c r="B905" s="117" t="s">
        <v>1819</v>
      </c>
      <c r="C905" s="118" t="s">
        <v>1820</v>
      </c>
      <c r="D905" s="118" t="s">
        <v>453</v>
      </c>
      <c r="E905" s="118" t="s">
        <v>2284</v>
      </c>
      <c r="F905" s="119">
        <v>0.01</v>
      </c>
      <c r="G905" s="119">
        <v>0.01</v>
      </c>
      <c r="H905" s="119">
        <v>0</v>
      </c>
      <c r="I905" s="116">
        <v>0</v>
      </c>
      <c r="J905" s="118" t="s">
        <v>242</v>
      </c>
    </row>
    <row r="906" spans="1:10" x14ac:dyDescent="0.25">
      <c r="A906" s="116">
        <v>903</v>
      </c>
      <c r="B906" s="117" t="s">
        <v>1821</v>
      </c>
      <c r="C906" s="118" t="s">
        <v>1822</v>
      </c>
      <c r="D906" s="118" t="s">
        <v>463</v>
      </c>
      <c r="E906" s="118" t="s">
        <v>2284</v>
      </c>
      <c r="F906" s="119">
        <v>83.155021432814877</v>
      </c>
      <c r="G906" s="119">
        <v>84.73002143281488</v>
      </c>
      <c r="H906" s="119">
        <v>16.7</v>
      </c>
      <c r="I906" s="116">
        <v>1017</v>
      </c>
      <c r="J906" s="118" t="s">
        <v>273</v>
      </c>
    </row>
    <row r="907" spans="1:10" x14ac:dyDescent="0.25">
      <c r="A907" s="116">
        <v>904</v>
      </c>
      <c r="B907" s="117" t="s">
        <v>1823</v>
      </c>
      <c r="C907" s="118" t="s">
        <v>1824</v>
      </c>
      <c r="D907" s="118" t="s">
        <v>463</v>
      </c>
      <c r="E907" s="118" t="s">
        <v>2284</v>
      </c>
      <c r="F907" s="119">
        <v>9.4489338643667562</v>
      </c>
      <c r="G907" s="119">
        <v>9.4853338643667566</v>
      </c>
      <c r="H907" s="119">
        <v>16.649999999999999</v>
      </c>
      <c r="I907" s="116">
        <v>5484</v>
      </c>
      <c r="J907" s="118" t="s">
        <v>273</v>
      </c>
    </row>
    <row r="908" spans="1:10" x14ac:dyDescent="0.25">
      <c r="A908" s="116">
        <v>905</v>
      </c>
      <c r="B908" s="117" t="s">
        <v>1825</v>
      </c>
      <c r="C908" s="118" t="s">
        <v>1826</v>
      </c>
      <c r="D908" s="118" t="s">
        <v>463</v>
      </c>
      <c r="E908" s="118" t="s">
        <v>2284</v>
      </c>
      <c r="F908" s="119">
        <v>26.424728116622294</v>
      </c>
      <c r="G908" s="119">
        <v>26.477228116622292</v>
      </c>
      <c r="H908" s="119">
        <v>17.23</v>
      </c>
      <c r="I908" s="116">
        <v>3051</v>
      </c>
      <c r="J908" s="118" t="s">
        <v>273</v>
      </c>
    </row>
    <row r="909" spans="1:10" x14ac:dyDescent="0.25">
      <c r="A909" s="116">
        <v>906</v>
      </c>
      <c r="B909" s="117" t="s">
        <v>1827</v>
      </c>
      <c r="C909" s="118" t="s">
        <v>1828</v>
      </c>
      <c r="D909" s="118" t="s">
        <v>463</v>
      </c>
      <c r="E909" s="118" t="s">
        <v>2284</v>
      </c>
      <c r="F909" s="119">
        <v>26.424728116622294</v>
      </c>
      <c r="G909" s="119">
        <v>26.477228116622292</v>
      </c>
      <c r="H909" s="119">
        <v>17.23</v>
      </c>
      <c r="I909" s="116">
        <v>3051</v>
      </c>
      <c r="J909" s="118" t="s">
        <v>273</v>
      </c>
    </row>
    <row r="910" spans="1:10" x14ac:dyDescent="0.25">
      <c r="A910" s="116">
        <v>907</v>
      </c>
      <c r="B910" s="117" t="s">
        <v>1829</v>
      </c>
      <c r="C910" s="118" t="s">
        <v>1830</v>
      </c>
      <c r="D910" s="118" t="s">
        <v>463</v>
      </c>
      <c r="E910" s="118" t="s">
        <v>2284</v>
      </c>
      <c r="F910" s="119">
        <v>4.5997082308411343</v>
      </c>
      <c r="G910" s="119">
        <v>4.6503082308411345</v>
      </c>
      <c r="H910" s="119">
        <v>16.84</v>
      </c>
      <c r="I910" s="116">
        <v>7284</v>
      </c>
      <c r="J910" s="118" t="s">
        <v>273</v>
      </c>
    </row>
    <row r="911" spans="1:10" x14ac:dyDescent="0.25">
      <c r="A911" s="116">
        <v>908</v>
      </c>
      <c r="B911" s="117" t="s">
        <v>1831</v>
      </c>
      <c r="C911" s="118" t="s">
        <v>1832</v>
      </c>
      <c r="D911" s="118" t="s">
        <v>463</v>
      </c>
      <c r="E911" s="118" t="s">
        <v>2284</v>
      </c>
      <c r="F911" s="119">
        <v>9.4490798600388732</v>
      </c>
      <c r="G911" s="119">
        <v>9.5273798600388737</v>
      </c>
      <c r="H911" s="119">
        <v>15.91</v>
      </c>
      <c r="I911" s="116">
        <v>5484</v>
      </c>
      <c r="J911" s="118" t="s">
        <v>273</v>
      </c>
    </row>
    <row r="912" spans="1:10" x14ac:dyDescent="0.25">
      <c r="A912" s="116">
        <v>909</v>
      </c>
      <c r="B912" s="117" t="s">
        <v>233</v>
      </c>
      <c r="C912" s="118" t="s">
        <v>234</v>
      </c>
      <c r="D912" s="118" t="s">
        <v>463</v>
      </c>
      <c r="E912" s="118" t="s">
        <v>2284</v>
      </c>
      <c r="F912" s="119">
        <v>26.571970810124952</v>
      </c>
      <c r="G912" s="119">
        <v>26.653070810124952</v>
      </c>
      <c r="H912" s="119">
        <v>16.22</v>
      </c>
      <c r="I912" s="116">
        <v>3038</v>
      </c>
      <c r="J912" s="118" t="s">
        <v>273</v>
      </c>
    </row>
    <row r="913" spans="1:10" x14ac:dyDescent="0.25">
      <c r="A913" s="116">
        <v>910</v>
      </c>
      <c r="B913" s="117" t="s">
        <v>1833</v>
      </c>
      <c r="C913" s="118" t="s">
        <v>1834</v>
      </c>
      <c r="D913" s="118" t="s">
        <v>463</v>
      </c>
      <c r="E913" s="118" t="s">
        <v>2284</v>
      </c>
      <c r="F913" s="119">
        <v>26.491979446490991</v>
      </c>
      <c r="G913" s="119">
        <v>26.546179446490992</v>
      </c>
      <c r="H913" s="119">
        <v>17.23</v>
      </c>
      <c r="I913" s="116">
        <v>3045</v>
      </c>
      <c r="J913" s="118" t="s">
        <v>273</v>
      </c>
    </row>
    <row r="914" spans="1:10" x14ac:dyDescent="0.25">
      <c r="A914" s="116">
        <v>911</v>
      </c>
      <c r="B914" s="117" t="s">
        <v>1835</v>
      </c>
      <c r="C914" s="118" t="s">
        <v>1836</v>
      </c>
      <c r="D914" s="118" t="s">
        <v>463</v>
      </c>
      <c r="E914" s="118" t="s">
        <v>2284</v>
      </c>
      <c r="F914" s="119">
        <v>26.424728116622294</v>
      </c>
      <c r="G914" s="119">
        <v>26.477228116622292</v>
      </c>
      <c r="H914" s="119">
        <v>17.23</v>
      </c>
      <c r="I914" s="116">
        <v>3051</v>
      </c>
      <c r="J914" s="118" t="s">
        <v>273</v>
      </c>
    </row>
    <row r="915" spans="1:10" x14ac:dyDescent="0.25">
      <c r="A915" s="116">
        <v>912</v>
      </c>
      <c r="B915" s="117" t="s">
        <v>235</v>
      </c>
      <c r="C915" s="118" t="s">
        <v>236</v>
      </c>
      <c r="D915" s="118" t="s">
        <v>463</v>
      </c>
      <c r="E915" s="118" t="s">
        <v>2284</v>
      </c>
      <c r="F915" s="119">
        <v>26.491979446490991</v>
      </c>
      <c r="G915" s="119">
        <v>26.546179446490992</v>
      </c>
      <c r="H915" s="119">
        <v>17.23</v>
      </c>
      <c r="I915" s="116">
        <v>3045</v>
      </c>
      <c r="J915" s="118" t="s">
        <v>273</v>
      </c>
    </row>
    <row r="916" spans="1:10" x14ac:dyDescent="0.25">
      <c r="A916" s="116">
        <v>913</v>
      </c>
      <c r="B916" s="117" t="s">
        <v>1837</v>
      </c>
      <c r="C916" s="118" t="s">
        <v>1838</v>
      </c>
      <c r="D916" s="118" t="s">
        <v>463</v>
      </c>
      <c r="E916" s="118" t="s">
        <v>2284</v>
      </c>
      <c r="F916" s="119">
        <v>96.898944438204069</v>
      </c>
      <c r="G916" s="119">
        <v>102.47394443820407</v>
      </c>
      <c r="H916" s="119">
        <v>17.61</v>
      </c>
      <c r="I916" s="116">
        <v>137</v>
      </c>
      <c r="J916" s="118" t="s">
        <v>273</v>
      </c>
    </row>
    <row r="917" spans="1:10" x14ac:dyDescent="0.25">
      <c r="A917" s="116">
        <v>914</v>
      </c>
      <c r="B917" s="117" t="s">
        <v>1839</v>
      </c>
      <c r="C917" s="118" t="s">
        <v>1840</v>
      </c>
      <c r="D917" s="118" t="s">
        <v>463</v>
      </c>
      <c r="E917" s="118" t="s">
        <v>2284</v>
      </c>
      <c r="F917" s="119">
        <v>85.229857489526708</v>
      </c>
      <c r="G917" s="119">
        <v>85.771557489526714</v>
      </c>
      <c r="H917" s="119">
        <v>16.77</v>
      </c>
      <c r="I917" s="116">
        <v>694</v>
      </c>
      <c r="J917" s="118" t="s">
        <v>273</v>
      </c>
    </row>
    <row r="918" spans="1:10" x14ac:dyDescent="0.25">
      <c r="A918" s="116">
        <v>915</v>
      </c>
      <c r="B918" s="117" t="s">
        <v>1841</v>
      </c>
      <c r="C918" s="118" t="s">
        <v>1842</v>
      </c>
      <c r="D918" s="118" t="s">
        <v>453</v>
      </c>
      <c r="E918" s="118" t="s">
        <v>2284</v>
      </c>
      <c r="F918" s="119">
        <v>590</v>
      </c>
      <c r="G918" s="119">
        <v>590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1843</v>
      </c>
      <c r="C919" s="118" t="s">
        <v>1844</v>
      </c>
      <c r="D919" s="118" t="s">
        <v>453</v>
      </c>
      <c r="E919" s="118" t="s">
        <v>2137</v>
      </c>
      <c r="F919" s="119">
        <v>169121.76615000001</v>
      </c>
      <c r="G919" s="119">
        <v>169121.76615000001</v>
      </c>
      <c r="H919" s="119">
        <v>0</v>
      </c>
      <c r="I919" s="116">
        <v>0</v>
      </c>
      <c r="J919" s="118" t="s">
        <v>242</v>
      </c>
    </row>
    <row r="920" spans="1:10" x14ac:dyDescent="0.25">
      <c r="A920" s="116">
        <v>917</v>
      </c>
      <c r="B920" s="117" t="s">
        <v>2335</v>
      </c>
      <c r="C920" s="118" t="s">
        <v>2336</v>
      </c>
      <c r="D920" s="118" t="s">
        <v>463</v>
      </c>
      <c r="E920" s="118" t="s">
        <v>1847</v>
      </c>
      <c r="F920" s="119">
        <v>91.505899999999997</v>
      </c>
      <c r="G920" s="119">
        <v>92.855900000000005</v>
      </c>
      <c r="H920" s="119">
        <v>22</v>
      </c>
      <c r="I920" s="116">
        <v>1053</v>
      </c>
      <c r="J920" s="118" t="s">
        <v>273</v>
      </c>
    </row>
    <row r="921" spans="1:10" x14ac:dyDescent="0.25">
      <c r="A921" s="116">
        <v>918</v>
      </c>
      <c r="B921" s="117" t="s">
        <v>1845</v>
      </c>
      <c r="C921" s="118" t="s">
        <v>1846</v>
      </c>
      <c r="D921" s="118" t="s">
        <v>463</v>
      </c>
      <c r="E921" s="118" t="s">
        <v>1847</v>
      </c>
      <c r="F921" s="119">
        <v>99.549682825665414</v>
      </c>
      <c r="G921" s="119">
        <v>103.43858282566541</v>
      </c>
      <c r="H921" s="119">
        <v>21.48</v>
      </c>
      <c r="I921" s="116">
        <v>110</v>
      </c>
      <c r="J921" s="118" t="s">
        <v>273</v>
      </c>
    </row>
    <row r="922" spans="1:10" x14ac:dyDescent="0.25">
      <c r="A922" s="116">
        <v>919</v>
      </c>
      <c r="B922" s="117" t="s">
        <v>1848</v>
      </c>
      <c r="C922" s="118" t="s">
        <v>1849</v>
      </c>
      <c r="D922" s="118" t="s">
        <v>463</v>
      </c>
      <c r="E922" s="118" t="s">
        <v>1847</v>
      </c>
      <c r="F922" s="119">
        <v>99.573356353736784</v>
      </c>
      <c r="G922" s="119">
        <v>103.74005635373678</v>
      </c>
      <c r="H922" s="119">
        <v>21.48</v>
      </c>
      <c r="I922" s="116">
        <v>105</v>
      </c>
      <c r="J922" s="118" t="s">
        <v>273</v>
      </c>
    </row>
    <row r="923" spans="1:10" x14ac:dyDescent="0.25">
      <c r="A923" s="116">
        <v>920</v>
      </c>
      <c r="B923" s="117" t="s">
        <v>1850</v>
      </c>
      <c r="C923" s="118" t="s">
        <v>1851</v>
      </c>
      <c r="D923" s="118" t="s">
        <v>453</v>
      </c>
      <c r="E923" s="118" t="s">
        <v>1852</v>
      </c>
      <c r="F923" s="119">
        <v>99445.629149999993</v>
      </c>
      <c r="G923" s="119">
        <v>99445.629149999993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1753</v>
      </c>
      <c r="C924" s="118" t="s">
        <v>1754</v>
      </c>
      <c r="D924" s="118" t="s">
        <v>453</v>
      </c>
      <c r="E924" s="118" t="s">
        <v>1755</v>
      </c>
      <c r="F924" s="119">
        <v>14985.472949999999</v>
      </c>
      <c r="G924" s="119">
        <v>14985.472949999999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1853</v>
      </c>
      <c r="C925" s="118" t="s">
        <v>1854</v>
      </c>
      <c r="D925" s="118" t="s">
        <v>453</v>
      </c>
      <c r="E925" s="118" t="s">
        <v>1855</v>
      </c>
      <c r="F925" s="119">
        <v>46750.700250000002</v>
      </c>
      <c r="G925" s="119">
        <v>46750.700250000002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1856</v>
      </c>
      <c r="C926" s="118" t="s">
        <v>1857</v>
      </c>
      <c r="D926" s="118" t="s">
        <v>453</v>
      </c>
      <c r="E926" s="118" t="s">
        <v>1858</v>
      </c>
      <c r="F926" s="119">
        <v>230803</v>
      </c>
      <c r="G926" s="119">
        <v>230803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1859</v>
      </c>
      <c r="C927" s="118" t="s">
        <v>1860</v>
      </c>
      <c r="D927" s="118" t="s">
        <v>765</v>
      </c>
      <c r="E927" s="118" t="s">
        <v>772</v>
      </c>
      <c r="F927" s="119">
        <v>22090.075199999999</v>
      </c>
      <c r="G927" s="119">
        <v>22090.075199999999</v>
      </c>
      <c r="H927" s="119">
        <v>0</v>
      </c>
      <c r="I927" s="116">
        <v>0</v>
      </c>
      <c r="J927" s="118" t="s">
        <v>242</v>
      </c>
    </row>
    <row r="928" spans="1:10" x14ac:dyDescent="0.25">
      <c r="A928" s="116">
        <v>925</v>
      </c>
      <c r="B928" s="117" t="s">
        <v>1896</v>
      </c>
      <c r="C928" s="118" t="s">
        <v>1897</v>
      </c>
      <c r="D928" s="118" t="s">
        <v>463</v>
      </c>
      <c r="E928" s="118" t="s">
        <v>1863</v>
      </c>
      <c r="F928" s="119">
        <v>96.671875</v>
      </c>
      <c r="G928" s="119">
        <v>98.330775000000003</v>
      </c>
      <c r="H928" s="119">
        <v>4.0199999999999996</v>
      </c>
      <c r="I928" s="116">
        <v>2749</v>
      </c>
      <c r="J928" s="118" t="s">
        <v>273</v>
      </c>
    </row>
    <row r="929" spans="1:10" x14ac:dyDescent="0.25">
      <c r="A929" s="116">
        <v>926</v>
      </c>
      <c r="B929" s="117" t="s">
        <v>1898</v>
      </c>
      <c r="C929" s="118" t="s">
        <v>1899</v>
      </c>
      <c r="D929" s="118" t="s">
        <v>463</v>
      </c>
      <c r="E929" s="118" t="s">
        <v>1863</v>
      </c>
      <c r="F929" s="119">
        <v>98.734375</v>
      </c>
      <c r="G929" s="119">
        <v>100.570975</v>
      </c>
      <c r="H929" s="119">
        <v>4.0599999999999996</v>
      </c>
      <c r="I929" s="116">
        <v>2930</v>
      </c>
      <c r="J929" s="118" t="s">
        <v>273</v>
      </c>
    </row>
    <row r="930" spans="1:10" x14ac:dyDescent="0.25">
      <c r="A930" s="116">
        <v>927</v>
      </c>
      <c r="B930" s="117" t="s">
        <v>1900</v>
      </c>
      <c r="C930" s="118" t="s">
        <v>1901</v>
      </c>
      <c r="D930" s="118" t="s">
        <v>463</v>
      </c>
      <c r="E930" s="118" t="s">
        <v>1863</v>
      </c>
      <c r="F930" s="119">
        <v>107.8671875</v>
      </c>
      <c r="G930" s="119">
        <v>110.4147875</v>
      </c>
      <c r="H930" s="119">
        <v>3.78</v>
      </c>
      <c r="I930" s="116">
        <v>2018</v>
      </c>
      <c r="J930" s="118" t="s">
        <v>273</v>
      </c>
    </row>
    <row r="931" spans="1:10" x14ac:dyDescent="0.25">
      <c r="A931" s="116">
        <v>928</v>
      </c>
      <c r="B931" s="117" t="s">
        <v>1902</v>
      </c>
      <c r="C931" s="118" t="s">
        <v>1903</v>
      </c>
      <c r="D931" s="118" t="s">
        <v>463</v>
      </c>
      <c r="E931" s="118" t="s">
        <v>1863</v>
      </c>
      <c r="F931" s="119">
        <v>97.2265625</v>
      </c>
      <c r="G931" s="119">
        <v>97.408762499999995</v>
      </c>
      <c r="H931" s="119">
        <v>3.8</v>
      </c>
      <c r="I931" s="116">
        <v>511</v>
      </c>
      <c r="J931" s="118" t="s">
        <v>273</v>
      </c>
    </row>
    <row r="932" spans="1:10" x14ac:dyDescent="0.25">
      <c r="A932" s="116">
        <v>929</v>
      </c>
      <c r="B932" s="117" t="s">
        <v>1904</v>
      </c>
      <c r="C932" s="118" t="s">
        <v>1905</v>
      </c>
      <c r="D932" s="118" t="s">
        <v>463</v>
      </c>
      <c r="E932" s="118" t="s">
        <v>1863</v>
      </c>
      <c r="F932" s="119">
        <v>92.7109375</v>
      </c>
      <c r="G932" s="119">
        <v>92.854137499999993</v>
      </c>
      <c r="H932" s="119">
        <v>3.68</v>
      </c>
      <c r="I932" s="116">
        <v>1242</v>
      </c>
      <c r="J932" s="118" t="s">
        <v>273</v>
      </c>
    </row>
    <row r="933" spans="1:10" x14ac:dyDescent="0.25">
      <c r="A933" s="116">
        <v>930</v>
      </c>
      <c r="B933" s="117" t="s">
        <v>1906</v>
      </c>
      <c r="C933" s="118" t="s">
        <v>1907</v>
      </c>
      <c r="D933" s="118" t="s">
        <v>463</v>
      </c>
      <c r="E933" s="118" t="s">
        <v>1863</v>
      </c>
      <c r="F933" s="119">
        <v>86.9296875</v>
      </c>
      <c r="G933" s="119">
        <v>87.462887499999994</v>
      </c>
      <c r="H933" s="119">
        <v>3.77</v>
      </c>
      <c r="I933" s="116">
        <v>2018</v>
      </c>
      <c r="J933" s="118" t="s">
        <v>273</v>
      </c>
    </row>
    <row r="934" spans="1:10" x14ac:dyDescent="0.25">
      <c r="A934" s="116">
        <v>931</v>
      </c>
      <c r="B934" s="117" t="s">
        <v>1908</v>
      </c>
      <c r="C934" s="118" t="s">
        <v>1909</v>
      </c>
      <c r="D934" s="118" t="s">
        <v>463</v>
      </c>
      <c r="E934" s="118" t="s">
        <v>1863</v>
      </c>
      <c r="F934" s="119">
        <v>98.921875</v>
      </c>
      <c r="G934" s="119">
        <v>98.945475000000002</v>
      </c>
      <c r="H934" s="119">
        <v>1.1299999999999999</v>
      </c>
      <c r="I934" s="116">
        <v>526</v>
      </c>
      <c r="J934" s="118" t="s">
        <v>273</v>
      </c>
    </row>
    <row r="935" spans="1:10" x14ac:dyDescent="0.25">
      <c r="A935" s="116">
        <v>932</v>
      </c>
      <c r="B935" s="117" t="s">
        <v>1910</v>
      </c>
      <c r="C935" s="118" t="s">
        <v>1911</v>
      </c>
      <c r="D935" s="118" t="s">
        <v>463</v>
      </c>
      <c r="E935" s="118" t="s">
        <v>1863</v>
      </c>
      <c r="F935" s="119">
        <v>100.03628535995139</v>
      </c>
      <c r="G935" s="119">
        <v>102.22808535995138</v>
      </c>
      <c r="H935" s="119">
        <v>4.3899999999999997</v>
      </c>
      <c r="I935" s="116">
        <v>24</v>
      </c>
      <c r="J935" s="118" t="s">
        <v>273</v>
      </c>
    </row>
    <row r="936" spans="1:10" x14ac:dyDescent="0.25">
      <c r="A936" s="116">
        <v>933</v>
      </c>
      <c r="B936" s="117" t="s">
        <v>1912</v>
      </c>
      <c r="C936" s="118" t="s">
        <v>1913</v>
      </c>
      <c r="D936" s="118" t="s">
        <v>463</v>
      </c>
      <c r="E936" s="118" t="s">
        <v>1863</v>
      </c>
      <c r="F936" s="119">
        <v>100.09148856837453</v>
      </c>
      <c r="G936" s="119">
        <v>101.85858856837453</v>
      </c>
      <c r="H936" s="119">
        <v>4.33</v>
      </c>
      <c r="I936" s="116">
        <v>54</v>
      </c>
      <c r="J936" s="118" t="s">
        <v>273</v>
      </c>
    </row>
    <row r="937" spans="1:10" x14ac:dyDescent="0.25">
      <c r="A937" s="116">
        <v>934</v>
      </c>
      <c r="B937" s="117" t="s">
        <v>1914</v>
      </c>
      <c r="C937" s="118" t="s">
        <v>1915</v>
      </c>
      <c r="D937" s="118" t="s">
        <v>463</v>
      </c>
      <c r="E937" s="118" t="s">
        <v>1863</v>
      </c>
      <c r="F937" s="119">
        <v>100.19918638231877</v>
      </c>
      <c r="G937" s="119">
        <v>101.10738638231878</v>
      </c>
      <c r="H937" s="119">
        <v>4.21</v>
      </c>
      <c r="I937" s="116">
        <v>115</v>
      </c>
      <c r="J937" s="118" t="s">
        <v>273</v>
      </c>
    </row>
    <row r="938" spans="1:10" x14ac:dyDescent="0.25">
      <c r="A938" s="116">
        <v>935</v>
      </c>
      <c r="B938" s="117" t="s">
        <v>2009</v>
      </c>
      <c r="C938" s="118" t="s">
        <v>2010</v>
      </c>
      <c r="D938" s="118" t="s">
        <v>463</v>
      </c>
      <c r="E938" s="118" t="s">
        <v>1863</v>
      </c>
      <c r="F938" s="119">
        <v>100.94921875</v>
      </c>
      <c r="G938" s="119">
        <v>102.01361875000001</v>
      </c>
      <c r="H938" s="119">
        <v>3.85</v>
      </c>
      <c r="I938" s="116">
        <v>465</v>
      </c>
      <c r="J938" s="118" t="s">
        <v>273</v>
      </c>
    </row>
    <row r="939" spans="1:10" x14ac:dyDescent="0.25">
      <c r="A939" s="116">
        <v>936</v>
      </c>
      <c r="B939" s="117" t="s">
        <v>1916</v>
      </c>
      <c r="C939" s="118" t="s">
        <v>1917</v>
      </c>
      <c r="D939" s="118" t="s">
        <v>463</v>
      </c>
      <c r="E939" s="118" t="s">
        <v>1863</v>
      </c>
      <c r="F939" s="119">
        <v>103.953125</v>
      </c>
      <c r="G939" s="119">
        <v>104.814725</v>
      </c>
      <c r="H939" s="119">
        <v>3.86</v>
      </c>
      <c r="I939" s="116">
        <v>2123</v>
      </c>
      <c r="J939" s="118" t="s">
        <v>273</v>
      </c>
    </row>
    <row r="940" spans="1:10" x14ac:dyDescent="0.25">
      <c r="A940" s="116">
        <v>937</v>
      </c>
      <c r="B940" s="117" t="s">
        <v>1918</v>
      </c>
      <c r="C940" s="118" t="s">
        <v>1919</v>
      </c>
      <c r="D940" s="118" t="s">
        <v>463</v>
      </c>
      <c r="E940" s="118" t="s">
        <v>1863</v>
      </c>
      <c r="F940" s="119">
        <v>101.78125</v>
      </c>
      <c r="G940" s="119">
        <v>102.78805</v>
      </c>
      <c r="H940" s="119">
        <v>4.13</v>
      </c>
      <c r="I940" s="116">
        <v>3203</v>
      </c>
      <c r="J940" s="118" t="s">
        <v>273</v>
      </c>
    </row>
    <row r="941" spans="1:10" x14ac:dyDescent="0.25">
      <c r="A941" s="116">
        <v>938</v>
      </c>
      <c r="B941" s="117" t="s">
        <v>2041</v>
      </c>
      <c r="C941" s="118" t="s">
        <v>2042</v>
      </c>
      <c r="D941" s="118" t="s">
        <v>463</v>
      </c>
      <c r="E941" s="118" t="s">
        <v>1863</v>
      </c>
      <c r="F941" s="119">
        <v>99.657806926148368</v>
      </c>
      <c r="G941" s="119">
        <v>99.657806926148368</v>
      </c>
      <c r="H941" s="119">
        <v>4.41</v>
      </c>
      <c r="I941" s="116">
        <v>27</v>
      </c>
      <c r="J941" s="118" t="s">
        <v>273</v>
      </c>
    </row>
    <row r="942" spans="1:10" x14ac:dyDescent="0.25">
      <c r="A942" s="116">
        <v>939</v>
      </c>
      <c r="B942" s="117" t="s">
        <v>2037</v>
      </c>
      <c r="C942" s="118" t="s">
        <v>2038</v>
      </c>
      <c r="D942" s="118" t="s">
        <v>463</v>
      </c>
      <c r="E942" s="118" t="s">
        <v>1863</v>
      </c>
      <c r="F942" s="119">
        <v>99.33548698187748</v>
      </c>
      <c r="G942" s="119">
        <v>99.33548698187748</v>
      </c>
      <c r="H942" s="119">
        <v>4.3</v>
      </c>
      <c r="I942" s="116">
        <v>55</v>
      </c>
      <c r="J942" s="118" t="s">
        <v>273</v>
      </c>
    </row>
    <row r="943" spans="1:10" x14ac:dyDescent="0.25">
      <c r="A943" s="116">
        <v>940</v>
      </c>
      <c r="B943" s="117" t="s">
        <v>2011</v>
      </c>
      <c r="C943" s="118" t="s">
        <v>2012</v>
      </c>
      <c r="D943" s="118" t="s">
        <v>463</v>
      </c>
      <c r="E943" s="118" t="s">
        <v>1863</v>
      </c>
      <c r="F943" s="119">
        <v>100.296875</v>
      </c>
      <c r="G943" s="119">
        <v>102.324275</v>
      </c>
      <c r="H943" s="119">
        <v>4.08</v>
      </c>
      <c r="I943" s="116">
        <v>205</v>
      </c>
      <c r="J943" s="118" t="s">
        <v>273</v>
      </c>
    </row>
    <row r="944" spans="1:10" x14ac:dyDescent="0.25">
      <c r="A944" s="116">
        <v>941</v>
      </c>
      <c r="B944" s="117" t="s">
        <v>2013</v>
      </c>
      <c r="C944" s="118" t="s">
        <v>2014</v>
      </c>
      <c r="D944" s="118" t="s">
        <v>463</v>
      </c>
      <c r="E944" s="118" t="s">
        <v>1863</v>
      </c>
      <c r="F944" s="119">
        <v>100.03125</v>
      </c>
      <c r="G944" s="119">
        <v>100.11275000000001</v>
      </c>
      <c r="H944" s="119">
        <v>4.18</v>
      </c>
      <c r="I944" s="116">
        <v>177</v>
      </c>
      <c r="J944" s="118" t="s">
        <v>273</v>
      </c>
    </row>
    <row r="945" spans="1:10" x14ac:dyDescent="0.25">
      <c r="A945" s="116">
        <v>942</v>
      </c>
      <c r="B945" s="117" t="s">
        <v>2031</v>
      </c>
      <c r="C945" s="118" t="s">
        <v>2032</v>
      </c>
      <c r="D945" s="118" t="s">
        <v>463</v>
      </c>
      <c r="E945" s="118" t="s">
        <v>1863</v>
      </c>
      <c r="F945" s="119">
        <v>97.33203125</v>
      </c>
      <c r="G945" s="119">
        <v>97.772831249999996</v>
      </c>
      <c r="H945" s="119">
        <v>3.86</v>
      </c>
      <c r="I945" s="116">
        <v>450</v>
      </c>
      <c r="J945" s="118" t="s">
        <v>273</v>
      </c>
    </row>
    <row r="946" spans="1:10" x14ac:dyDescent="0.25">
      <c r="A946" s="116">
        <v>943</v>
      </c>
      <c r="B946" s="117" t="s">
        <v>2033</v>
      </c>
      <c r="C946" s="118" t="s">
        <v>2034</v>
      </c>
      <c r="D946" s="118" t="s">
        <v>463</v>
      </c>
      <c r="E946" s="118" t="s">
        <v>1863</v>
      </c>
      <c r="F946" s="119">
        <v>100.125</v>
      </c>
      <c r="G946" s="119">
        <v>101.2182</v>
      </c>
      <c r="H946" s="119">
        <v>4.74</v>
      </c>
      <c r="I946" s="116">
        <v>6674</v>
      </c>
      <c r="J946" s="118" t="s">
        <v>273</v>
      </c>
    </row>
    <row r="947" spans="1:10" x14ac:dyDescent="0.25">
      <c r="A947" s="116">
        <v>944</v>
      </c>
      <c r="B947" s="117" t="s">
        <v>2210</v>
      </c>
      <c r="C947" s="118" t="s">
        <v>2211</v>
      </c>
      <c r="D947" s="118" t="s">
        <v>463</v>
      </c>
      <c r="E947" s="118" t="s">
        <v>1863</v>
      </c>
      <c r="F947" s="119">
        <v>99.031383664429413</v>
      </c>
      <c r="G947" s="119">
        <v>99.031383664429413</v>
      </c>
      <c r="H947" s="119">
        <v>4.1900000000000004</v>
      </c>
      <c r="I947" s="116">
        <v>83</v>
      </c>
      <c r="J947" s="118" t="s">
        <v>273</v>
      </c>
    </row>
    <row r="948" spans="1:10" x14ac:dyDescent="0.25">
      <c r="A948" s="116">
        <v>945</v>
      </c>
      <c r="B948" s="117" t="s">
        <v>2212</v>
      </c>
      <c r="C948" s="118" t="s">
        <v>2213</v>
      </c>
      <c r="D948" s="118" t="s">
        <v>463</v>
      </c>
      <c r="E948" s="118" t="s">
        <v>1863</v>
      </c>
      <c r="F948" s="119">
        <v>98.712135669959267</v>
      </c>
      <c r="G948" s="119">
        <v>98.712135669959267</v>
      </c>
      <c r="H948" s="119">
        <v>4.16</v>
      </c>
      <c r="I948" s="116">
        <v>111</v>
      </c>
      <c r="J948" s="118" t="s">
        <v>273</v>
      </c>
    </row>
    <row r="949" spans="1:10" x14ac:dyDescent="0.25">
      <c r="A949" s="116">
        <v>946</v>
      </c>
      <c r="B949" s="117" t="s">
        <v>2214</v>
      </c>
      <c r="C949" s="118" t="s">
        <v>2215</v>
      </c>
      <c r="D949" s="118" t="s">
        <v>463</v>
      </c>
      <c r="E949" s="118" t="s">
        <v>1863</v>
      </c>
      <c r="F949" s="119">
        <v>98.424752841092015</v>
      </c>
      <c r="G949" s="119">
        <v>98.424752841092015</v>
      </c>
      <c r="H949" s="119">
        <v>4.09</v>
      </c>
      <c r="I949" s="116">
        <v>139</v>
      </c>
      <c r="J949" s="118" t="s">
        <v>273</v>
      </c>
    </row>
    <row r="950" spans="1:10" x14ac:dyDescent="0.25">
      <c r="A950" s="116">
        <v>947</v>
      </c>
      <c r="B950" s="117" t="s">
        <v>2216</v>
      </c>
      <c r="C950" s="118" t="s">
        <v>2217</v>
      </c>
      <c r="D950" s="118" t="s">
        <v>463</v>
      </c>
      <c r="E950" s="118" t="s">
        <v>1863</v>
      </c>
      <c r="F950" s="119">
        <v>98.15796356580887</v>
      </c>
      <c r="G950" s="119">
        <v>98.15796356580887</v>
      </c>
      <c r="H950" s="119">
        <v>4.0199999999999996</v>
      </c>
      <c r="I950" s="116">
        <v>165</v>
      </c>
      <c r="J950" s="118" t="s">
        <v>273</v>
      </c>
    </row>
    <row r="951" spans="1:10" x14ac:dyDescent="0.25">
      <c r="A951" s="116">
        <v>948</v>
      </c>
      <c r="B951" s="117" t="s">
        <v>2221</v>
      </c>
      <c r="C951" s="118" t="s">
        <v>2222</v>
      </c>
      <c r="D951" s="118" t="s">
        <v>463</v>
      </c>
      <c r="E951" s="118" t="s">
        <v>1863</v>
      </c>
      <c r="F951" s="119">
        <v>97.932728512590245</v>
      </c>
      <c r="G951" s="119">
        <v>97.932728512590245</v>
      </c>
      <c r="H951" s="119">
        <v>3.88</v>
      </c>
      <c r="I951" s="116">
        <v>192</v>
      </c>
      <c r="J951" s="118" t="s">
        <v>273</v>
      </c>
    </row>
    <row r="952" spans="1:10" x14ac:dyDescent="0.25">
      <c r="A952" s="116">
        <v>949</v>
      </c>
      <c r="B952" s="117" t="s">
        <v>2223</v>
      </c>
      <c r="C952" s="118" t="s">
        <v>2224</v>
      </c>
      <c r="D952" s="118" t="s">
        <v>463</v>
      </c>
      <c r="E952" s="118" t="s">
        <v>1863</v>
      </c>
      <c r="F952" s="119">
        <v>97.63837188014891</v>
      </c>
      <c r="G952" s="119">
        <v>97.63837188014891</v>
      </c>
      <c r="H952" s="119">
        <v>3.89</v>
      </c>
      <c r="I952" s="116">
        <v>222</v>
      </c>
      <c r="J952" s="118" t="s">
        <v>273</v>
      </c>
    </row>
    <row r="953" spans="1:10" x14ac:dyDescent="0.25">
      <c r="A953" s="116">
        <v>950</v>
      </c>
      <c r="B953" s="117" t="s">
        <v>2282</v>
      </c>
      <c r="C953" s="118" t="s">
        <v>2283</v>
      </c>
      <c r="D953" s="118" t="s">
        <v>463</v>
      </c>
      <c r="E953" s="118" t="s">
        <v>1863</v>
      </c>
      <c r="F953" s="119">
        <v>99.846402950128379</v>
      </c>
      <c r="G953" s="119">
        <v>99.846402950128379</v>
      </c>
      <c r="H953" s="119">
        <v>4.62</v>
      </c>
      <c r="I953" s="116">
        <v>12</v>
      </c>
      <c r="J953" s="118" t="s">
        <v>273</v>
      </c>
    </row>
    <row r="954" spans="1:10" x14ac:dyDescent="0.25">
      <c r="A954" s="116">
        <v>951</v>
      </c>
      <c r="B954" s="117" t="s">
        <v>2318</v>
      </c>
      <c r="C954" s="118" t="s">
        <v>2319</v>
      </c>
      <c r="D954" s="118" t="s">
        <v>463</v>
      </c>
      <c r="E954" s="118" t="s">
        <v>1863</v>
      </c>
      <c r="F954" s="119">
        <v>100.4609375</v>
      </c>
      <c r="G954" s="119">
        <v>100.5400375</v>
      </c>
      <c r="H954" s="119">
        <v>3.8</v>
      </c>
      <c r="I954" s="116">
        <v>542</v>
      </c>
      <c r="J954" s="118" t="s">
        <v>273</v>
      </c>
    </row>
    <row r="955" spans="1:10" x14ac:dyDescent="0.25">
      <c r="A955" s="116">
        <v>952</v>
      </c>
      <c r="B955" s="117" t="s">
        <v>2320</v>
      </c>
      <c r="C955" s="118" t="s">
        <v>2321</v>
      </c>
      <c r="D955" s="118" t="s">
        <v>463</v>
      </c>
      <c r="E955" s="118" t="s">
        <v>1863</v>
      </c>
      <c r="F955" s="119">
        <v>97.373913460963038</v>
      </c>
      <c r="G955" s="119">
        <v>97.373913460963038</v>
      </c>
      <c r="H955" s="119">
        <v>3.85</v>
      </c>
      <c r="I955" s="116">
        <v>249</v>
      </c>
      <c r="J955" s="118" t="s">
        <v>273</v>
      </c>
    </row>
    <row r="956" spans="1:10" x14ac:dyDescent="0.25">
      <c r="A956" s="116">
        <v>953</v>
      </c>
      <c r="B956" s="117" t="s">
        <v>2322</v>
      </c>
      <c r="C956" s="118" t="s">
        <v>2323</v>
      </c>
      <c r="D956" s="118" t="s">
        <v>463</v>
      </c>
      <c r="E956" s="118" t="s">
        <v>1863</v>
      </c>
      <c r="F956" s="119">
        <v>97.111970911727653</v>
      </c>
      <c r="G956" s="119">
        <v>97.111970911727653</v>
      </c>
      <c r="H956" s="119">
        <v>3.82</v>
      </c>
      <c r="I956" s="116">
        <v>277</v>
      </c>
      <c r="J956" s="118" t="s">
        <v>273</v>
      </c>
    </row>
    <row r="957" spans="1:10" x14ac:dyDescent="0.25">
      <c r="A957" s="116">
        <v>954</v>
      </c>
      <c r="B957" s="117" t="s">
        <v>2324</v>
      </c>
      <c r="C957" s="118" t="s">
        <v>2325</v>
      </c>
      <c r="D957" s="118" t="s">
        <v>463</v>
      </c>
      <c r="E957" s="118" t="s">
        <v>1863</v>
      </c>
      <c r="F957" s="119">
        <v>99.435867180197675</v>
      </c>
      <c r="G957" s="119">
        <v>99.435867180197675</v>
      </c>
      <c r="H957" s="119">
        <v>4.3499999999999996</v>
      </c>
      <c r="I957" s="116">
        <v>46</v>
      </c>
      <c r="J957" s="118" t="s">
        <v>273</v>
      </c>
    </row>
    <row r="958" spans="1:10" x14ac:dyDescent="0.25">
      <c r="A958" s="116">
        <v>955</v>
      </c>
      <c r="B958" s="117" t="s">
        <v>1861</v>
      </c>
      <c r="C958" s="118" t="s">
        <v>1862</v>
      </c>
      <c r="D958" s="118" t="s">
        <v>463</v>
      </c>
      <c r="E958" s="118" t="s">
        <v>1863</v>
      </c>
      <c r="F958" s="119">
        <v>109.0859375</v>
      </c>
      <c r="G958" s="119">
        <v>111.98903749999999</v>
      </c>
      <c r="H958" s="119">
        <v>3.67</v>
      </c>
      <c r="I958" s="116">
        <v>1469</v>
      </c>
      <c r="J958" s="118" t="s">
        <v>273</v>
      </c>
    </row>
    <row r="959" spans="1:10" x14ac:dyDescent="0.25">
      <c r="A959" s="116">
        <v>956</v>
      </c>
      <c r="B959" s="117" t="s">
        <v>1864</v>
      </c>
      <c r="C959" s="118" t="s">
        <v>1865</v>
      </c>
      <c r="D959" s="118" t="s">
        <v>463</v>
      </c>
      <c r="E959" s="118" t="s">
        <v>1863</v>
      </c>
      <c r="F959" s="119">
        <v>86.21875</v>
      </c>
      <c r="G959" s="119">
        <v>86.420150000000007</v>
      </c>
      <c r="H959" s="119">
        <v>3.78</v>
      </c>
      <c r="I959" s="116">
        <v>1926</v>
      </c>
      <c r="J959" s="118" t="s">
        <v>273</v>
      </c>
    </row>
    <row r="960" spans="1:10" x14ac:dyDescent="0.25">
      <c r="A960" s="116">
        <v>957</v>
      </c>
      <c r="B960" s="117" t="s">
        <v>1866</v>
      </c>
      <c r="C960" s="118" t="s">
        <v>1867</v>
      </c>
      <c r="D960" s="118" t="s">
        <v>463</v>
      </c>
      <c r="E960" s="118" t="s">
        <v>1863</v>
      </c>
      <c r="F960" s="119">
        <v>77.28125</v>
      </c>
      <c r="G960" s="119">
        <v>77.971649999999997</v>
      </c>
      <c r="H960" s="119">
        <v>4.82</v>
      </c>
      <c r="I960" s="116">
        <v>7040</v>
      </c>
      <c r="J960" s="118" t="s">
        <v>273</v>
      </c>
    </row>
    <row r="961" spans="1:10" x14ac:dyDescent="0.25">
      <c r="A961" s="116">
        <v>958</v>
      </c>
      <c r="B961" s="117" t="s">
        <v>1868</v>
      </c>
      <c r="C961" s="118" t="s">
        <v>1869</v>
      </c>
      <c r="D961" s="118" t="s">
        <v>463</v>
      </c>
      <c r="E961" s="118" t="s">
        <v>1863</v>
      </c>
      <c r="F961" s="119">
        <v>73.21875</v>
      </c>
      <c r="G961" s="119">
        <v>73.736549999999994</v>
      </c>
      <c r="H961" s="119">
        <v>4.67</v>
      </c>
      <c r="I961" s="116">
        <v>5760</v>
      </c>
      <c r="J961" s="118" t="s">
        <v>273</v>
      </c>
    </row>
    <row r="962" spans="1:10" x14ac:dyDescent="0.25">
      <c r="A962" s="116">
        <v>959</v>
      </c>
      <c r="B962" s="117" t="s">
        <v>1870</v>
      </c>
      <c r="C962" s="118" t="s">
        <v>1871</v>
      </c>
      <c r="D962" s="118" t="s">
        <v>463</v>
      </c>
      <c r="E962" s="118" t="s">
        <v>1863</v>
      </c>
      <c r="F962" s="119">
        <v>98.19921875</v>
      </c>
      <c r="G962" s="119">
        <v>98.206418749999997</v>
      </c>
      <c r="H962" s="119">
        <v>4.16</v>
      </c>
      <c r="I962" s="116">
        <v>177</v>
      </c>
      <c r="J962" s="118" t="s">
        <v>273</v>
      </c>
    </row>
    <row r="963" spans="1:10" x14ac:dyDescent="0.25">
      <c r="A963" s="116">
        <v>960</v>
      </c>
      <c r="B963" s="117" t="s">
        <v>1872</v>
      </c>
      <c r="C963" s="118" t="s">
        <v>1873</v>
      </c>
      <c r="D963" s="118" t="s">
        <v>463</v>
      </c>
      <c r="E963" s="118" t="s">
        <v>1863</v>
      </c>
      <c r="F963" s="119">
        <v>99.699223744816678</v>
      </c>
      <c r="G963" s="119">
        <v>100.51292374481669</v>
      </c>
      <c r="H963" s="119">
        <v>4.29</v>
      </c>
      <c r="I963" s="116">
        <v>85</v>
      </c>
      <c r="J963" s="118" t="s">
        <v>273</v>
      </c>
    </row>
    <row r="964" spans="1:10" x14ac:dyDescent="0.25">
      <c r="A964" s="116">
        <v>961</v>
      </c>
      <c r="B964" s="117" t="s">
        <v>1874</v>
      </c>
      <c r="C964" s="118" t="s">
        <v>1875</v>
      </c>
      <c r="D964" s="118" t="s">
        <v>463</v>
      </c>
      <c r="E964" s="118" t="s">
        <v>1863</v>
      </c>
      <c r="F964" s="119">
        <v>87.59375</v>
      </c>
      <c r="G964" s="119">
        <v>88.514250000000004</v>
      </c>
      <c r="H964" s="119">
        <v>4.82</v>
      </c>
      <c r="I964" s="116">
        <v>9962</v>
      </c>
      <c r="J964" s="118" t="s">
        <v>273</v>
      </c>
    </row>
    <row r="965" spans="1:10" x14ac:dyDescent="0.25">
      <c r="A965" s="116">
        <v>962</v>
      </c>
      <c r="B965" s="117" t="s">
        <v>1876</v>
      </c>
      <c r="C965" s="118" t="s">
        <v>1877</v>
      </c>
      <c r="D965" s="118" t="s">
        <v>463</v>
      </c>
      <c r="E965" s="118" t="s">
        <v>1863</v>
      </c>
      <c r="F965" s="119">
        <v>97.90234375</v>
      </c>
      <c r="G965" s="119">
        <v>98.167443750000004</v>
      </c>
      <c r="H965" s="119">
        <v>4.07</v>
      </c>
      <c r="I965" s="116">
        <v>236</v>
      </c>
      <c r="J965" s="118" t="s">
        <v>273</v>
      </c>
    </row>
    <row r="966" spans="1:10" x14ac:dyDescent="0.25">
      <c r="A966" s="116">
        <v>963</v>
      </c>
      <c r="B966" s="117" t="s">
        <v>1878</v>
      </c>
      <c r="C966" s="118" t="s">
        <v>1879</v>
      </c>
      <c r="D966" s="118" t="s">
        <v>463</v>
      </c>
      <c r="E966" s="118" t="s">
        <v>1863</v>
      </c>
      <c r="F966" s="119">
        <v>97.30078125</v>
      </c>
      <c r="G966" s="119">
        <v>97.391881249999997</v>
      </c>
      <c r="H966" s="119">
        <v>3.97</v>
      </c>
      <c r="I966" s="116">
        <v>327</v>
      </c>
      <c r="J966" s="118" t="s">
        <v>273</v>
      </c>
    </row>
    <row r="967" spans="1:10" x14ac:dyDescent="0.25">
      <c r="A967" s="116">
        <v>964</v>
      </c>
      <c r="B967" s="117" t="s">
        <v>1880</v>
      </c>
      <c r="C967" s="118" t="s">
        <v>1881</v>
      </c>
      <c r="D967" s="118" t="s">
        <v>463</v>
      </c>
      <c r="E967" s="118" t="s">
        <v>1863</v>
      </c>
      <c r="F967" s="119">
        <v>99.9609375</v>
      </c>
      <c r="G967" s="119">
        <v>100.5417375</v>
      </c>
      <c r="H967" s="119">
        <v>4.0999999999999996</v>
      </c>
      <c r="I967" s="116">
        <v>130</v>
      </c>
      <c r="J967" s="118" t="s">
        <v>273</v>
      </c>
    </row>
    <row r="968" spans="1:10" x14ac:dyDescent="0.25">
      <c r="A968" s="116">
        <v>965</v>
      </c>
      <c r="B968" s="117" t="s">
        <v>1882</v>
      </c>
      <c r="C968" s="118" t="s">
        <v>1883</v>
      </c>
      <c r="D968" s="118" t="s">
        <v>463</v>
      </c>
      <c r="E968" s="118" t="s">
        <v>1863</v>
      </c>
      <c r="F968" s="119">
        <v>99.80078125</v>
      </c>
      <c r="G968" s="119">
        <v>100.86108125</v>
      </c>
      <c r="H968" s="119">
        <v>4.34</v>
      </c>
      <c r="I968" s="116">
        <v>54</v>
      </c>
      <c r="J968" s="118" t="s">
        <v>273</v>
      </c>
    </row>
    <row r="969" spans="1:10" x14ac:dyDescent="0.25">
      <c r="A969" s="116">
        <v>966</v>
      </c>
      <c r="B969" s="117" t="s">
        <v>1884</v>
      </c>
      <c r="C969" s="118" t="s">
        <v>1885</v>
      </c>
      <c r="D969" s="118" t="s">
        <v>463</v>
      </c>
      <c r="E969" s="118" t="s">
        <v>1863</v>
      </c>
      <c r="F969" s="119">
        <v>99.88671875</v>
      </c>
      <c r="G969" s="119">
        <v>101.09221875</v>
      </c>
      <c r="H969" s="119">
        <v>4.47</v>
      </c>
      <c r="I969" s="116">
        <v>24</v>
      </c>
      <c r="J969" s="118" t="s">
        <v>273</v>
      </c>
    </row>
    <row r="970" spans="1:10" x14ac:dyDescent="0.25">
      <c r="A970" s="116">
        <v>967</v>
      </c>
      <c r="B970" s="117" t="s">
        <v>1886</v>
      </c>
      <c r="C970" s="118" t="s">
        <v>1887</v>
      </c>
      <c r="D970" s="118" t="s">
        <v>463</v>
      </c>
      <c r="E970" s="118" t="s">
        <v>1863</v>
      </c>
      <c r="F970" s="119">
        <v>93.625</v>
      </c>
      <c r="G970" s="119">
        <v>94.286600000000007</v>
      </c>
      <c r="H970" s="119">
        <v>3.96</v>
      </c>
      <c r="I970" s="116">
        <v>2473</v>
      </c>
      <c r="J970" s="118" t="s">
        <v>273</v>
      </c>
    </row>
    <row r="971" spans="1:10" x14ac:dyDescent="0.25">
      <c r="A971" s="116">
        <v>968</v>
      </c>
      <c r="B971" s="117" t="s">
        <v>1920</v>
      </c>
      <c r="C971" s="118" t="s">
        <v>1921</v>
      </c>
      <c r="D971" s="118" t="s">
        <v>463</v>
      </c>
      <c r="E971" s="118" t="s">
        <v>2141</v>
      </c>
      <c r="F971" s="119">
        <v>100</v>
      </c>
      <c r="G971" s="119">
        <v>100.13509999999999</v>
      </c>
      <c r="H971" s="119">
        <v>0.35</v>
      </c>
      <c r="I971" s="116">
        <v>341</v>
      </c>
      <c r="J971" s="118" t="s">
        <v>273</v>
      </c>
    </row>
    <row r="972" spans="1:10" x14ac:dyDescent="0.25">
      <c r="A972" s="116">
        <v>969</v>
      </c>
      <c r="B972" s="117" t="s">
        <v>1922</v>
      </c>
      <c r="C972" s="118" t="s">
        <v>1923</v>
      </c>
      <c r="D972" s="118" t="s">
        <v>463</v>
      </c>
      <c r="E972" s="118" t="s">
        <v>2141</v>
      </c>
      <c r="F972" s="119">
        <v>100</v>
      </c>
      <c r="G972" s="119">
        <v>100.1011</v>
      </c>
      <c r="H972" s="119">
        <v>0.35</v>
      </c>
      <c r="I972" s="116">
        <v>76</v>
      </c>
      <c r="J972" s="118" t="s">
        <v>273</v>
      </c>
    </row>
    <row r="973" spans="1:10" x14ac:dyDescent="0.25">
      <c r="A973" s="116">
        <v>970</v>
      </c>
      <c r="B973" s="117" t="s">
        <v>2342</v>
      </c>
      <c r="C973" s="118" t="s">
        <v>2343</v>
      </c>
      <c r="D973" s="118" t="s">
        <v>463</v>
      </c>
      <c r="E973" s="118" t="s">
        <v>2141</v>
      </c>
      <c r="F973" s="119">
        <v>100</v>
      </c>
      <c r="G973" s="119">
        <v>100.0204</v>
      </c>
      <c r="H973" s="119">
        <v>0.35</v>
      </c>
      <c r="I973" s="116">
        <v>699</v>
      </c>
      <c r="J973" s="118" t="s">
        <v>273</v>
      </c>
    </row>
    <row r="974" spans="1:10" x14ac:dyDescent="0.25">
      <c r="A974" s="116">
        <v>971</v>
      </c>
      <c r="B974" s="117" t="s">
        <v>1924</v>
      </c>
      <c r="C974" s="118" t="s">
        <v>1925</v>
      </c>
      <c r="D974" s="118" t="s">
        <v>463</v>
      </c>
      <c r="E974" s="118" t="s">
        <v>2141</v>
      </c>
      <c r="F974" s="119">
        <v>100</v>
      </c>
      <c r="G974" s="119">
        <v>100.0012</v>
      </c>
      <c r="H974" s="119">
        <v>0.02</v>
      </c>
      <c r="I974" s="116">
        <v>3113</v>
      </c>
      <c r="J974" s="118" t="s">
        <v>273</v>
      </c>
    </row>
    <row r="975" spans="1:10" x14ac:dyDescent="0.25">
      <c r="A975" s="116">
        <v>972</v>
      </c>
      <c r="B975" s="117" t="s">
        <v>2449</v>
      </c>
      <c r="C975" s="118" t="s">
        <v>2450</v>
      </c>
      <c r="D975" s="118" t="s">
        <v>463</v>
      </c>
      <c r="E975" s="118" t="s">
        <v>2141</v>
      </c>
      <c r="F975" s="119">
        <v>91.146934647447111</v>
      </c>
      <c r="G975" s="119">
        <v>91.500834647447107</v>
      </c>
      <c r="H975" s="119">
        <v>20.329999999999998</v>
      </c>
      <c r="I975" s="116">
        <v>3593</v>
      </c>
      <c r="J975" s="118" t="s">
        <v>273</v>
      </c>
    </row>
    <row r="976" spans="1:10" x14ac:dyDescent="0.25">
      <c r="A976" s="116">
        <v>973</v>
      </c>
      <c r="B976" s="117" t="s">
        <v>1926</v>
      </c>
      <c r="C976" s="118" t="s">
        <v>1927</v>
      </c>
      <c r="D976" s="118" t="s">
        <v>453</v>
      </c>
      <c r="E976" s="118" t="s">
        <v>1928</v>
      </c>
      <c r="F976" s="119">
        <v>0.01</v>
      </c>
      <c r="G976" s="119">
        <v>0.01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1929</v>
      </c>
      <c r="C977" s="118" t="s">
        <v>1930</v>
      </c>
      <c r="D977" s="118" t="s">
        <v>453</v>
      </c>
      <c r="E977" s="118" t="s">
        <v>1928</v>
      </c>
      <c r="F977" s="119">
        <v>28000</v>
      </c>
      <c r="G977" s="119">
        <v>28000</v>
      </c>
      <c r="H977" s="119">
        <v>0</v>
      </c>
      <c r="I977" s="116">
        <v>0</v>
      </c>
      <c r="J977" s="118" t="s">
        <v>242</v>
      </c>
    </row>
    <row r="978" spans="1:10" x14ac:dyDescent="0.25">
      <c r="A978" s="116">
        <v>975</v>
      </c>
      <c r="B978" s="117" t="s">
        <v>2251</v>
      </c>
      <c r="C978" s="118" t="s">
        <v>2252</v>
      </c>
      <c r="D978" s="118" t="s">
        <v>463</v>
      </c>
      <c r="E978" s="118" t="s">
        <v>2253</v>
      </c>
      <c r="F978" s="119">
        <v>100.09975140292725</v>
      </c>
      <c r="G978" s="119">
        <v>103.64355140292726</v>
      </c>
      <c r="H978" s="119">
        <v>20.190000000000001</v>
      </c>
      <c r="I978" s="116">
        <v>1017</v>
      </c>
      <c r="J978" s="118" t="s">
        <v>273</v>
      </c>
    </row>
    <row r="979" spans="1:10" x14ac:dyDescent="0.25">
      <c r="A979" s="116">
        <v>976</v>
      </c>
      <c r="B979" s="117" t="s">
        <v>2238</v>
      </c>
      <c r="C979" s="118" t="s">
        <v>2239</v>
      </c>
      <c r="D979" s="118" t="s">
        <v>463</v>
      </c>
      <c r="E979" s="118" t="s">
        <v>1931</v>
      </c>
      <c r="F979" s="119">
        <v>100</v>
      </c>
      <c r="G979" s="119">
        <v>100.0681</v>
      </c>
      <c r="H979" s="119">
        <v>0.35</v>
      </c>
      <c r="I979" s="116">
        <v>650</v>
      </c>
      <c r="J979" s="118" t="s">
        <v>273</v>
      </c>
    </row>
    <row r="980" spans="1:10" x14ac:dyDescent="0.25">
      <c r="A980" s="116">
        <v>977</v>
      </c>
      <c r="B980" s="117" t="s">
        <v>1932</v>
      </c>
      <c r="C980" s="118" t="s">
        <v>1933</v>
      </c>
      <c r="D980" s="118" t="s">
        <v>463</v>
      </c>
      <c r="E980" s="118" t="s">
        <v>1931</v>
      </c>
      <c r="F980" s="119">
        <v>100</v>
      </c>
      <c r="G980" s="119">
        <v>100.0027</v>
      </c>
      <c r="H980" s="119">
        <v>0.02</v>
      </c>
      <c r="I980" s="116">
        <v>3113</v>
      </c>
      <c r="J980" s="118" t="s">
        <v>273</v>
      </c>
    </row>
    <row r="981" spans="1:10" x14ac:dyDescent="0.25">
      <c r="A981" s="116">
        <v>978</v>
      </c>
      <c r="B981" s="117" t="s">
        <v>1934</v>
      </c>
      <c r="C981" s="118" t="s">
        <v>1935</v>
      </c>
      <c r="D981" s="118" t="s">
        <v>463</v>
      </c>
      <c r="E981" s="118" t="s">
        <v>1931</v>
      </c>
      <c r="F981" s="119">
        <v>100</v>
      </c>
      <c r="G981" s="119">
        <v>100.0031</v>
      </c>
      <c r="H981" s="119">
        <v>0.02</v>
      </c>
      <c r="I981" s="116">
        <v>3113</v>
      </c>
      <c r="J981" s="118" t="s">
        <v>273</v>
      </c>
    </row>
    <row r="982" spans="1:10" x14ac:dyDescent="0.25">
      <c r="A982" s="116">
        <v>979</v>
      </c>
      <c r="B982" s="117" t="s">
        <v>1936</v>
      </c>
      <c r="C982" s="118" t="s">
        <v>1937</v>
      </c>
      <c r="D982" s="118" t="s">
        <v>463</v>
      </c>
      <c r="E982" s="118" t="s">
        <v>1931</v>
      </c>
      <c r="F982" s="119">
        <v>100</v>
      </c>
      <c r="G982" s="119">
        <v>100.71169999999999</v>
      </c>
      <c r="H982" s="119">
        <v>6.08</v>
      </c>
      <c r="I982" s="116">
        <v>1728</v>
      </c>
      <c r="J982" s="118" t="s">
        <v>273</v>
      </c>
    </row>
    <row r="983" spans="1:10" x14ac:dyDescent="0.25">
      <c r="A983" s="116">
        <v>980</v>
      </c>
      <c r="B983" s="117" t="s">
        <v>1938</v>
      </c>
      <c r="C983" s="118" t="s">
        <v>1939</v>
      </c>
      <c r="D983" s="118" t="s">
        <v>463</v>
      </c>
      <c r="E983" s="118" t="s">
        <v>1931</v>
      </c>
      <c r="F983" s="119">
        <v>100</v>
      </c>
      <c r="G983" s="119">
        <v>105.5222</v>
      </c>
      <c r="H983" s="119">
        <v>7.08</v>
      </c>
      <c r="I983" s="116">
        <v>2210</v>
      </c>
      <c r="J983" s="118" t="s">
        <v>273</v>
      </c>
    </row>
    <row r="984" spans="1:10" x14ac:dyDescent="0.25">
      <c r="A984" s="116">
        <v>981</v>
      </c>
      <c r="B984" s="117" t="s">
        <v>2355</v>
      </c>
      <c r="C984" s="118" t="s">
        <v>2356</v>
      </c>
      <c r="D984" s="118" t="s">
        <v>463</v>
      </c>
      <c r="E984" s="118" t="s">
        <v>1931</v>
      </c>
      <c r="F984" s="119">
        <v>91.142901693916656</v>
      </c>
      <c r="G984" s="119">
        <v>92.103501693916655</v>
      </c>
      <c r="H984" s="119">
        <v>20.32</v>
      </c>
      <c r="I984" s="116">
        <v>3581</v>
      </c>
      <c r="J984" s="118" t="s">
        <v>273</v>
      </c>
    </row>
    <row r="985" spans="1:10" x14ac:dyDescent="0.25">
      <c r="A985" s="116">
        <v>982</v>
      </c>
      <c r="B985" s="117" t="s">
        <v>2451</v>
      </c>
      <c r="C985" s="118" t="s">
        <v>2452</v>
      </c>
      <c r="D985" s="118" t="s">
        <v>463</v>
      </c>
      <c r="E985" s="118" t="s">
        <v>1931</v>
      </c>
      <c r="F985" s="119">
        <v>91.146934647447111</v>
      </c>
      <c r="G985" s="119">
        <v>91.500834647447107</v>
      </c>
      <c r="H985" s="119">
        <v>20.329999999999998</v>
      </c>
      <c r="I985" s="116">
        <v>3593</v>
      </c>
      <c r="J985" s="118" t="s">
        <v>273</v>
      </c>
    </row>
    <row r="986" spans="1:10" x14ac:dyDescent="0.25">
      <c r="A986" s="116">
        <v>983</v>
      </c>
      <c r="B986" s="117" t="s">
        <v>1940</v>
      </c>
      <c r="C986" s="118" t="s">
        <v>1941</v>
      </c>
      <c r="D986" s="118" t="s">
        <v>463</v>
      </c>
      <c r="E986" s="118" t="s">
        <v>1931</v>
      </c>
      <c r="F986" s="119">
        <v>100</v>
      </c>
      <c r="G986" s="119">
        <v>105.98139999999999</v>
      </c>
      <c r="H986" s="119">
        <v>6.09</v>
      </c>
      <c r="I986" s="116">
        <v>2137</v>
      </c>
      <c r="J986" s="118" t="s">
        <v>273</v>
      </c>
    </row>
    <row r="987" spans="1:10" x14ac:dyDescent="0.25">
      <c r="A987" s="116">
        <v>984</v>
      </c>
      <c r="B987" s="117" t="s">
        <v>1942</v>
      </c>
      <c r="C987" s="118" t="s">
        <v>1943</v>
      </c>
      <c r="D987" s="118" t="s">
        <v>463</v>
      </c>
      <c r="E987" s="118" t="s">
        <v>1931</v>
      </c>
      <c r="F987" s="119">
        <v>100</v>
      </c>
      <c r="G987" s="119">
        <v>104.8292</v>
      </c>
      <c r="H987" s="119">
        <v>6.08</v>
      </c>
      <c r="I987" s="116">
        <v>2565</v>
      </c>
      <c r="J987" s="118" t="s">
        <v>273</v>
      </c>
    </row>
    <row r="988" spans="1:10" x14ac:dyDescent="0.25">
      <c r="A988" s="116">
        <v>985</v>
      </c>
      <c r="B988" s="117" t="s">
        <v>1944</v>
      </c>
      <c r="C988" s="118" t="s">
        <v>1945</v>
      </c>
      <c r="D988" s="118" t="s">
        <v>463</v>
      </c>
      <c r="E988" s="118" t="s">
        <v>1931</v>
      </c>
      <c r="F988" s="119">
        <v>100</v>
      </c>
      <c r="G988" s="119">
        <v>104.8292</v>
      </c>
      <c r="H988" s="119">
        <v>6.08</v>
      </c>
      <c r="I988" s="116">
        <v>2565</v>
      </c>
      <c r="J988" s="118" t="s">
        <v>273</v>
      </c>
    </row>
    <row r="989" spans="1:10" x14ac:dyDescent="0.25">
      <c r="A989" s="116">
        <v>986</v>
      </c>
      <c r="B989" s="117" t="s">
        <v>1946</v>
      </c>
      <c r="C989" s="118" t="s">
        <v>1947</v>
      </c>
      <c r="D989" s="118" t="s">
        <v>463</v>
      </c>
      <c r="E989" s="118" t="s">
        <v>1931</v>
      </c>
      <c r="F989" s="119">
        <v>100</v>
      </c>
      <c r="G989" s="119">
        <v>103.6939</v>
      </c>
      <c r="H989" s="119">
        <v>6.08</v>
      </c>
      <c r="I989" s="116">
        <v>2632</v>
      </c>
      <c r="J989" s="118" t="s">
        <v>273</v>
      </c>
    </row>
    <row r="990" spans="1:10" x14ac:dyDescent="0.25">
      <c r="A990" s="116">
        <v>987</v>
      </c>
      <c r="B990" s="117" t="s">
        <v>1948</v>
      </c>
      <c r="C990" s="118" t="s">
        <v>1949</v>
      </c>
      <c r="D990" s="118" t="s">
        <v>453</v>
      </c>
      <c r="E990" s="118" t="s">
        <v>1950</v>
      </c>
      <c r="F990" s="119">
        <v>22839.48315</v>
      </c>
      <c r="G990" s="119">
        <v>22839.48315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1951</v>
      </c>
      <c r="C991" s="118" t="s">
        <v>1952</v>
      </c>
      <c r="D991" s="118" t="s">
        <v>765</v>
      </c>
      <c r="E991" s="118" t="s">
        <v>1953</v>
      </c>
      <c r="F991" s="119">
        <v>43516.696049999999</v>
      </c>
      <c r="G991" s="119">
        <v>43516.696049999999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1954</v>
      </c>
      <c r="C992" s="118" t="s">
        <v>1955</v>
      </c>
      <c r="D992" s="118" t="s">
        <v>765</v>
      </c>
      <c r="E992" s="118" t="s">
        <v>1953</v>
      </c>
      <c r="F992" s="119">
        <v>46243.036800000002</v>
      </c>
      <c r="G992" s="119">
        <v>46243.036800000002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1956</v>
      </c>
      <c r="C993" s="118" t="s">
        <v>1957</v>
      </c>
      <c r="D993" s="118" t="s">
        <v>453</v>
      </c>
      <c r="E993" s="118" t="s">
        <v>1958</v>
      </c>
      <c r="F993" s="119">
        <v>57994.505550000002</v>
      </c>
      <c r="G993" s="119">
        <v>57994.505550000002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1959</v>
      </c>
      <c r="C994" s="118" t="s">
        <v>1960</v>
      </c>
      <c r="D994" s="118" t="s">
        <v>453</v>
      </c>
      <c r="E994" s="118" t="s">
        <v>1961</v>
      </c>
      <c r="F994" s="119">
        <v>1000</v>
      </c>
      <c r="G994" s="119">
        <v>1000</v>
      </c>
      <c r="H994" s="119">
        <v>0</v>
      </c>
      <c r="I994" s="116">
        <v>0</v>
      </c>
      <c r="J994" s="118" t="s">
        <v>242</v>
      </c>
    </row>
    <row r="995" spans="1:10" x14ac:dyDescent="0.25">
      <c r="A995" s="116">
        <v>992</v>
      </c>
      <c r="B995" s="117" t="s">
        <v>1962</v>
      </c>
      <c r="C995" s="118" t="s">
        <v>1963</v>
      </c>
      <c r="D995" s="118" t="s">
        <v>453</v>
      </c>
      <c r="E995" s="118" t="s">
        <v>1964</v>
      </c>
      <c r="F995" s="119">
        <v>0.01</v>
      </c>
      <c r="G995" s="119">
        <v>0.01</v>
      </c>
      <c r="H995" s="119">
        <v>0</v>
      </c>
      <c r="I995" s="116">
        <v>2838</v>
      </c>
      <c r="J995" s="118" t="s">
        <v>242</v>
      </c>
    </row>
    <row r="996" spans="1:10" x14ac:dyDescent="0.25">
      <c r="A996" s="116">
        <v>993</v>
      </c>
      <c r="B996" s="117" t="s">
        <v>1965</v>
      </c>
      <c r="C996" s="118" t="s">
        <v>1966</v>
      </c>
      <c r="D996" s="118" t="s">
        <v>453</v>
      </c>
      <c r="E996" s="118" t="s">
        <v>1964</v>
      </c>
      <c r="F996" s="119">
        <v>0.01</v>
      </c>
      <c r="G996" s="119">
        <v>0.01</v>
      </c>
      <c r="H996" s="119">
        <v>0</v>
      </c>
      <c r="I996" s="116">
        <v>2677</v>
      </c>
      <c r="J996" s="118" t="s">
        <v>242</v>
      </c>
    </row>
    <row r="997" spans="1:10" x14ac:dyDescent="0.25">
      <c r="A997" s="116">
        <v>994</v>
      </c>
      <c r="B997" s="117" t="s">
        <v>1967</v>
      </c>
      <c r="C997" s="118" t="s">
        <v>1968</v>
      </c>
      <c r="D997" s="118" t="s">
        <v>463</v>
      </c>
      <c r="E997" s="118" t="s">
        <v>1969</v>
      </c>
      <c r="F997" s="119">
        <v>100</v>
      </c>
      <c r="G997" s="119">
        <v>100.21250000000001</v>
      </c>
      <c r="H997" s="119">
        <v>4.24</v>
      </c>
      <c r="I997" s="116">
        <v>282</v>
      </c>
      <c r="J997" s="118" t="s">
        <v>273</v>
      </c>
    </row>
    <row r="998" spans="1:10" x14ac:dyDescent="0.25">
      <c r="A998" s="116">
        <v>995</v>
      </c>
      <c r="B998" s="117" t="s">
        <v>1970</v>
      </c>
      <c r="C998" s="118" t="s">
        <v>1971</v>
      </c>
      <c r="D998" s="118" t="s">
        <v>463</v>
      </c>
      <c r="E998" s="118" t="s">
        <v>1969</v>
      </c>
      <c r="F998" s="119">
        <v>100</v>
      </c>
      <c r="G998" s="119">
        <v>100.06610000000001</v>
      </c>
      <c r="H998" s="119">
        <v>0.35</v>
      </c>
      <c r="I998" s="116">
        <v>112</v>
      </c>
      <c r="J998" s="118" t="s">
        <v>273</v>
      </c>
    </row>
    <row r="999" spans="1:10" x14ac:dyDescent="0.25">
      <c r="A999" s="116">
        <v>996</v>
      </c>
      <c r="B999" s="117" t="s">
        <v>1972</v>
      </c>
      <c r="C999" s="118" t="s">
        <v>1973</v>
      </c>
      <c r="D999" s="118" t="s">
        <v>463</v>
      </c>
      <c r="E999" s="118" t="s">
        <v>1969</v>
      </c>
      <c r="F999" s="119">
        <v>100</v>
      </c>
      <c r="G999" s="119">
        <v>100.0778</v>
      </c>
      <c r="H999" s="119">
        <v>0.35</v>
      </c>
      <c r="I999" s="116">
        <v>280</v>
      </c>
      <c r="J999" s="118" t="s">
        <v>273</v>
      </c>
    </row>
    <row r="1000" spans="1:10" x14ac:dyDescent="0.25">
      <c r="A1000" s="116">
        <v>997</v>
      </c>
      <c r="B1000" s="117" t="s">
        <v>2161</v>
      </c>
      <c r="C1000" s="118" t="s">
        <v>2162</v>
      </c>
      <c r="D1000" s="118" t="s">
        <v>463</v>
      </c>
      <c r="E1000" s="118" t="s">
        <v>1969</v>
      </c>
      <c r="F1000" s="119">
        <v>100</v>
      </c>
      <c r="G1000" s="119">
        <v>100.10599999999999</v>
      </c>
      <c r="H1000" s="119">
        <v>0.35</v>
      </c>
      <c r="I1000" s="116">
        <v>611</v>
      </c>
      <c r="J1000" s="118" t="s">
        <v>273</v>
      </c>
    </row>
    <row r="1001" spans="1:10" x14ac:dyDescent="0.25">
      <c r="A1001" s="116">
        <v>998</v>
      </c>
      <c r="B1001" s="117" t="s">
        <v>2344</v>
      </c>
      <c r="C1001" s="118" t="s">
        <v>2345</v>
      </c>
      <c r="D1001" s="118" t="s">
        <v>463</v>
      </c>
      <c r="E1001" s="118" t="s">
        <v>1969</v>
      </c>
      <c r="F1001" s="119">
        <v>100</v>
      </c>
      <c r="G1001" s="119">
        <v>100.0204</v>
      </c>
      <c r="H1001" s="119">
        <v>0.35</v>
      </c>
      <c r="I1001" s="116">
        <v>699</v>
      </c>
      <c r="J1001" s="118" t="s">
        <v>273</v>
      </c>
    </row>
    <row r="1002" spans="1:10" x14ac:dyDescent="0.25">
      <c r="A1002" s="116">
        <v>999</v>
      </c>
      <c r="B1002" s="117" t="s">
        <v>1974</v>
      </c>
      <c r="C1002" s="118" t="s">
        <v>1975</v>
      </c>
      <c r="D1002" s="118" t="s">
        <v>463</v>
      </c>
      <c r="E1002" s="118" t="s">
        <v>1969</v>
      </c>
      <c r="F1002" s="119">
        <v>100</v>
      </c>
      <c r="G1002" s="119">
        <v>100.0027</v>
      </c>
      <c r="H1002" s="119">
        <v>0.02</v>
      </c>
      <c r="I1002" s="116">
        <v>3113</v>
      </c>
      <c r="J1002" s="118" t="s">
        <v>273</v>
      </c>
    </row>
    <row r="1003" spans="1:10" x14ac:dyDescent="0.25">
      <c r="A1003" s="116">
        <v>1000</v>
      </c>
      <c r="B1003" s="117" t="s">
        <v>1976</v>
      </c>
      <c r="C1003" s="118" t="s">
        <v>1977</v>
      </c>
      <c r="D1003" s="118" t="s">
        <v>463</v>
      </c>
      <c r="E1003" s="118" t="s">
        <v>1969</v>
      </c>
      <c r="F1003" s="119">
        <v>100</v>
      </c>
      <c r="G1003" s="119">
        <v>100.71169999999999</v>
      </c>
      <c r="H1003" s="119">
        <v>6.08</v>
      </c>
      <c r="I1003" s="116">
        <v>1728</v>
      </c>
      <c r="J1003" s="118" t="s">
        <v>273</v>
      </c>
    </row>
    <row r="1004" spans="1:10" x14ac:dyDescent="0.25">
      <c r="A1004" s="116">
        <v>1001</v>
      </c>
      <c r="B1004" s="117" t="s">
        <v>1978</v>
      </c>
      <c r="C1004" s="118" t="s">
        <v>1979</v>
      </c>
      <c r="D1004" s="118" t="s">
        <v>463</v>
      </c>
      <c r="E1004" s="118" t="s">
        <v>1969</v>
      </c>
      <c r="F1004" s="119">
        <v>100</v>
      </c>
      <c r="G1004" s="119">
        <v>105.5222</v>
      </c>
      <c r="H1004" s="119">
        <v>7.08</v>
      </c>
      <c r="I1004" s="116">
        <v>2210</v>
      </c>
      <c r="J1004" s="118" t="s">
        <v>273</v>
      </c>
    </row>
    <row r="1005" spans="1:10" x14ac:dyDescent="0.25">
      <c r="A1005" s="116">
        <v>1002</v>
      </c>
      <c r="B1005" s="117" t="s">
        <v>2357</v>
      </c>
      <c r="C1005" s="118" t="s">
        <v>2358</v>
      </c>
      <c r="D1005" s="118" t="s">
        <v>463</v>
      </c>
      <c r="E1005" s="118" t="s">
        <v>1969</v>
      </c>
      <c r="F1005" s="119">
        <v>91.142901693916656</v>
      </c>
      <c r="G1005" s="119">
        <v>92.103501693916655</v>
      </c>
      <c r="H1005" s="119">
        <v>20.32</v>
      </c>
      <c r="I1005" s="116">
        <v>3581</v>
      </c>
      <c r="J1005" s="118" t="s">
        <v>273</v>
      </c>
    </row>
    <row r="1006" spans="1:10" x14ac:dyDescent="0.25">
      <c r="A1006" s="116">
        <v>1003</v>
      </c>
      <c r="B1006" s="117" t="s">
        <v>1980</v>
      </c>
      <c r="C1006" s="118" t="s">
        <v>1981</v>
      </c>
      <c r="D1006" s="118" t="s">
        <v>463</v>
      </c>
      <c r="E1006" s="118" t="s">
        <v>1969</v>
      </c>
      <c r="F1006" s="119">
        <v>100</v>
      </c>
      <c r="G1006" s="119">
        <v>105.98139999999999</v>
      </c>
      <c r="H1006" s="119">
        <v>6.09</v>
      </c>
      <c r="I1006" s="116">
        <v>2137</v>
      </c>
      <c r="J1006" s="118" t="s">
        <v>273</v>
      </c>
    </row>
    <row r="1007" spans="1:10" x14ac:dyDescent="0.25">
      <c r="A1007" s="116">
        <v>1004</v>
      </c>
      <c r="B1007" s="117" t="s">
        <v>1982</v>
      </c>
      <c r="C1007" s="118" t="s">
        <v>1983</v>
      </c>
      <c r="D1007" s="118" t="s">
        <v>463</v>
      </c>
      <c r="E1007" s="118" t="s">
        <v>1969</v>
      </c>
      <c r="F1007" s="119">
        <v>100</v>
      </c>
      <c r="G1007" s="119">
        <v>104.8292</v>
      </c>
      <c r="H1007" s="119">
        <v>6.08</v>
      </c>
      <c r="I1007" s="116">
        <v>2565</v>
      </c>
      <c r="J1007" s="118" t="s">
        <v>273</v>
      </c>
    </row>
    <row r="1008" spans="1:10" x14ac:dyDescent="0.25">
      <c r="A1008" s="116">
        <v>1005</v>
      </c>
      <c r="B1008" s="117" t="s">
        <v>1984</v>
      </c>
      <c r="C1008" s="118" t="s">
        <v>1985</v>
      </c>
      <c r="D1008" s="118" t="s">
        <v>463</v>
      </c>
      <c r="E1008" s="118" t="s">
        <v>1969</v>
      </c>
      <c r="F1008" s="119">
        <v>100</v>
      </c>
      <c r="G1008" s="119">
        <v>104.8292</v>
      </c>
      <c r="H1008" s="119">
        <v>6.08</v>
      </c>
      <c r="I1008" s="116">
        <v>2565</v>
      </c>
      <c r="J1008" s="118" t="s">
        <v>273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07.08.25</vt:lpstr>
      <vt:lpstr>Риск цены за 07.08.25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2025-08-08T07:04:44Z</dcterms:modified>
</cp:coreProperties>
</file>