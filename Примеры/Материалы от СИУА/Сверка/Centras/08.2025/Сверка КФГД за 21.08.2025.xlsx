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21.08.2025\"/>
    </mc:Choice>
  </mc:AlternateContent>
  <xr:revisionPtr revIDLastSave="0" documentId="13_ncr:1_{F941FEE9-9C69-4B6F-9801-2B12C36238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1.08.25" sheetId="2" r:id="rId2"/>
    <sheet name="Риск цены за 21.08.25" sheetId="4" r:id="rId3"/>
  </sheets>
  <definedNames>
    <definedName name="_xlnm._FilterDatabase" localSheetId="1" hidden="1">'KASE за 21.08.25'!#REF!</definedName>
    <definedName name="_xlnm._FilterDatabase" localSheetId="0" hidden="1">ДУ!$A$67:$T$67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1" l="1"/>
  <c r="I74" i="1"/>
  <c r="J74" i="1"/>
  <c r="M69" i="1"/>
  <c r="M70" i="1"/>
  <c r="M72" i="1"/>
  <c r="L69" i="1"/>
  <c r="L70" i="1"/>
  <c r="L71" i="1"/>
  <c r="M71" i="1" s="1"/>
  <c r="M74" i="1" s="1"/>
  <c r="L72" i="1"/>
  <c r="C24" i="1"/>
  <c r="K61" i="1"/>
  <c r="J60" i="1"/>
  <c r="I60" i="1"/>
  <c r="D60" i="1"/>
  <c r="N60" i="1" s="1"/>
  <c r="O60" i="1" s="1"/>
  <c r="B93" i="1"/>
  <c r="B92" i="1"/>
  <c r="B89" i="1"/>
  <c r="L68" i="1"/>
  <c r="M68" i="1" s="1"/>
  <c r="J37" i="1"/>
  <c r="I37" i="1"/>
  <c r="J36" i="1"/>
  <c r="I36" i="1"/>
  <c r="J23" i="1"/>
  <c r="I23" i="1"/>
  <c r="L74" i="1" l="1"/>
  <c r="L60" i="1"/>
  <c r="B91" i="1"/>
  <c r="B87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L55" i="1" s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L51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L29" i="1" s="1"/>
  <c r="D29" i="1"/>
  <c r="N29" i="1" s="1"/>
  <c r="O29" i="1" s="1"/>
  <c r="J28" i="1"/>
  <c r="I28" i="1"/>
  <c r="D28" i="1"/>
  <c r="N28" i="1" s="1"/>
  <c r="O28" i="1" s="1"/>
  <c r="J27" i="1"/>
  <c r="I27" i="1"/>
  <c r="L27" i="1" s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H6" i="1" s="1"/>
  <c r="C6" i="1"/>
  <c r="C61" i="1" s="1"/>
  <c r="L58" i="1" l="1"/>
  <c r="B97" i="1"/>
  <c r="L24" i="1"/>
  <c r="N24" i="1"/>
  <c r="O24" i="1" s="1"/>
  <c r="D61" i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1" i="1" l="1"/>
  <c r="M60" i="1" s="1"/>
  <c r="H61" i="1"/>
  <c r="M55" i="1"/>
  <c r="M8" i="1"/>
  <c r="M32" i="1"/>
  <c r="M40" i="1"/>
  <c r="M30" i="1"/>
  <c r="M41" i="1"/>
  <c r="M36" i="1"/>
  <c r="M44" i="1"/>
  <c r="M59" i="1"/>
  <c r="M46" i="1" l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2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1" i="1" l="1"/>
</calcChain>
</file>

<file path=xl/sharedStrings.xml><?xml version="1.0" encoding="utf-8"?>
<sst xmlns="http://schemas.openxmlformats.org/spreadsheetml/2006/main" count="6500" uniqueCount="2848">
  <si>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</si>
  <si>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</si>
  <si>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</si>
  <si>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</si>
  <si>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</si>
  <si>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</si>
  <si>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</si>
  <si>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</si>
  <si>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</si>
  <si>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</si>
  <si>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</si>
  <si>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</si>
  <si>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</si>
  <si>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</si>
  <si>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</si>
  <si>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</si>
  <si>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</si>
  <si>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</si>
  <si>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</si>
  <si>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</si>
  <si>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</si>
  <si>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</si>
  <si>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</si>
  <si>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</si>
  <si>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</si>
  <si>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</si>
  <si>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</si>
  <si>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</si>
  <si>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</si>
  <si>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</si>
  <si>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</si>
  <si>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</si>
  <si>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</si>
  <si>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</si>
  <si>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</si>
  <si>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</si>
  <si>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</si>
  <si>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</si>
  <si>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</si>
  <si>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</si>
  <si>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</si>
  <si>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</si>
  <si>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</si>
  <si>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</si>
  <si>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</si>
  <si>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</si>
  <si>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</si>
  <si>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</si>
  <si>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</si>
  <si>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</si>
  <si>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</si>
  <si>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</si>
  <si>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</si>
  <si>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</si>
  <si>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</si>
  <si>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</si>
  <si>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</si>
  <si>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</si>
  <si>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</si>
  <si>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</si>
  <si>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</si>
  <si>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</si>
  <si>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</si>
  <si>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</si>
  <si>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</si>
  <si>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</si>
  <si>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</si>
  <si>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</si>
  <si>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</si>
  <si>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</si>
  <si>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</si>
  <si>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</si>
  <si>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</si>
  <si>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</si>
  <si>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</si>
  <si>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</si>
  <si>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</si>
  <si>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</si>
  <si>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</si>
  <si>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</si>
  <si>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</si>
  <si>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</si>
  <si>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</si>
  <si>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</si>
  <si>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</si>
  <si>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</si>
  <si>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</si>
  <si>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</si>
  <si>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</si>
  <si>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</si>
  <si>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</si>
  <si>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</si>
  <si>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</si>
  <si>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</si>
  <si>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</si>
  <si>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</si>
  <si>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</si>
  <si>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</si>
  <si>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</si>
  <si>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</si>
  <si>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</si>
  <si>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</si>
  <si>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</si>
  <si>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</si>
  <si>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</si>
  <si>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</si>
  <si>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</si>
  <si>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</si>
  <si>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</si>
  <si>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</si>
  <si>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</si>
  <si>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</si>
  <si>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</si>
  <si>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</si>
  <si>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</si>
  <si>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</si>
  <si>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</si>
  <si>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</si>
  <si>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</si>
  <si>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</si>
  <si>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</si>
  <si>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</si>
  <si>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</si>
  <si>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</si>
  <si>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</si>
  <si>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</si>
  <si>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</si>
  <si>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</si>
  <si>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</si>
  <si>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</si>
  <si>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</si>
  <si>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</si>
  <si>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</si>
  <si>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</si>
  <si>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</si>
  <si>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</si>
  <si>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</si>
  <si>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</si>
  <si>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</si>
  <si>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</si>
  <si>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</si>
  <si>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</si>
  <si>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</si>
  <si>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</si>
  <si>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</si>
  <si>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</si>
  <si>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</si>
  <si>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</si>
  <si>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</si>
  <si>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</si>
  <si>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</si>
  <si>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</si>
  <si>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</si>
  <si>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</si>
  <si>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</si>
  <si>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</si>
  <si>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</si>
  <si>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</si>
  <si>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</si>
  <si>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</si>
  <si>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</si>
  <si>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</si>
  <si>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</si>
  <si>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</si>
  <si>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</si>
  <si>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</si>
  <si>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</si>
  <si>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</si>
  <si>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</si>
  <si>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</si>
  <si>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</si>
  <si>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</si>
  <si>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</si>
  <si>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</si>
  <si>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</si>
  <si>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</si>
  <si>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</si>
  <si>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</si>
  <si>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</si>
  <si>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</si>
  <si>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</si>
  <si>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</si>
  <si>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</si>
  <si>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</si>
  <si>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</si>
  <si>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</si>
  <si>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</si>
  <si>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</si>
  <si>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</si>
  <si>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</si>
  <si>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</si>
  <si>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</si>
  <si>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</si>
  <si>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</si>
  <si>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</si>
  <si>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</si>
  <si>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</si>
  <si>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</si>
  <si>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</si>
  <si>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</si>
  <si>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</si>
  <si>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</si>
  <si>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</si>
  <si>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</si>
  <si>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</si>
  <si>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</si>
  <si>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</si>
  <si>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</si>
  <si>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</si>
  <si>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</si>
  <si>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</si>
  <si>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</si>
  <si>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</si>
  <si>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</si>
  <si>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</si>
  <si>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</si>
  <si>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</si>
  <si>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</si>
  <si>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</si>
  <si>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</si>
  <si>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</si>
  <si>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</si>
  <si>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</si>
  <si>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</si>
  <si>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</si>
  <si>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</si>
  <si>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</si>
  <si>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</si>
  <si>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</si>
  <si>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</si>
  <si>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</si>
  <si>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</si>
  <si>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</si>
  <si>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</si>
  <si>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</si>
  <si>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</si>
  <si>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</si>
  <si>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</si>
  <si>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</si>
  <si>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</si>
  <si>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</si>
  <si>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</si>
  <si>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</si>
  <si>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</si>
  <si>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</si>
  <si>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</si>
  <si>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</si>
  <si>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</si>
  <si>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</si>
  <si>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</si>
  <si>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</si>
  <si>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</si>
  <si>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</si>
  <si>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</si>
  <si>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</si>
  <si>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</si>
  <si>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</si>
  <si>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</si>
  <si>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</si>
  <si>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</si>
  <si>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</si>
  <si>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</si>
  <si>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</si>
  <si>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</si>
  <si>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</si>
  <si>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</si>
  <si>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</si>
  <si>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</si>
  <si>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</si>
  <si>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</si>
  <si>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</si>
  <si>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</si>
  <si>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</si>
  <si>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</si>
  <si>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</si>
  <si>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</si>
  <si>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</si>
  <si>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</si>
  <si>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</si>
  <si>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</si>
  <si>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</si>
  <si>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</si>
  <si>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</si>
  <si>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</si>
  <si>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</si>
  <si>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</si>
  <si>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</si>
  <si>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</si>
  <si>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</si>
  <si>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</si>
  <si>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</si>
  <si>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</si>
  <si>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</si>
  <si>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</si>
  <si>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</si>
  <si>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</si>
  <si>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</si>
  <si>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</si>
  <si>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</si>
  <si>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</si>
  <si>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</si>
  <si>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</si>
  <si>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</si>
  <si>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</si>
  <si>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</si>
  <si>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</si>
  <si>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</si>
  <si>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</si>
  <si>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</si>
  <si>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</si>
  <si>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</si>
  <si>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</si>
  <si>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</si>
  <si>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</si>
  <si>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</si>
  <si>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</si>
  <si>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</si>
  <si>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</si>
  <si>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</si>
  <si>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</si>
  <si>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</si>
  <si>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</si>
  <si>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</si>
  <si>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</si>
  <si>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</si>
  <si>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</si>
  <si>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</si>
  <si>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</si>
  <si>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</si>
  <si>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</si>
  <si>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</si>
  <si>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</si>
  <si>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</si>
  <si>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</si>
  <si>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</si>
  <si>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</si>
  <si>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</si>
  <si>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</si>
  <si>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</si>
  <si>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</si>
  <si>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</si>
  <si>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</si>
  <si>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</si>
  <si>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</si>
  <si>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</si>
  <si>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</si>
  <si>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</si>
  <si>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</si>
  <si>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</si>
  <si>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</si>
  <si>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</si>
  <si>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</si>
  <si>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</si>
  <si>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</si>
  <si>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</si>
  <si>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</si>
  <si>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</si>
  <si>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</si>
  <si>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</si>
  <si>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</si>
  <si>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</si>
  <si>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</si>
  <si>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</si>
  <si>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</si>
  <si>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</si>
  <si>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</si>
  <si>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</si>
  <si>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</si>
  <si>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</si>
  <si>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</si>
  <si>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</si>
  <si>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</si>
  <si>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</si>
  <si>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</si>
  <si>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</si>
  <si>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</si>
  <si>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</si>
  <si>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</si>
  <si>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</si>
  <si>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</si>
  <si>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</si>
  <si>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</si>
  <si>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</si>
  <si>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</si>
  <si>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</si>
  <si>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</si>
  <si>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</si>
  <si>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</si>
  <si>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</si>
  <si>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</si>
  <si>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</si>
  <si>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</si>
  <si>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</si>
  <si>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</si>
  <si>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</si>
  <si>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</si>
  <si>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</si>
  <si>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</si>
  <si>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</si>
  <si>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</si>
  <si>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</si>
  <si>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</si>
  <si>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</si>
  <si>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</si>
  <si>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</si>
  <si>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</si>
  <si>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</si>
  <si>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</si>
  <si>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</si>
  <si>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</si>
  <si>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</si>
  <si>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</si>
  <si>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</si>
  <si>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</si>
  <si>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</si>
  <si>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</si>
  <si>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</si>
  <si>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</si>
  <si>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</si>
  <si>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</si>
  <si>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</si>
  <si>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</si>
  <si>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</si>
  <si>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</si>
  <si>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</si>
  <si>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</si>
  <si>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</si>
  <si>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</si>
  <si>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</si>
  <si>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</si>
  <si>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</si>
  <si>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</si>
  <si>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</si>
  <si>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</si>
  <si>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</si>
  <si>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</si>
  <si>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</si>
  <si>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</si>
  <si>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</si>
  <si>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</si>
  <si>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</si>
  <si>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</si>
  <si>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</si>
  <si>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</si>
  <si>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</si>
  <si>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</si>
  <si>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</si>
  <si>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</si>
  <si>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</si>
  <si>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</si>
  <si>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</si>
  <si>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</si>
  <si>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</si>
  <si>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</si>
  <si>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</si>
  <si>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</si>
  <si>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</si>
  <si>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</si>
  <si>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</si>
  <si>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</si>
  <si>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</si>
  <si>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</si>
  <si>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</si>
  <si>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</si>
  <si>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</si>
  <si>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</si>
  <si>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</si>
  <si>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</si>
  <si>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</si>
  <si>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</si>
  <si>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</si>
  <si>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</si>
  <si>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</si>
  <si>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</si>
  <si>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</si>
  <si>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</si>
  <si>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</si>
  <si>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</si>
  <si>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</si>
  <si>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</si>
  <si>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</si>
  <si>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</si>
  <si>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</si>
  <si>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</si>
  <si>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</si>
  <si>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</si>
  <si>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</si>
  <si>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</si>
  <si>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</si>
  <si>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</si>
  <si>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</si>
  <si>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</si>
  <si>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</si>
  <si>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</si>
  <si>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</si>
  <si>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</si>
  <si>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</si>
  <si>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</si>
  <si>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</si>
  <si>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</si>
  <si>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</si>
  <si>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</si>
  <si>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</si>
  <si>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</si>
  <si>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</si>
  <si>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</si>
  <si>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</si>
  <si>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</si>
  <si>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</si>
  <si>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</si>
  <si>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</si>
  <si>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</si>
  <si>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</si>
  <si>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</si>
  <si>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</si>
  <si>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</si>
  <si>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</si>
  <si>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</si>
  <si>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</si>
  <si>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</si>
  <si>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</si>
  <si>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</si>
  <si>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</si>
  <si>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</si>
  <si>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</si>
  <si>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</si>
  <si>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</si>
  <si>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</si>
  <si>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</si>
  <si>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</si>
  <si>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</si>
  <si>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</si>
  <si>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</si>
  <si>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</si>
  <si>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</si>
  <si>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</si>
  <si>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</si>
  <si>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</si>
  <si>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</si>
  <si>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</si>
  <si>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</si>
  <si>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</si>
  <si>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</si>
  <si>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</si>
  <si>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</si>
  <si>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</si>
  <si>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</si>
  <si>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</si>
  <si>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</si>
  <si>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</si>
  <si>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</si>
  <si>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</si>
  <si>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</si>
  <si>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</si>
  <si>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</si>
  <si>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</si>
  <si>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</si>
  <si>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</si>
  <si>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</si>
  <si>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</si>
  <si>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</si>
  <si>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</si>
  <si>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</si>
  <si>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</si>
  <si>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</si>
  <si>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</si>
  <si>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</si>
  <si>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</si>
  <si>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</si>
  <si>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</si>
  <si>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</si>
  <si>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</si>
  <si>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</si>
  <si>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</si>
  <si>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</si>
  <si>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</si>
  <si>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</si>
  <si>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</si>
  <si>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</si>
  <si>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</si>
  <si>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</si>
  <si>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</si>
  <si>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</si>
  <si>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</si>
  <si>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</si>
  <si>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</si>
  <si>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</si>
  <si>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</si>
  <si>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</si>
  <si>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</si>
  <si>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</si>
  <si>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</si>
  <si>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</si>
  <si>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</si>
  <si>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</si>
  <si>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</si>
  <si>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</si>
  <si>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</si>
  <si>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</si>
  <si>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</si>
  <si>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</si>
  <si>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</si>
  <si>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</si>
  <si>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</si>
  <si>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</si>
  <si>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</si>
  <si>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</si>
  <si>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</si>
  <si>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</si>
  <si>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</si>
  <si>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</si>
  <si>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</si>
  <si>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</si>
  <si>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</si>
  <si>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</si>
  <si>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</si>
  <si>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</si>
  <si>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</si>
  <si>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</si>
  <si>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</si>
  <si>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</si>
  <si>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</si>
  <si>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</si>
  <si>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</si>
  <si>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</si>
  <si>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</si>
  <si>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</si>
  <si>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</si>
  <si>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</si>
  <si>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</si>
  <si>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</si>
  <si>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</si>
  <si>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</si>
  <si>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</si>
  <si>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</si>
  <si>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</si>
  <si>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</si>
  <si>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</si>
  <si>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</si>
  <si>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</si>
  <si>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</si>
  <si>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</si>
  <si>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</si>
  <si>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</si>
  <si>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</si>
  <si>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</si>
  <si>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</si>
  <si>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</si>
  <si>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</si>
  <si>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</si>
  <si>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</si>
  <si>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</si>
  <si>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</si>
  <si>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</si>
  <si>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</si>
  <si>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</si>
  <si>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</si>
  <si>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</si>
  <si>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</si>
  <si>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</si>
  <si>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</si>
  <si>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</si>
  <si>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</si>
  <si>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</si>
  <si>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</si>
  <si>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</si>
  <si>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</si>
  <si>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</si>
  <si>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</si>
  <si>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</si>
  <si>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</si>
  <si>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</si>
  <si>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</si>
  <si>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</si>
  <si>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</si>
  <si>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</si>
  <si>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</si>
  <si>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</si>
  <si>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</si>
  <si>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</si>
  <si>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</si>
  <si>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</si>
  <si>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</si>
  <si>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</si>
  <si>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</si>
  <si>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</si>
  <si>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</si>
  <si>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</si>
  <si>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</si>
  <si>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</si>
  <si>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</si>
  <si>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</si>
  <si>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</si>
  <si>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</si>
  <si>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</si>
  <si>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</si>
  <si>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</si>
  <si>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</si>
  <si>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</si>
  <si>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</si>
  <si>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</si>
  <si>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</si>
  <si>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</si>
  <si>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</si>
  <si>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</si>
  <si>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</si>
  <si>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</si>
  <si>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</si>
  <si>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</si>
  <si>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</si>
  <si>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</si>
  <si>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</si>
  <si>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</si>
  <si>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</si>
  <si>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</si>
  <si>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</si>
  <si>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</si>
  <si>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</si>
  <si>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</si>
  <si>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</si>
  <si>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</si>
  <si>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</si>
  <si>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</si>
  <si>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</si>
  <si>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</si>
  <si>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</si>
  <si>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</si>
  <si>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</si>
  <si>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</si>
  <si>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</si>
  <si>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</si>
  <si>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</si>
  <si>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</si>
  <si>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</si>
  <si>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</si>
  <si>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</si>
  <si>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</si>
  <si>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</si>
  <si>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</si>
  <si>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</si>
  <si>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</si>
  <si>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</si>
  <si>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</si>
  <si>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</si>
  <si>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</si>
  <si>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</si>
  <si>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</si>
  <si>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</si>
  <si>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</si>
  <si>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</si>
  <si>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</si>
  <si>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</si>
  <si>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</si>
  <si>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</si>
  <si>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</si>
  <si>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</si>
  <si>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</si>
  <si>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</si>
  <si>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</si>
  <si>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</si>
  <si>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</si>
  <si>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</si>
  <si>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</si>
  <si>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</si>
  <si>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</si>
  <si>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</si>
  <si>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</si>
  <si>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</si>
  <si>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</si>
  <si>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</si>
  <si>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</si>
  <si>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</si>
  <si>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</si>
  <si>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</si>
  <si>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</si>
  <si>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</si>
  <si>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</si>
  <si>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</si>
  <si>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</si>
  <si>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</si>
  <si>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</si>
  <si>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</si>
  <si>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</si>
  <si>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</si>
  <si>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</si>
  <si>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</si>
  <si>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</si>
  <si>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</si>
  <si>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</si>
  <si>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</si>
  <si>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</si>
  <si>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</si>
  <si>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</si>
  <si>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</si>
  <si>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</si>
  <si>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</si>
  <si>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</si>
  <si>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</si>
  <si>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</si>
  <si>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</si>
  <si>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</si>
  <si>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</si>
  <si>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</si>
  <si>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</si>
  <si>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</si>
  <si>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</si>
  <si>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</si>
  <si>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</si>
  <si>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</si>
  <si>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</si>
  <si>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</si>
  <si>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</si>
  <si>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</si>
  <si>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</si>
  <si>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</si>
  <si>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</si>
  <si>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</si>
  <si>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</si>
  <si>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</si>
  <si>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</si>
  <si>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</si>
  <si>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</si>
  <si>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</si>
  <si>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</si>
  <si>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</si>
  <si>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</si>
  <si>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</si>
  <si>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</si>
  <si>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</si>
  <si>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</si>
  <si>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</si>
  <si>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</si>
  <si>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</si>
  <si>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</si>
  <si>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</si>
  <si>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</si>
  <si>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</si>
  <si>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</si>
  <si>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</si>
  <si>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</si>
  <si>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</si>
  <si>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</si>
  <si>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</si>
  <si>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</si>
  <si>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</si>
  <si>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</si>
  <si>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</si>
  <si>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</si>
  <si>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</si>
  <si>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</si>
  <si>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</si>
  <si>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</si>
  <si>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</si>
  <si>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</si>
  <si>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</si>
  <si>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</si>
  <si>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</si>
  <si>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</si>
  <si>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</si>
  <si>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</si>
  <si>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</si>
  <si>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</si>
  <si>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</si>
  <si>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</si>
  <si>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</si>
  <si>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</si>
  <si>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</si>
  <si>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</si>
  <si>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</si>
  <si>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</si>
  <si>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</si>
  <si>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</si>
  <si>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</si>
  <si>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</si>
  <si>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</si>
  <si>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</si>
  <si>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</si>
  <si>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</si>
  <si>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</si>
  <si>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</si>
  <si>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</si>
  <si>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</si>
  <si>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</si>
  <si>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</si>
  <si>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</si>
  <si>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</si>
  <si>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</si>
  <si>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</si>
  <si>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</si>
  <si>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</si>
  <si>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</si>
  <si>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</si>
  <si>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</si>
  <si>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</si>
  <si>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</si>
  <si>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</si>
  <si>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</si>
  <si>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</si>
  <si>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</si>
  <si>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</si>
  <si>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</si>
  <si>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</si>
  <si>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</si>
  <si>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</si>
  <si>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</si>
  <si>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</si>
  <si>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</si>
  <si>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</si>
  <si>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</si>
  <si>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</si>
  <si>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</si>
  <si>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</si>
  <si>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</si>
  <si>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</si>
  <si>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</si>
  <si>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</si>
  <si>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</si>
  <si>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</si>
  <si>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</si>
  <si>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</si>
  <si>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</si>
  <si>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</si>
  <si>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</si>
  <si>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</si>
  <si>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</si>
  <si>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</si>
  <si>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</si>
  <si>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</si>
  <si>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</si>
  <si>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</si>
  <si>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</si>
  <si>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</si>
  <si>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</si>
  <si>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</si>
  <si>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</si>
  <si>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</si>
  <si>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</si>
  <si>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</si>
  <si>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</si>
  <si>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</si>
  <si>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</si>
  <si>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</si>
  <si>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</si>
  <si>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</si>
  <si>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</si>
  <si>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</si>
  <si>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</si>
  <si>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</si>
  <si>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</si>
  <si>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</si>
  <si>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</si>
  <si>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</si>
  <si>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</si>
  <si>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</si>
  <si>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</si>
  <si>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</si>
  <si>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</si>
  <si>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</si>
  <si>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</si>
  <si>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</si>
  <si>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</si>
  <si>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</si>
  <si>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</si>
  <si>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</si>
  <si>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</si>
  <si>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</si>
  <si>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</si>
  <si>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</si>
  <si>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</si>
  <si>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</si>
  <si>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</si>
  <si>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</si>
  <si>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</si>
  <si>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</si>
  <si>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</si>
  <si>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</si>
  <si>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</si>
  <si>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</si>
  <si>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</si>
  <si>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</si>
  <si>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</si>
  <si>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</si>
  <si>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</si>
  <si>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</si>
  <si>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</si>
  <si>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</si>
  <si>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</si>
  <si>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</si>
  <si>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</si>
  <si>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</si>
  <si>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</si>
  <si>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</si>
  <si>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</si>
  <si>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</si>
  <si>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</si>
  <si>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</si>
  <si>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</si>
  <si>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</si>
  <si>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</si>
  <si>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</si>
  <si>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</si>
  <si>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</si>
  <si>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</si>
  <si>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</si>
  <si>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</si>
  <si>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</si>
  <si>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</si>
  <si>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</si>
  <si>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</si>
  <si>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</si>
  <si>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</si>
  <si>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</si>
  <si>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</si>
  <si>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</si>
  <si>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</si>
  <si>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</si>
  <si>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</si>
  <si>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</si>
  <si>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</si>
  <si>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</si>
  <si>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</si>
  <si>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</si>
  <si>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</si>
  <si>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</si>
  <si>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</si>
  <si>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</si>
  <si>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</si>
  <si>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</si>
  <si>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</si>
  <si>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</si>
  <si>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</si>
  <si>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</si>
  <si>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</si>
  <si>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</si>
  <si>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</si>
  <si>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</si>
  <si>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</si>
  <si>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</si>
  <si>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</si>
  <si>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</si>
  <si>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</si>
  <si>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</si>
  <si>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</si>
  <si>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</si>
  <si>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</si>
  <si>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</si>
  <si>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</si>
  <si>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</si>
  <si>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</si>
  <si>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</si>
  <si>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</si>
  <si>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</si>
  <si>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</si>
  <si>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</si>
  <si>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</si>
  <si>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</si>
  <si>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</si>
  <si>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</si>
  <si>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</si>
  <si>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</si>
  <si>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</si>
  <si>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</si>
  <si>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</si>
  <si>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</si>
  <si>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</si>
  <si>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</si>
  <si>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</si>
  <si>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</si>
  <si>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</si>
  <si>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</si>
  <si>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</si>
  <si>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</si>
  <si>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</si>
  <si>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</si>
  <si>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</si>
  <si>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</si>
  <si>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</si>
  <si>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</si>
  <si>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</si>
  <si>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</si>
  <si>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</si>
  <si>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</si>
  <si>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</si>
  <si>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</si>
  <si>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</si>
  <si>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</si>
  <si>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</si>
  <si>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</si>
  <si>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</si>
  <si>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</si>
  <si>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</si>
  <si>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</si>
  <si>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</si>
  <si>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</si>
  <si>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</si>
  <si>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</si>
  <si>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</si>
  <si>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</si>
  <si>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</si>
  <si>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</si>
  <si>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</si>
  <si>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</si>
  <si>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</si>
  <si>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</si>
  <si>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</si>
  <si>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</si>
  <si>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</si>
  <si>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</si>
  <si>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</si>
  <si>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</si>
  <si>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</si>
  <si>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</si>
  <si>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</si>
  <si>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</si>
  <si>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</si>
  <si>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</si>
  <si>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</si>
  <si>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</si>
  <si>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</si>
  <si>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</si>
  <si>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</si>
  <si>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</si>
  <si>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</si>
  <si>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</si>
  <si>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</si>
  <si>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</si>
  <si>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</si>
  <si>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</si>
  <si>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</si>
  <si>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</si>
  <si>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</si>
  <si>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</si>
  <si>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</si>
  <si>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</si>
  <si>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</si>
  <si>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</si>
  <si>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</si>
  <si>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</si>
  <si>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</si>
  <si>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</si>
  <si>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</si>
  <si>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</si>
  <si>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</si>
  <si>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</si>
  <si>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</si>
  <si>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</si>
  <si>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</si>
  <si>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</si>
  <si>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</si>
  <si>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</si>
  <si>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</si>
  <si>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</si>
  <si>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</si>
  <si>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</si>
  <si>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</si>
  <si>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</si>
  <si>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</si>
  <si>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</si>
  <si>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</si>
  <si>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</si>
  <si>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</si>
  <si>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</si>
  <si>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</si>
  <si>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</si>
  <si>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</si>
  <si>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</si>
  <si>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</si>
  <si>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</si>
  <si>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</si>
  <si>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</si>
  <si>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</si>
  <si>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</si>
  <si>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</si>
  <si>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</si>
  <si>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</si>
  <si>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</si>
  <si>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</si>
  <si>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</si>
  <si>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</si>
  <si>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</si>
  <si>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</si>
  <si>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</si>
  <si>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</si>
  <si>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</si>
  <si>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</si>
  <si>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</si>
  <si>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</si>
  <si>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</si>
  <si>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</si>
  <si>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</si>
  <si>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</si>
  <si>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</si>
  <si>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</si>
  <si>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</si>
  <si>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</si>
  <si>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</si>
  <si>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</si>
  <si>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</si>
  <si>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</si>
  <si>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</si>
  <si>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</si>
  <si>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</si>
  <si>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</si>
  <si>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</si>
  <si>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</si>
  <si>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</si>
  <si>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</si>
  <si>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</si>
  <si>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</si>
  <si>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</si>
  <si>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</si>
  <si>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</si>
  <si>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</si>
  <si>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</si>
  <si>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</si>
  <si>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</si>
  <si>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</si>
  <si>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</si>
  <si>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</si>
  <si>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</si>
  <si>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</si>
  <si>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</si>
  <si>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</si>
  <si>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</si>
  <si>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</si>
  <si>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</si>
  <si>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</si>
  <si>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</si>
  <si>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</si>
  <si>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</si>
  <si>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</si>
  <si>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</si>
  <si>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</si>
  <si>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</si>
  <si>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</si>
  <si>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</si>
  <si>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</si>
  <si>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</si>
  <si>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</si>
  <si>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</si>
  <si>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</si>
  <si>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</si>
  <si>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</si>
  <si>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</si>
  <si>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</si>
  <si>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</si>
  <si>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</si>
  <si>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</si>
  <si>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</si>
  <si>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</si>
  <si>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</si>
  <si>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</si>
  <si>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</si>
  <si>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</si>
  <si>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</si>
  <si>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</si>
  <si>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</si>
  <si>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</si>
  <si>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</si>
  <si>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</si>
  <si>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</si>
  <si>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</si>
  <si>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</si>
  <si>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</si>
  <si>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</si>
  <si>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</si>
  <si>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</si>
  <si>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</si>
  <si>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</si>
  <si>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</si>
  <si>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</si>
  <si>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</si>
  <si>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</si>
  <si>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</si>
  <si>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</si>
  <si>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</si>
  <si>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</si>
  <si>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</si>
  <si>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</si>
  <si>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</si>
  <si>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</si>
  <si>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</si>
  <si>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</si>
  <si>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</si>
  <si>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</si>
  <si>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</si>
  <si>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</si>
  <si>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</si>
  <si>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</si>
  <si>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</si>
  <si>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</si>
  <si>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</si>
  <si>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</si>
  <si>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</si>
  <si>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</si>
  <si>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</si>
  <si>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</si>
  <si>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</si>
  <si>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</si>
  <si>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</si>
  <si>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</si>
  <si>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</si>
  <si>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</si>
  <si>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</si>
  <si>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</si>
  <si>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</si>
  <si>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</si>
  <si>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</si>
  <si>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</si>
  <si>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</si>
  <si>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</si>
  <si>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</si>
  <si>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</si>
  <si>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</si>
  <si>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</si>
  <si>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</si>
  <si>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</si>
  <si>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</si>
  <si>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</si>
  <si>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</si>
  <si>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</si>
  <si>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</si>
  <si>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</si>
  <si>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</si>
  <si>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</si>
  <si>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</si>
  <si>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</si>
  <si>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</si>
  <si>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</si>
  <si>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</si>
  <si>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</si>
  <si>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</si>
  <si>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</si>
  <si>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</si>
  <si>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</si>
  <si>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</si>
  <si>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</si>
  <si>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</si>
  <si>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</si>
  <si>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</si>
  <si>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</si>
  <si>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</si>
  <si>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</si>
  <si>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</si>
  <si>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</si>
  <si>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</si>
  <si>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</si>
  <si>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</si>
  <si>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</si>
  <si>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</si>
  <si>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</si>
  <si>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</si>
  <si>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</si>
  <si>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</si>
  <si>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</si>
  <si>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</si>
  <si>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</si>
  <si>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</si>
  <si>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</si>
  <si>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</si>
  <si>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</si>
  <si>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</si>
  <si>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</si>
  <si>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</si>
  <si>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</si>
  <si>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</si>
  <si>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</si>
  <si>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</si>
  <si>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</si>
  <si>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</si>
  <si>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</si>
  <si>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</si>
  <si>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</si>
  <si>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</si>
  <si>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</si>
  <si>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</si>
  <si>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</si>
  <si>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</si>
  <si>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</si>
  <si>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</si>
  <si>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</si>
  <si>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</si>
  <si>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</si>
  <si>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</si>
  <si>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</si>
  <si>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</si>
  <si>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</si>
  <si>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</si>
  <si>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</si>
  <si>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</si>
  <si>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</si>
  <si>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</si>
  <si>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</si>
  <si>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</si>
  <si>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</si>
  <si>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</si>
  <si>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</si>
  <si>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</si>
  <si>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</si>
  <si>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</si>
  <si>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</si>
  <si>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</si>
  <si>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</si>
  <si>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</si>
  <si>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</si>
  <si>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</si>
  <si>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</si>
  <si>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</si>
  <si>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</si>
  <si>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</si>
  <si>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</si>
  <si>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</si>
  <si>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</si>
  <si>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</si>
  <si>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</si>
  <si>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</si>
  <si>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</si>
  <si>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</si>
  <si>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</si>
  <si>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</si>
  <si>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</si>
  <si>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</si>
  <si>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</si>
  <si>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</si>
  <si>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</si>
  <si>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</si>
  <si>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</si>
  <si>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</si>
  <si>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</si>
  <si>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</si>
  <si>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</si>
  <si>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</si>
  <si>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</si>
  <si>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</si>
  <si>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</si>
  <si>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</si>
  <si>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</si>
  <si>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</si>
  <si>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</si>
  <si>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</si>
  <si>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</si>
  <si>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</si>
  <si>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</si>
  <si>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</si>
  <si>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</si>
  <si>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</si>
  <si>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</si>
  <si>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</si>
  <si>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</si>
  <si>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</si>
  <si>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</si>
  <si>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</si>
  <si>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</si>
  <si>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</si>
  <si>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</si>
  <si>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</si>
  <si>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</si>
  <si>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</si>
  <si>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</si>
  <si>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</si>
  <si>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</si>
  <si>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</si>
  <si>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</si>
  <si>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</si>
  <si>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</si>
  <si>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</si>
  <si>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</si>
  <si>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</si>
  <si>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</si>
  <si>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</si>
  <si>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</si>
  <si>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</si>
  <si>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</si>
  <si>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</si>
  <si>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</si>
  <si>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</si>
  <si>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</si>
  <si>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</si>
  <si>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</si>
  <si>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</si>
  <si>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</si>
  <si>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</si>
  <si>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</si>
  <si>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</si>
  <si>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</si>
  <si>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</si>
  <si>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</si>
  <si>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</si>
  <si>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</si>
  <si>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</si>
  <si>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</si>
  <si>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</si>
  <si>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</si>
  <si>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</si>
  <si>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</si>
  <si>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</si>
  <si>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</si>
  <si>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</si>
  <si>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</si>
  <si>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</si>
  <si>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</si>
  <si>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</si>
  <si>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</si>
  <si>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</si>
  <si>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</si>
  <si>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</si>
  <si>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</si>
  <si>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</si>
  <si>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</si>
  <si>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</si>
  <si>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</si>
  <si>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</si>
  <si>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</si>
  <si>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</si>
  <si>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</si>
  <si>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</si>
  <si>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</si>
  <si>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</si>
  <si>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</si>
  <si>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</si>
  <si>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</si>
  <si>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</si>
  <si>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</si>
  <si>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</si>
  <si>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</si>
  <si>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</si>
  <si>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</si>
  <si>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</si>
  <si>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</si>
  <si>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</si>
  <si>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</si>
  <si>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</si>
  <si>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</si>
  <si>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</si>
  <si>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</si>
  <si>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</si>
  <si>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</si>
  <si>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</si>
  <si>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</si>
  <si>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</si>
  <si>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</si>
  <si>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</si>
  <si>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</si>
  <si>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</si>
  <si>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</si>
  <si>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</si>
  <si>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</si>
  <si>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</si>
  <si>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</si>
  <si>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</si>
  <si>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</si>
  <si>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</si>
  <si>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</si>
  <si>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</si>
  <si>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</si>
  <si>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</si>
  <si>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</si>
  <si>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</si>
  <si>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</si>
  <si>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</si>
  <si>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</si>
  <si>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</si>
  <si>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</si>
  <si>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</si>
  <si>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</si>
  <si>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</si>
  <si>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</si>
  <si>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</si>
  <si>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</si>
  <si>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</si>
  <si>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</si>
  <si>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</si>
  <si>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</si>
  <si>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</si>
  <si>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</si>
  <si>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</si>
  <si>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</si>
  <si>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</si>
  <si>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</si>
  <si>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</si>
  <si>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</si>
  <si>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</si>
  <si>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</si>
  <si>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</si>
  <si>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</si>
  <si>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</si>
  <si>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</si>
  <si>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</si>
  <si>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</si>
  <si>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</si>
  <si>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</si>
  <si>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</si>
  <si>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</si>
  <si>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</si>
  <si>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</si>
  <si>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</si>
  <si>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</si>
  <si>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</si>
  <si>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</si>
  <si>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</si>
  <si>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</si>
  <si>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</si>
  <si>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</si>
  <si>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</si>
  <si>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</si>
  <si>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</si>
  <si>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</si>
  <si>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</si>
  <si>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</si>
  <si>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</si>
  <si>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</si>
  <si>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</si>
  <si>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</si>
  <si>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</si>
  <si>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</si>
  <si>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</si>
  <si>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</si>
  <si>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</si>
  <si>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</si>
  <si>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</si>
  <si>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</si>
  <si>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</si>
  <si>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</si>
  <si>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</si>
  <si>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</si>
  <si>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</si>
  <si>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</si>
  <si>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</si>
  <si>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</si>
  <si>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</si>
  <si>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</si>
  <si>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</si>
  <si>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</si>
  <si>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</si>
  <si>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</si>
  <si>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</si>
  <si>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</si>
  <si>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</si>
  <si>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</si>
  <si>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</si>
  <si>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</si>
  <si>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</si>
  <si>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</si>
  <si>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</si>
  <si>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</si>
  <si>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</si>
  <si>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</si>
  <si>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</si>
  <si>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</si>
  <si>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</si>
  <si>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</si>
  <si>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</si>
  <si>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</si>
  <si>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</si>
  <si>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</si>
  <si>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</si>
  <si>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</si>
  <si>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</si>
  <si>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</si>
  <si>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</si>
  <si>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</si>
  <si>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</si>
  <si>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</si>
  <si>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</si>
  <si>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</si>
  <si>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</si>
  <si>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</si>
  <si>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</si>
  <si>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</si>
  <si>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</si>
  <si>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</si>
  <si>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</si>
  <si>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</si>
  <si>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</si>
  <si>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</si>
  <si>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</si>
  <si>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</si>
  <si>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</si>
  <si>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</si>
  <si>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</si>
  <si>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</si>
  <si>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</si>
  <si>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</si>
  <si>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</si>
  <si>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</si>
  <si>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</si>
  <si>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</si>
  <si>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</si>
  <si>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</si>
  <si>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</si>
  <si>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</si>
  <si>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</si>
  <si>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</si>
  <si>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</si>
  <si>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</si>
  <si>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</si>
  <si>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</si>
  <si>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</si>
  <si>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</si>
  <si>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</si>
  <si>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</si>
  <si>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</si>
  <si>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</si>
  <si>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</si>
  <si>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</si>
  <si>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</si>
  <si>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</si>
  <si>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</si>
  <si>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</si>
  <si>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</si>
  <si>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</si>
  <si>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</si>
  <si>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</si>
  <si>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</si>
  <si>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</si>
  <si>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</si>
  <si>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</si>
  <si>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</si>
  <si>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</si>
  <si>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</si>
  <si>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</si>
  <si>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</si>
  <si>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</si>
  <si>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</si>
  <si>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</si>
  <si>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</si>
  <si>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</si>
  <si>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</si>
  <si>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</si>
  <si>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</si>
  <si>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</si>
  <si>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</si>
  <si>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</si>
  <si>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</si>
  <si>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</si>
  <si>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</si>
  <si>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</si>
  <si>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</si>
  <si>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</si>
  <si>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</si>
  <si>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</si>
  <si>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</si>
  <si>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</si>
  <si>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</si>
  <si>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</si>
  <si>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</si>
  <si>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</si>
  <si>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</si>
  <si>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</si>
  <si>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</si>
  <si>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</si>
  <si>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</si>
  <si>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</si>
  <si>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</si>
  <si>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</si>
  <si>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</si>
  <si>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</si>
  <si>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</si>
  <si>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</si>
  <si>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</si>
  <si>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</si>
  <si>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</si>
  <si>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</si>
  <si>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</si>
  <si>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</si>
  <si>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</si>
  <si>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</si>
  <si>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</si>
  <si>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</si>
  <si>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</si>
  <si>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</si>
  <si>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</si>
  <si>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</si>
  <si>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</si>
  <si>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</si>
  <si>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</si>
  <si>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</si>
  <si>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</si>
  <si>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</si>
  <si>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</si>
  <si>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</si>
  <si>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</si>
  <si>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</si>
  <si>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</si>
  <si>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</si>
  <si>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</si>
  <si>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</si>
  <si>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</si>
  <si>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</si>
  <si>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</si>
  <si>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</si>
  <si>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</si>
  <si>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</si>
  <si>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</si>
  <si>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</si>
  <si>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</si>
  <si>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</si>
  <si>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</si>
  <si>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</si>
  <si>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</si>
  <si>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</si>
  <si>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</si>
  <si>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</si>
  <si>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</si>
  <si>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</si>
  <si>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</si>
  <si>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</si>
  <si>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</si>
  <si>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</si>
  <si>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</si>
  <si>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</si>
  <si>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</si>
  <si>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</si>
  <si>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</si>
  <si>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</si>
  <si>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</si>
  <si>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</si>
  <si>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</si>
  <si>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</si>
  <si>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</si>
  <si>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</si>
  <si>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</si>
  <si>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</si>
  <si>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</si>
  <si>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</si>
  <si>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</si>
  <si>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</si>
  <si>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</si>
  <si>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</si>
  <si>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</si>
  <si>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</si>
  <si>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</si>
  <si>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</si>
  <si>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</si>
  <si>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</si>
  <si>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</si>
  <si>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</si>
  <si>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</si>
  <si>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</si>
  <si>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</si>
  <si>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</si>
  <si>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</si>
  <si>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</si>
  <si>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</si>
  <si>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</si>
  <si>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</si>
  <si>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</si>
  <si>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</si>
  <si>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</si>
  <si>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</si>
  <si>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</si>
  <si>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</si>
  <si>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</si>
  <si>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</si>
  <si>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</si>
  <si>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</si>
  <si>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</si>
  <si>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</si>
  <si>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</si>
  <si>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</si>
  <si>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</si>
  <si>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</si>
  <si>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</si>
  <si>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</si>
  <si>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</si>
  <si>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</si>
  <si>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</si>
  <si>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</si>
  <si>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</si>
  <si>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</si>
  <si>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</si>
  <si>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</si>
  <si>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</si>
  <si>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</si>
  <si>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</si>
  <si>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</si>
  <si>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</si>
  <si>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</si>
  <si>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</si>
  <si>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</si>
  <si>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</si>
  <si>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</si>
  <si>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</si>
  <si>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</si>
  <si>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</si>
  <si>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</si>
  <si>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</si>
  <si>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</si>
  <si>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</si>
  <si>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</si>
  <si>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</si>
  <si>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</si>
  <si>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</si>
  <si>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</si>
  <si>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</si>
  <si>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</si>
  <si>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</si>
  <si>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</si>
  <si>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</si>
  <si>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</si>
  <si>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</si>
  <si>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</si>
  <si>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</si>
  <si>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</si>
  <si>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</si>
  <si>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</si>
  <si>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</si>
  <si>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</si>
  <si>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</si>
  <si>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</si>
  <si>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</si>
  <si>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</si>
  <si>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</si>
  <si>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</si>
  <si>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</si>
  <si>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</si>
  <si>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</si>
  <si>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</si>
  <si>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</si>
  <si>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</si>
  <si>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</si>
  <si>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</si>
  <si>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</si>
  <si>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</si>
  <si>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</si>
  <si>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</si>
  <si>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</si>
  <si>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</si>
  <si>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</si>
  <si>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</si>
  <si>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</si>
  <si>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</si>
  <si>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</si>
  <si>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</si>
  <si>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</si>
  <si>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</si>
  <si>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</si>
  <si>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</si>
  <si>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</si>
  <si>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</si>
  <si>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</si>
  <si>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</si>
  <si>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</si>
  <si>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</si>
  <si>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</si>
  <si>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</si>
  <si>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</si>
  <si>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</si>
  <si>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</si>
  <si>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</si>
  <si>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</si>
  <si>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</si>
  <si>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</si>
  <si>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</si>
  <si>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</si>
  <si>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</si>
  <si>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</si>
  <si>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</si>
  <si>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</si>
  <si>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</si>
  <si>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</si>
  <si>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</si>
  <si>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</si>
  <si>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</si>
  <si>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</si>
  <si>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</si>
  <si>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</si>
  <si>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</si>
  <si>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</si>
  <si>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</si>
  <si>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</si>
  <si>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</si>
  <si>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</si>
  <si>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</si>
  <si>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</si>
  <si>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</si>
  <si>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</si>
  <si>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</si>
  <si>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</si>
  <si>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</si>
  <si>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</si>
  <si>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</si>
  <si>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</si>
  <si>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</si>
  <si>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</si>
  <si>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</si>
  <si>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</si>
  <si>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</si>
  <si>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</si>
  <si>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</si>
  <si>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</si>
  <si>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</si>
  <si>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</si>
  <si>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</si>
  <si>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</si>
  <si>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</si>
  <si>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</si>
  <si>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</si>
  <si>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</si>
  <si>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</si>
  <si>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</si>
  <si>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</si>
  <si>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</si>
  <si>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</si>
  <si>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</si>
  <si>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</si>
  <si>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</si>
  <si>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</si>
  <si>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</si>
  <si>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</si>
  <si>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</si>
  <si>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</si>
  <si>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</si>
  <si>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</si>
  <si>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</si>
  <si>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</si>
  <si>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</si>
  <si>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</si>
  <si>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</si>
  <si>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</si>
  <si>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</si>
  <si>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</si>
  <si>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</si>
  <si>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</si>
  <si>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</si>
  <si>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</si>
  <si>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</si>
  <si>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</si>
  <si>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</si>
  <si>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</si>
  <si>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</si>
  <si>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</si>
  <si>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</si>
  <si>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</si>
  <si>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</si>
  <si>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</si>
  <si>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</si>
  <si>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</si>
  <si>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</si>
  <si>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</si>
  <si>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</si>
  <si>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</si>
  <si>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</si>
  <si>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</si>
  <si>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</si>
  <si>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</si>
  <si>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</si>
  <si>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</si>
  <si>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</si>
  <si>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</si>
  <si>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</si>
  <si>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</si>
  <si>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</si>
  <si>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</si>
  <si>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</si>
  <si>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</si>
  <si>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</si>
  <si>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</si>
  <si>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</si>
  <si>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</si>
  <si>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</si>
  <si>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</si>
  <si>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</si>
  <si>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</si>
  <si>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</si>
  <si>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</si>
  <si>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</si>
  <si>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</si>
  <si>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</si>
  <si>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</si>
  <si>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</si>
  <si>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</si>
  <si>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</si>
  <si>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</si>
  <si>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</si>
  <si>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</si>
  <si>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</si>
  <si>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</si>
  <si>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</si>
  <si>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</si>
  <si>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</si>
  <si>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</si>
  <si>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</si>
  <si>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</si>
  <si>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</si>
  <si>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</si>
  <si>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</si>
  <si>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</si>
  <si>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</si>
  <si>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</si>
  <si>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</si>
  <si>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</si>
  <si>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</si>
  <si>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</si>
  <si>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</si>
  <si>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</si>
  <si>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</si>
  <si>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</si>
  <si>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</si>
  <si>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</si>
  <si>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</si>
  <si>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</si>
  <si>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</si>
  <si>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</si>
  <si>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</si>
  <si>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</si>
  <si>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</si>
  <si>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</si>
  <si>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</si>
  <si>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</si>
  <si>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</si>
  <si>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</si>
  <si>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</si>
  <si>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</si>
  <si>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</si>
  <si>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</si>
  <si>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</si>
  <si>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</si>
  <si>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</si>
  <si>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</si>
  <si>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</si>
  <si>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</si>
  <si>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</si>
  <si>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</si>
  <si>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</si>
  <si>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</si>
  <si>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</si>
  <si>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</si>
  <si>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</si>
  <si>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</si>
  <si>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</si>
  <si>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</si>
  <si>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</si>
  <si>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</si>
  <si>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</si>
  <si>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</si>
  <si>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</si>
  <si>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</si>
  <si>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</si>
  <si>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</si>
  <si>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</si>
  <si>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</si>
  <si>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</si>
  <si>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</si>
  <si>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</si>
  <si>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</si>
  <si>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</si>
  <si>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</si>
  <si>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</si>
  <si>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</si>
  <si>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</si>
  <si>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</si>
  <si>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</si>
  <si>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</si>
  <si>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</si>
  <si>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</si>
  <si>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</si>
  <si>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</si>
  <si>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</si>
  <si>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</si>
  <si>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</si>
  <si>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</si>
  <si>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</si>
  <si>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</si>
  <si>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</si>
  <si>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</si>
  <si>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</si>
  <si>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</si>
  <si>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</si>
  <si>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</si>
  <si>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</si>
  <si>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</si>
  <si>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</si>
  <si>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</si>
  <si>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</si>
  <si>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</si>
  <si>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</si>
  <si>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</si>
  <si>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</si>
  <si>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</si>
  <si>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</si>
  <si>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</si>
  <si>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</si>
  <si>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</si>
  <si>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</si>
  <si>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</si>
  <si>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</si>
  <si>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</si>
  <si>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</si>
  <si>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</si>
  <si>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</si>
  <si>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</si>
  <si>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</si>
  <si>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</si>
  <si>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</si>
  <si>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</si>
  <si>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</si>
  <si>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</si>
  <si>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</si>
  <si>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</si>
  <si>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</si>
  <si>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</si>
  <si>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</si>
  <si>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</si>
  <si>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</si>
  <si>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</si>
  <si>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</si>
  <si>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</si>
  <si>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</si>
  <si>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</si>
  <si>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</si>
  <si>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</si>
  <si>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</si>
  <si>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</si>
  <si>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</si>
  <si>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</si>
  <si>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</si>
  <si>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</si>
  <si>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</si>
  <si>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</si>
  <si>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</si>
  <si>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</si>
  <si>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</si>
  <si>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</si>
  <si>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</si>
  <si>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</si>
  <si>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</si>
  <si>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</si>
  <si>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</si>
  <si>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</si>
  <si>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</si>
  <si>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</si>
  <si>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</si>
  <si>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</si>
  <si>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</si>
  <si>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</si>
  <si>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</si>
  <si>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</si>
  <si>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</si>
  <si>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</si>
  <si>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</si>
  <si>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</si>
  <si>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</si>
  <si>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</si>
  <si>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</si>
  <si>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</si>
  <si>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</si>
  <si>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</si>
  <si>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</si>
  <si>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</si>
  <si>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</si>
  <si>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</si>
  <si>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</si>
  <si>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</si>
  <si>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</si>
  <si>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</si>
  <si>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</si>
  <si>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</si>
  <si>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</si>
  <si>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</si>
  <si>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</si>
  <si>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</si>
  <si>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</si>
  <si>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</si>
  <si>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</si>
  <si>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</si>
  <si>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</si>
  <si>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</si>
  <si>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</si>
  <si>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</si>
  <si>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</si>
  <si>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</si>
  <si>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</si>
  <si>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</si>
  <si>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</si>
  <si>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</si>
  <si>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</si>
  <si>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</si>
  <si>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</si>
  <si>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</si>
  <si>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</si>
  <si>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</si>
  <si>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</si>
  <si>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</si>
  <si>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</si>
  <si>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</si>
  <si>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</si>
  <si>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</si>
  <si>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</si>
  <si>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</si>
  <si>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</si>
  <si>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</si>
  <si>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</si>
  <si>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</si>
  <si>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</si>
  <si>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</si>
  <si>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</si>
  <si>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</si>
  <si>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</si>
  <si>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</si>
  <si>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</si>
  <si>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</si>
  <si>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</si>
  <si>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</si>
  <si>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</si>
  <si>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</si>
  <si>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</si>
  <si>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</si>
  <si>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</si>
  <si>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</si>
  <si>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</si>
  <si>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</si>
  <si>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</si>
  <si>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</si>
  <si>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</si>
  <si>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</si>
  <si>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</si>
  <si>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</si>
  <si>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</si>
  <si>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</si>
  <si>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</si>
  <si>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</si>
  <si>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</si>
  <si>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</si>
  <si>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</si>
  <si>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</si>
  <si>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</si>
  <si>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</si>
  <si>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</si>
  <si>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</si>
  <si>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</si>
  <si>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</si>
  <si>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</si>
  <si>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</si>
  <si>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</si>
  <si>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</si>
  <si>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</si>
  <si>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</si>
  <si>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</si>
  <si>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</si>
  <si>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</si>
  <si>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</si>
  <si>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</si>
  <si>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</si>
  <si>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</si>
  <si>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</si>
  <si>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</si>
  <si>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</si>
  <si>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</si>
  <si>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</si>
  <si>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</si>
  <si>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</si>
  <si>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</si>
  <si>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</si>
  <si>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</si>
  <si>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</si>
  <si>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</si>
  <si>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</si>
  <si>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</si>
  <si>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</si>
  <si>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</si>
  <si>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</si>
  <si>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</si>
  <si>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</si>
  <si>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</si>
  <si>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</si>
  <si>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</si>
  <si>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</si>
  <si>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</si>
  <si>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</si>
  <si>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</si>
  <si>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</si>
  <si>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</si>
  <si>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</si>
  <si>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</si>
  <si>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</si>
  <si>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</si>
  <si>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</si>
  <si>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</si>
  <si>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</si>
  <si>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</si>
  <si>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</si>
  <si>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</si>
  <si>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</si>
  <si>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</si>
  <si>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</si>
  <si>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</si>
  <si>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</si>
  <si>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</si>
  <si>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</si>
  <si>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</si>
  <si>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</si>
  <si>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</si>
  <si>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</si>
  <si>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</si>
  <si>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</si>
  <si>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</si>
  <si>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</si>
  <si>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</si>
  <si>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</si>
  <si>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</si>
  <si>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</si>
  <si>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</si>
  <si>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</si>
  <si>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</si>
  <si>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</si>
  <si>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</si>
  <si>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</si>
  <si>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</si>
  <si>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</si>
  <si>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</si>
  <si>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</si>
  <si>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</si>
  <si>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</si>
  <si>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</si>
  <si>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</si>
  <si>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</si>
  <si>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</si>
  <si>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</si>
  <si>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</si>
  <si>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</si>
  <si>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</si>
  <si>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</si>
  <si>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</si>
  <si>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</si>
  <si>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</si>
  <si>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</si>
  <si>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</si>
  <si>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16,77</t>
  </si>
  <si>
    <t>16,81</t>
  </si>
  <si>
    <t>22,00</t>
  </si>
  <si>
    <t>16,85</t>
  </si>
  <si>
    <t>17,12</t>
  </si>
  <si>
    <t>KFUSb72</t>
  </si>
  <si>
    <t>KZ2C00011989</t>
  </si>
  <si>
    <t>MFRFb21</t>
  </si>
  <si>
    <t>KZ2P00014723</t>
  </si>
  <si>
    <t>16,25</t>
  </si>
  <si>
    <t>16,64</t>
  </si>
  <si>
    <t>MFSLb11</t>
  </si>
  <si>
    <t>KZ2P00014491</t>
  </si>
  <si>
    <t>21,46</t>
  </si>
  <si>
    <t>21,50</t>
  </si>
  <si>
    <t>11,30</t>
  </si>
  <si>
    <t>11,25</t>
  </si>
  <si>
    <t>11,64</t>
  </si>
  <si>
    <t>11,70</t>
  </si>
  <si>
    <t>16,89</t>
  </si>
  <si>
    <t>16,82</t>
  </si>
  <si>
    <t>16,86</t>
  </si>
  <si>
    <t>16,79</t>
  </si>
  <si>
    <t>АО "KMF Банк"</t>
  </si>
  <si>
    <t>MFMOb32</t>
  </si>
  <si>
    <t>KZ2P00014590</t>
  </si>
  <si>
    <t>5ASBN</t>
  </si>
  <si>
    <t>ForteBank</t>
  </si>
  <si>
    <t>6ASKQb1</t>
  </si>
  <si>
    <t>ALTYN SAMRUK QAZAQSTAN</t>
  </si>
  <si>
    <t>19,50</t>
  </si>
  <si>
    <t>6,15</t>
  </si>
  <si>
    <t>Казахстанский фонд устойчивости</t>
  </si>
  <si>
    <t>22,03</t>
  </si>
  <si>
    <t>17,10</t>
  </si>
  <si>
    <t>16,92</t>
  </si>
  <si>
    <t>17,16</t>
  </si>
  <si>
    <t>16,80</t>
  </si>
  <si>
    <t>16,83</t>
  </si>
  <si>
    <t>16,72</t>
  </si>
  <si>
    <t>17,00</t>
  </si>
  <si>
    <t>16,73</t>
  </si>
  <si>
    <t>7BCCIbe</t>
  </si>
  <si>
    <t>8BCCIrb</t>
  </si>
  <si>
    <t>9BIGDb5</t>
  </si>
  <si>
    <t>10BRKZe18</t>
  </si>
  <si>
    <t>11BRKZe4</t>
  </si>
  <si>
    <t>12BTRKe1</t>
  </si>
  <si>
    <t>13CCBN</t>
  </si>
  <si>
    <t>14CCBNp</t>
  </si>
  <si>
    <t>15CSECfe</t>
  </si>
  <si>
    <t>16CSECtf</t>
  </si>
  <si>
    <t>17EABRb40</t>
  </si>
  <si>
    <t>18EABRb42</t>
  </si>
  <si>
    <t>19EABRb53</t>
  </si>
  <si>
    <t>20FFIN_or</t>
  </si>
  <si>
    <t>21FFINgw</t>
  </si>
  <si>
    <t>22FHJIag</t>
  </si>
  <si>
    <t>23FHJIpc</t>
  </si>
  <si>
    <t>24HCBNb13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</si>
  <si>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</si>
  <si>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</si>
  <si>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</si>
  <si>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</si>
  <si>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</si>
  <si>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</si>
  <si>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</si>
  <si>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</si>
  <si>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</si>
  <si>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34KFUSb45</t>
  </si>
  <si>
    <t>35KMGZ</t>
  </si>
  <si>
    <t>36KMGZe12</t>
  </si>
  <si>
    <t>37KMGZe14</t>
  </si>
  <si>
    <t>38KMGZe15</t>
  </si>
  <si>
    <t>39KMGZe16</t>
  </si>
  <si>
    <t>40KSPI</t>
  </si>
  <si>
    <t>41KSPId</t>
  </si>
  <si>
    <t>42KZAP</t>
  </si>
  <si>
    <t>43KZTCb3</t>
  </si>
  <si>
    <t>44KZTK</t>
  </si>
  <si>
    <t>45KZTKp</t>
  </si>
  <si>
    <t>46KZTO</t>
  </si>
  <si>
    <t>47KZ_23_3504</t>
  </si>
  <si>
    <t>48MFKTb4</t>
  </si>
  <si>
    <t>МФО "Кредит Time"</t>
  </si>
  <si>
    <t>19,99</t>
  </si>
  <si>
    <t>49MFMCb2</t>
  </si>
  <si>
    <t>50MFMOb10</t>
  </si>
  <si>
    <t>51MFMOb17</t>
  </si>
  <si>
    <t>52MFMOb23</t>
  </si>
  <si>
    <t>22,15</t>
  </si>
  <si>
    <t>672 (2)</t>
  </si>
  <si>
    <t>56MFMOb28</t>
  </si>
  <si>
    <t>57MFOKb16</t>
  </si>
  <si>
    <t>58MFOKb18</t>
  </si>
  <si>
    <t>59MFOKb19</t>
  </si>
  <si>
    <t>60MFOKb20</t>
  </si>
  <si>
    <t>61MFOKb21</t>
  </si>
  <si>
    <t>62MFOKb22</t>
  </si>
  <si>
    <t>22,37</t>
  </si>
  <si>
    <t>63MFOKb24</t>
  </si>
  <si>
    <t>64MFOKb25</t>
  </si>
  <si>
    <t>65MFOKb26</t>
  </si>
  <si>
    <t>66MFRFb12</t>
  </si>
  <si>
    <t>67MFRFb13</t>
  </si>
  <si>
    <t>68MFRFb14</t>
  </si>
  <si>
    <t>74MKM012_0159</t>
  </si>
  <si>
    <t>75MKM012_0160</t>
  </si>
  <si>
    <t>76MKM012_0161</t>
  </si>
  <si>
    <t>77MOM048_0052</t>
  </si>
  <si>
    <t>78MOM048_0053</t>
  </si>
  <si>
    <t>79MOM048_0054</t>
  </si>
  <si>
    <t>80MOM048_0056</t>
  </si>
  <si>
    <t>16,32</t>
  </si>
  <si>
    <t>81MOM060_0052</t>
  </si>
  <si>
    <t>82MOM060_0054</t>
  </si>
  <si>
    <t>83MTC048_0001</t>
  </si>
  <si>
    <t>84MTM048_0001</t>
  </si>
  <si>
    <t>85MTM060_0001</t>
  </si>
  <si>
    <t>86MTM072_0001</t>
  </si>
  <si>
    <t>87MTM084_0001</t>
  </si>
  <si>
    <t>88MTM096_0001</t>
  </si>
  <si>
    <t>89MUJ144_0005</t>
  </si>
  <si>
    <t>90MUJ156_0004</t>
  </si>
  <si>
    <t>91MUJ168_0004</t>
  </si>
  <si>
    <t>11,52</t>
  </si>
  <si>
    <t>92MUJ168_0005</t>
  </si>
  <si>
    <t>93MUJ180_0007</t>
  </si>
  <si>
    <t>68 (0)</t>
  </si>
  <si>
    <t>94MUJ180_0008</t>
  </si>
  <si>
    <t>95MUJ192_0002</t>
  </si>
  <si>
    <t>96MUJ192_0003</t>
  </si>
  <si>
    <t>97MUJ192_0004</t>
  </si>
  <si>
    <t>98MUJ204_0001</t>
  </si>
  <si>
    <t>99MUJ204_0002</t>
  </si>
  <si>
    <t>100MUJ204_0003</t>
  </si>
  <si>
    <t>101MUJ204_0004</t>
  </si>
  <si>
    <t>102MUJ204_0005</t>
  </si>
  <si>
    <t>103MUJ204_0006</t>
  </si>
  <si>
    <t>1 388 (4)</t>
  </si>
  <si>
    <t>104MUJ216_0001</t>
  </si>
  <si>
    <t>105MUJ216_0002</t>
  </si>
  <si>
    <t>106MUJ216_0003</t>
  </si>
  <si>
    <t>107MUJ216_0004</t>
  </si>
  <si>
    <t>11,80</t>
  </si>
  <si>
    <t>108MUJ216_0005</t>
  </si>
  <si>
    <t>109MUJ228_0001</t>
  </si>
  <si>
    <t>110MUJ228_0002</t>
  </si>
  <si>
    <t>111MUJ228_0003</t>
  </si>
  <si>
    <t>112MUJ228_0004</t>
  </si>
  <si>
    <t>113MUJ228_0005</t>
  </si>
  <si>
    <t>114MUJ228_0006</t>
  </si>
  <si>
    <t>115MUJ240_0001</t>
  </si>
  <si>
    <t>116MUM072_0013</t>
  </si>
  <si>
    <t>17,11</t>
  </si>
  <si>
    <t>117MUM072_0014</t>
  </si>
  <si>
    <t>118MUM072_0015</t>
  </si>
  <si>
    <t>119MUM084_0018</t>
  </si>
  <si>
    <t>120MUM084_0019</t>
  </si>
  <si>
    <t>121MUM084_0020</t>
  </si>
  <si>
    <t>16,84</t>
  </si>
  <si>
    <t>122MUM096_0011</t>
  </si>
  <si>
    <t>123MUM096_0012</t>
  </si>
  <si>
    <t>16,96</t>
  </si>
  <si>
    <t>124MUM096_0013</t>
  </si>
  <si>
    <t>16,95</t>
  </si>
  <si>
    <t>125MUM096_0014</t>
  </si>
  <si>
    <t>126MUM096_0015</t>
  </si>
  <si>
    <t>127MUM108_0012</t>
  </si>
  <si>
    <t>128MUM108_0013</t>
  </si>
  <si>
    <t>129MUM108_0014</t>
  </si>
  <si>
    <t>130MUM108_0015</t>
  </si>
  <si>
    <t>131MUM120_0017</t>
  </si>
  <si>
    <t>132MUM120_0018</t>
  </si>
  <si>
    <t>133MUM120_0019</t>
  </si>
  <si>
    <t>134MUM120_0020</t>
  </si>
  <si>
    <t>135MUM132_0007</t>
  </si>
  <si>
    <t>136MUM144_0009</t>
  </si>
  <si>
    <t>137MUM156_0005</t>
  </si>
  <si>
    <t>138MUM156_0006</t>
  </si>
  <si>
    <t>139MUM156_0007</t>
  </si>
  <si>
    <t>140MUM156_0008</t>
  </si>
  <si>
    <t>16,75</t>
  </si>
  <si>
    <t>141MUM168_0001</t>
  </si>
  <si>
    <t>142MUM168_0002</t>
  </si>
  <si>
    <t>143MUM168_0003</t>
  </si>
  <si>
    <t>144MUM168_0005</t>
  </si>
  <si>
    <t>16,76</t>
  </si>
  <si>
    <t>145MUM180_0003</t>
  </si>
  <si>
    <t>16,31</t>
  </si>
  <si>
    <t>146MUM180_0004</t>
  </si>
  <si>
    <t>147MUM180_0005</t>
  </si>
  <si>
    <t>148MUM180_0006</t>
  </si>
  <si>
    <t>149MUM180_0007</t>
  </si>
  <si>
    <t>150MUM180_0008</t>
  </si>
  <si>
    <t>151MUM180_0009</t>
  </si>
  <si>
    <t>17,03</t>
  </si>
  <si>
    <t>152MUM180_0011</t>
  </si>
  <si>
    <t>16,97</t>
  </si>
  <si>
    <t>153MUM180_0012</t>
  </si>
  <si>
    <t>154MUM180_0013</t>
  </si>
  <si>
    <t>155MUM180_0014</t>
  </si>
  <si>
    <t>156MUM180_0015</t>
  </si>
  <si>
    <t>157MUM180_0016</t>
  </si>
  <si>
    <t>158MUM192_0001</t>
  </si>
  <si>
    <t>159MUM192_0002</t>
  </si>
  <si>
    <t>160MUM192_0003</t>
  </si>
  <si>
    <t>17,06</t>
  </si>
  <si>
    <t>161MUM216_0001</t>
  </si>
  <si>
    <t>16,74</t>
  </si>
  <si>
    <t>162MUM216_0002</t>
  </si>
  <si>
    <t>163MUM240_0001</t>
  </si>
  <si>
    <t>164MUM240_0002</t>
  </si>
  <si>
    <t>165MUM240_0004</t>
  </si>
  <si>
    <t>166MUM300_0001</t>
  </si>
  <si>
    <t>167MUM300_0002</t>
  </si>
  <si>
    <t>168MUM300_0003</t>
  </si>
  <si>
    <t>169MUM360_0001</t>
  </si>
  <si>
    <t>170MUX072_0003</t>
  </si>
  <si>
    <t>KZW100014320</t>
  </si>
  <si>
    <t>218 (1)</t>
  </si>
  <si>
    <t>MFCFb2</t>
  </si>
  <si>
    <t>KZ2P00014640</t>
  </si>
  <si>
    <t>NTK028_2866</t>
  </si>
  <si>
    <t>Расчетная цена на 21.08.25</t>
  </si>
  <si>
    <t>Расчетная грязная цена 21.08.25</t>
  </si>
  <si>
    <t>KGK024_241</t>
  </si>
  <si>
    <t>KZMJ00002418</t>
  </si>
  <si>
    <t>7,99</t>
  </si>
  <si>
    <t>845 (2)</t>
  </si>
  <si>
    <t>15,04</t>
  </si>
  <si>
    <t>460 (1)</t>
  </si>
  <si>
    <t>638 (2)</t>
  </si>
  <si>
    <t>5,03</t>
  </si>
  <si>
    <t>1 666 (5)</t>
  </si>
  <si>
    <t>6,02</t>
  </si>
  <si>
    <t>212 (1)</t>
  </si>
  <si>
    <t>977 (3)</t>
  </si>
  <si>
    <t>209 (1)</t>
  </si>
  <si>
    <t>918 (3)</t>
  </si>
  <si>
    <t>949 (3)</t>
  </si>
  <si>
    <t>906 (3)</t>
  </si>
  <si>
    <t>17,32</t>
  </si>
  <si>
    <t>39 (0)</t>
  </si>
  <si>
    <t>6,60</t>
  </si>
  <si>
    <t>7 798 (22)</t>
  </si>
  <si>
    <t>4,94</t>
  </si>
  <si>
    <t>1 683 (5)</t>
  </si>
  <si>
    <t>6,71</t>
  </si>
  <si>
    <t>8 343 (23)</t>
  </si>
  <si>
    <t>5,36</t>
  </si>
  <si>
    <t>2 753 (8)</t>
  </si>
  <si>
    <t>926 (3)</t>
  </si>
  <si>
    <t>3 468 (10)</t>
  </si>
  <si>
    <t>1 109 (3)</t>
  </si>
  <si>
    <t>443 (1)</t>
  </si>
  <si>
    <t>29,74</t>
  </si>
  <si>
    <t>441 (1)</t>
  </si>
  <si>
    <t>21,05</t>
  </si>
  <si>
    <t>180 (0)</t>
  </si>
  <si>
    <t>625 (2)</t>
  </si>
  <si>
    <t>53MFMOb25</t>
  </si>
  <si>
    <t>710 (2)</t>
  </si>
  <si>
    <t>54MFMOb26</t>
  </si>
  <si>
    <t>55MFMOb27</t>
  </si>
  <si>
    <t>12,00</t>
  </si>
  <si>
    <t>659 (2)</t>
  </si>
  <si>
    <t>21,33</t>
  </si>
  <si>
    <t>83 (0)</t>
  </si>
  <si>
    <t>21,49</t>
  </si>
  <si>
    <t>245 (1)</t>
  </si>
  <si>
    <t>10,21</t>
  </si>
  <si>
    <t>567 (2)</t>
  </si>
  <si>
    <t>22,55</t>
  </si>
  <si>
    <t>714 (2)</t>
  </si>
  <si>
    <t>20,14</t>
  </si>
  <si>
    <t>877 (2)</t>
  </si>
  <si>
    <t>420 (1)</t>
  </si>
  <si>
    <t>921 (3)</t>
  </si>
  <si>
    <t>21,54</t>
  </si>
  <si>
    <t>940 (3)</t>
  </si>
  <si>
    <t>22,96</t>
  </si>
  <si>
    <t>1 019 (3)</t>
  </si>
  <si>
    <t>193,75</t>
  </si>
  <si>
    <t>58 (0)</t>
  </si>
  <si>
    <t>37,69</t>
  </si>
  <si>
    <t>674 (2)</t>
  </si>
  <si>
    <t>40,00</t>
  </si>
  <si>
    <t>429 (1)</t>
  </si>
  <si>
    <t>69MFRFb16</t>
  </si>
  <si>
    <t>25,68</t>
  </si>
  <si>
    <t>937 (3)</t>
  </si>
  <si>
    <t>70MFRFb18</t>
  </si>
  <si>
    <t>21,42</t>
  </si>
  <si>
    <t>691 (2)</t>
  </si>
  <si>
    <t>71MFRFb19</t>
  </si>
  <si>
    <t>1 025 (3)</t>
  </si>
  <si>
    <t>72MFRFb21</t>
  </si>
  <si>
    <t>707 (2)</t>
  </si>
  <si>
    <t>73MFSLb11</t>
  </si>
  <si>
    <t>Сейф-Ломбард</t>
  </si>
  <si>
    <t>533 (1)</t>
  </si>
  <si>
    <t>14,99</t>
  </si>
  <si>
    <t>64 (0)</t>
  </si>
  <si>
    <t>15,79</t>
  </si>
  <si>
    <t>169 (0)</t>
  </si>
  <si>
    <t>16,40</t>
  </si>
  <si>
    <t>267 (1)</t>
  </si>
  <si>
    <t>15,87</t>
  </si>
  <si>
    <t>150 (0)</t>
  </si>
  <si>
    <t>16,16</t>
  </si>
  <si>
    <t>303 (1)</t>
  </si>
  <si>
    <t>385 (1)</t>
  </si>
  <si>
    <t>1 426 (4)</t>
  </si>
  <si>
    <t>16,26</t>
  </si>
  <si>
    <t>343 (1)</t>
  </si>
  <si>
    <t>16,43</t>
  </si>
  <si>
    <t>807 (2)</t>
  </si>
  <si>
    <t>1 439 (4)</t>
  </si>
  <si>
    <t>17,02</t>
  </si>
  <si>
    <t>378 (1)</t>
  </si>
  <si>
    <t>773 (2)</t>
  </si>
  <si>
    <t>17,37</t>
  </si>
  <si>
    <t>1 167 (3)</t>
  </si>
  <si>
    <t>1 632 (5)</t>
  </si>
  <si>
    <t>17,59</t>
  </si>
  <si>
    <t>1 942 (5)</t>
  </si>
  <si>
    <t>96 (0)</t>
  </si>
  <si>
    <t>399 (1)</t>
  </si>
  <si>
    <t>367 (1)</t>
  </si>
  <si>
    <t>67 (0)</t>
  </si>
  <si>
    <t>1 192 (3)</t>
  </si>
  <si>
    <t>277 (1)</t>
  </si>
  <si>
    <t>1 623 (5)</t>
  </si>
  <si>
    <t>339 (1)</t>
  </si>
  <si>
    <t>608 (2)</t>
  </si>
  <si>
    <t>698 (2)</t>
  </si>
  <si>
    <t>1 267 (4)</t>
  </si>
  <si>
    <t>1 387 (4)</t>
  </si>
  <si>
    <t>668 (2)</t>
  </si>
  <si>
    <t>815 (2)</t>
  </si>
  <si>
    <t>904 (3)</t>
  </si>
  <si>
    <t>1 446 (4)</t>
  </si>
  <si>
    <t>1 719 (5)</t>
  </si>
  <si>
    <t>1 086 (3)</t>
  </si>
  <si>
    <t>1 209 (3)</t>
  </si>
  <si>
    <t>1 597 (4)</t>
  </si>
  <si>
    <t>1 838 (5)</t>
  </si>
  <si>
    <t>2 196 (6)</t>
  </si>
  <si>
    <t>2 288 (6)</t>
  </si>
  <si>
    <t>17,07</t>
  </si>
  <si>
    <t>628 (2)</t>
  </si>
  <si>
    <t>16,99</t>
  </si>
  <si>
    <t>1 272 (4)</t>
  </si>
  <si>
    <t>1 636 (5)</t>
  </si>
  <si>
    <t>17,08</t>
  </si>
  <si>
    <t>951 (3)</t>
  </si>
  <si>
    <t>1 981 (6)</t>
  </si>
  <si>
    <t>2 355 (7)</t>
  </si>
  <si>
    <t>1 146 (3)</t>
  </si>
  <si>
    <t>1 417 (4)</t>
  </si>
  <si>
    <t>1 603 (4)</t>
  </si>
  <si>
    <t>2 061 (6)</t>
  </si>
  <si>
    <t>2 804 (8)</t>
  </si>
  <si>
    <t>312 (1)</t>
  </si>
  <si>
    <t>1 300 (4)</t>
  </si>
  <si>
    <t>2 428 (7)</t>
  </si>
  <si>
    <t>3 075 (9)</t>
  </si>
  <si>
    <t>17,05</t>
  </si>
  <si>
    <t>555 (2)</t>
  </si>
  <si>
    <t>2 006 (6)</t>
  </si>
  <si>
    <t>3 412 (9)</t>
  </si>
  <si>
    <t>2 495 (7)</t>
  </si>
  <si>
    <t>2 882 (8)</t>
  </si>
  <si>
    <t>2 059 (6)</t>
  </si>
  <si>
    <t>3 056 (8)</t>
  </si>
  <si>
    <t>4 591 (13)</t>
  </si>
  <si>
    <t>15,98</t>
  </si>
  <si>
    <t>42 (0)</t>
  </si>
  <si>
    <t>85 (0)</t>
  </si>
  <si>
    <t>2 395 (7)</t>
  </si>
  <si>
    <t>3 439 (10)</t>
  </si>
  <si>
    <t>93 (0)</t>
  </si>
  <si>
    <t>16,94</t>
  </si>
  <si>
    <t>357 (1)</t>
  </si>
  <si>
    <t>452 (1)</t>
  </si>
  <si>
    <t>576 (2)</t>
  </si>
  <si>
    <t>747 (2)</t>
  </si>
  <si>
    <t>783 (2)</t>
  </si>
  <si>
    <t>1 189 (3)</t>
  </si>
  <si>
    <t>1 432 (4)</t>
  </si>
  <si>
    <t>2 743 (8)</t>
  </si>
  <si>
    <t>2 762 (8)</t>
  </si>
  <si>
    <t>3 964 (11)</t>
  </si>
  <si>
    <t>4 117 (11)</t>
  </si>
  <si>
    <t>778 (2)</t>
  </si>
  <si>
    <t>957 (3)</t>
  </si>
  <si>
    <t>3 939 (11)</t>
  </si>
  <si>
    <t>4 130 (11)</t>
  </si>
  <si>
    <t>2 403 (7)</t>
  </si>
  <si>
    <t>3 141 (9)</t>
  </si>
  <si>
    <t>3 398 (9)</t>
  </si>
  <si>
    <t>4 799 (13)</t>
  </si>
  <si>
    <t>5 014 (14)</t>
  </si>
  <si>
    <t>5 225 (15)</t>
  </si>
  <si>
    <t>6 875 (19)</t>
  </si>
  <si>
    <t>2 020 (6)</t>
  </si>
  <si>
    <t>171NCOMb3</t>
  </si>
  <si>
    <t>18,29</t>
  </si>
  <si>
    <t>230 (1)</t>
  </si>
  <si>
    <t>172NCOMb6</t>
  </si>
  <si>
    <t>270 (1)</t>
  </si>
  <si>
    <t>173NTK028_2866</t>
  </si>
  <si>
    <t>14,67</t>
  </si>
  <si>
    <t>27 (0)</t>
  </si>
  <si>
    <t>174PRKRe1</t>
  </si>
  <si>
    <t>217 (1)</t>
  </si>
  <si>
    <t>175SKKZe1</t>
  </si>
  <si>
    <t>5,25</t>
  </si>
  <si>
    <t>427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</si>
</sst>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0" fontId="2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right" vertical="center" indent="1"/>
    </xf>
    <xf numFmtId="4" fontId="2" fillId="0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  <xf numFmtId="4" fontId="10" fillId="0" borderId="4" xfId="0" applyNumberFormat="1" applyFont="1" applyFill="1" applyBorder="1" applyAlignment="1">
      <alignment horizontal="right" vertical="center" indent="1"/>
    </xf>
    <xf numFmtId="10" fontId="2" fillId="0" borderId="4" xfId="0" applyNumberFormat="1" applyFont="1" applyFill="1" applyBorder="1" applyAlignment="1">
      <alignment horizontal="center" vertical="center"/>
    </xf>
    <xf numFmtId="172" fontId="0" fillId="0" borderId="0" xfId="0" applyNumberFormat="1" applyFill="1"/>
    <xf numFmtId="167" fontId="0" fillId="0" borderId="0" xfId="0" applyNumberFormat="1" applyFill="1"/>
    <xf numFmtId="0" fontId="0" fillId="0" borderId="0" xfId="0" applyFill="1"/>
    <xf numFmtId="4" fontId="0" fillId="0" borderId="0" xfId="0" applyNumberFormat="1" applyFill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303" Type="http://schemas.openxmlformats.org/officeDocument/2006/relationships/hyperlink" Target="https://kase.kz/ru/investors/gsecs/MUM180_0011" TargetMode="External"/><Relationship Id="rId21" Type="http://schemas.openxmlformats.org/officeDocument/2006/relationships/hyperlink" Target="https://kase.kz/ru/investors/bonds/BRKZe4" TargetMode="External"/><Relationship Id="rId42" Type="http://schemas.openxmlformats.org/officeDocument/2006/relationships/hyperlink" Target="https://kase.kz/ru/listing/issuers/FFIN" TargetMode="External"/><Relationship Id="rId63" Type="http://schemas.openxmlformats.org/officeDocument/2006/relationships/hyperlink" Target="https://kase.kz/ru/investors/shares/KCEL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345" Type="http://schemas.openxmlformats.org/officeDocument/2006/relationships/hyperlink" Target="https://kase.kz/ru/investors/gsecs/NTK028_2866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32" Type="http://schemas.openxmlformats.org/officeDocument/2006/relationships/hyperlink" Target="https://kase.kz/ru/listing/issuers/CSEC" TargetMode="External"/><Relationship Id="rId53" Type="http://schemas.openxmlformats.org/officeDocument/2006/relationships/hyperlink" Target="https://kase.kz/ru/investors/mifs/HFINhs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68_0004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84_0018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56_0008" TargetMode="External"/><Relationship Id="rId22" Type="http://schemas.openxmlformats.org/officeDocument/2006/relationships/hyperlink" Target="https://kase.kz/ru/listing/issuers/BRKZ" TargetMode="External"/><Relationship Id="rId43" Type="http://schemas.openxmlformats.org/officeDocument/2006/relationships/hyperlink" Target="https://kase.kz/ru/investors/mifs/FHJIag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240_0001" TargetMode="External"/><Relationship Id="rId346" Type="http://schemas.openxmlformats.org/officeDocument/2006/relationships/hyperlink" Target="https://kase.kz/ru/listing/issuers/NB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TM072_0001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J228_0006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32_0007" TargetMode="External"/><Relationship Id="rId12" Type="http://schemas.openxmlformats.org/officeDocument/2006/relationships/hyperlink" Target="https://kase.kz/ru/listing/issuers/ASKQ" TargetMode="External"/><Relationship Id="rId33" Type="http://schemas.openxmlformats.org/officeDocument/2006/relationships/hyperlink" Target="https://kase.kz/ru/investors/bonds/EABRb40" TargetMode="External"/><Relationship Id="rId108" Type="http://schemas.openxmlformats.org/officeDocument/2006/relationships/hyperlink" Target="https://kase.kz/ru/listing/issuers/MFMO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92_0001" TargetMode="External"/><Relationship Id="rId336" Type="http://schemas.openxmlformats.org/officeDocument/2006/relationships/hyperlink" Target="https://kase.kz/ru/listing/issuers/MF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5" TargetMode="External"/><Relationship Id="rId96" Type="http://schemas.openxmlformats.org/officeDocument/2006/relationships/hyperlink" Target="https://kase.kz/ru/listing/issuers/MFKT" TargetMode="External"/><Relationship Id="rId140" Type="http://schemas.openxmlformats.org/officeDocument/2006/relationships/hyperlink" Target="https://kase.kz/ru/listing/issuers/MFRF" TargetMode="External"/><Relationship Id="rId161" Type="http://schemas.openxmlformats.org/officeDocument/2006/relationships/hyperlink" Target="https://kase.kz/ru/investors/gsecs/MOM060_0052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1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326" Type="http://schemas.openxmlformats.org/officeDocument/2006/relationships/hyperlink" Target="https://kase.kz/ru/listing/issuers/MFRK" TargetMode="External"/><Relationship Id="rId347" Type="http://schemas.openxmlformats.org/officeDocument/2006/relationships/hyperlink" Target="https://kase.kz/ru/investors/bonds/PRKRe1" TargetMode="External"/><Relationship Id="rId44" Type="http://schemas.openxmlformats.org/officeDocument/2006/relationships/hyperlink" Target="https://kase.kz/ru/listing/issuers/FHJI" TargetMode="External"/><Relationship Id="rId65" Type="http://schemas.openxmlformats.org/officeDocument/2006/relationships/hyperlink" Target="https://kase.kz/ru/investors/shares/KEGC" TargetMode="External"/><Relationship Id="rId86" Type="http://schemas.openxmlformats.org/officeDocument/2006/relationships/hyperlink" Target="https://kase.kz/ru/listing/issuers/KZTC" TargetMode="External"/><Relationship Id="rId130" Type="http://schemas.openxmlformats.org/officeDocument/2006/relationships/hyperlink" Target="https://kase.kz/ru/listing/issuers/MFOK" TargetMode="External"/><Relationship Id="rId151" Type="http://schemas.openxmlformats.org/officeDocument/2006/relationships/hyperlink" Target="https://kase.kz/ru/investors/gsecs/MKM012_0161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68_0005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348" Type="http://schemas.openxmlformats.org/officeDocument/2006/relationships/hyperlink" Target="https://kase.kz/ru/listing/issuers/PRKR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SKKZe1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56_0004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1" Type="http://schemas.openxmlformats.org/officeDocument/2006/relationships/hyperlink" Target="https://kase.kz/ru/investors/gsecs/MUM084_0020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3" Type="http://schemas.openxmlformats.org/officeDocument/2006/relationships/hyperlink" Target="https://kase.kz/ru/investors/gsecs/MUM180_001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78" Type="http://schemas.openxmlformats.org/officeDocument/2006/relationships/hyperlink" Target="https://kase.kz/ru/listing/issuers/KMGZ" TargetMode="External"/><Relationship Id="rId94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185" Type="http://schemas.openxmlformats.org/officeDocument/2006/relationships/hyperlink" Target="https://kase.kz/ru/investors/gsecs/MUJ180_0007" TargetMode="External"/><Relationship Id="rId334" Type="http://schemas.openxmlformats.org/officeDocument/2006/relationships/hyperlink" Target="https://kase.kz/ru/listing/issuers/MFRK" TargetMode="External"/><Relationship Id="rId350" Type="http://schemas.openxmlformats.org/officeDocument/2006/relationships/hyperlink" Target="https://kase.kz/ru/listing/issuers/SKKZ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shares/ASBN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341" Type="http://schemas.openxmlformats.org/officeDocument/2006/relationships/hyperlink" Target="https://kase.kz/ru/investors/bonds/NCOMb3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342" Type="http://schemas.openxmlformats.org/officeDocument/2006/relationships/hyperlink" Target="https://kase.kz/ru/listing/issuers/NCOM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bonds/NCOMb6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344" Type="http://schemas.openxmlformats.org/officeDocument/2006/relationships/hyperlink" Target="https://kase.kz/ru/listing/issuers/N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7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45890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2652</v>
      </c>
      <c r="J5" s="2" t="s">
        <v>2653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21.08.25'!$C$5:$F$162,4,0)</f>
        <v>84.790700000000001</v>
      </c>
      <c r="J6" s="32">
        <f>VLOOKUP(B6,'KASE за 21.08.25'!$C$5:$G$162,5,0)</f>
        <v>86.986699999999999</v>
      </c>
      <c r="K6" s="64">
        <v>38430000</v>
      </c>
      <c r="L6" s="29">
        <f>D6*I6/100+K6</f>
        <v>1522267250</v>
      </c>
      <c r="M6" s="33">
        <f t="shared" ref="M6:M49" si="0">L6/$L$61</f>
        <v>5.905407828114017E-2</v>
      </c>
      <c r="N6" s="13">
        <f>D6*E6%/360</f>
        <v>266875.00000000006</v>
      </c>
      <c r="O6" s="12">
        <f>K6+N6</f>
        <v>38696875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21.08.25'!$C$5:$F$162,4,0)</f>
        <v>86.494399999999999</v>
      </c>
      <c r="J7" s="32">
        <f>VLOOKUP(B7,'KASE за 21.08.25'!$C$5:$G$162,5,0)</f>
        <v>90.221100000000007</v>
      </c>
      <c r="K7" s="64">
        <v>72670000.000000075</v>
      </c>
      <c r="L7" s="29">
        <f>D7*I7/100+K7</f>
        <v>1759310800</v>
      </c>
      <c r="M7" s="33">
        <f t="shared" si="0"/>
        <v>6.8249827817063888E-2</v>
      </c>
      <c r="N7" s="13">
        <f t="shared" ref="N7:N15" si="1">D7*E7%/360</f>
        <v>563333.33333333337</v>
      </c>
      <c r="O7" s="12">
        <f t="shared" ref="O7:O41" si="2">K7+N7</f>
        <v>73233333.333333403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21.08.25'!$C$5:$F$162,4,0)</f>
        <v>84.542599999999993</v>
      </c>
      <c r="J8" s="32">
        <f>VLOOKUP(B8,'KASE за 21.08.25'!$C$5:$G$162,5,0)</f>
        <v>88.850899999999996</v>
      </c>
      <c r="K8" s="64">
        <v>59383912.5</v>
      </c>
      <c r="L8" s="29">
        <f>D8*I8/100+K8</f>
        <v>1224676839.5999999</v>
      </c>
      <c r="M8" s="33">
        <f t="shared" si="0"/>
        <v>4.750950396839828E-2</v>
      </c>
      <c r="N8" s="13">
        <f>D8*E8%/360</f>
        <v>421162.5</v>
      </c>
      <c r="O8" s="12">
        <f t="shared" si="2"/>
        <v>59805075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21.08.25'!$C$5:$F$162,4,0)</f>
        <v>82.552599999999998</v>
      </c>
      <c r="J9" s="32">
        <f>VLOOKUP(B9,'KASE за 21.08.25'!$C$5:$G$162,5,0)</f>
        <v>83.226600000000005</v>
      </c>
      <c r="K9" s="64">
        <v>5675313.8888888918</v>
      </c>
      <c r="L9" s="29">
        <f>D9*I9/100+K9</f>
        <v>700768205.88888884</v>
      </c>
      <c r="M9" s="33">
        <f t="shared" si="0"/>
        <v>2.7185253106835606E-2</v>
      </c>
      <c r="N9" s="13">
        <f>D9*E9%/360</f>
        <v>246752.77777777781</v>
      </c>
      <c r="O9" s="12">
        <f>K9+N9</f>
        <v>5922066.6666666698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21.08.25'!$C$5:$F$162,4,0)</f>
        <v>77.234399999999994</v>
      </c>
      <c r="J10" s="32">
        <f>VLOOKUP(B10,'KASE за 21.08.25'!$C$5:$G$162,5,0)</f>
        <v>81.640500000000003</v>
      </c>
      <c r="K10" s="64">
        <v>63888611.111111216</v>
      </c>
      <c r="L10" s="29">
        <f t="shared" ref="L10:L15" si="3">D10*I10/100+K10</f>
        <v>1183787411.1111109</v>
      </c>
      <c r="M10" s="33">
        <f t="shared" si="0"/>
        <v>4.592325982443872E-2</v>
      </c>
      <c r="N10" s="13">
        <f>D10*E10%/360</f>
        <v>414861.11111111112</v>
      </c>
      <c r="O10" s="12">
        <f t="shared" si="2"/>
        <v>64303472.222222328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21.08.25'!$C$5:$F$162,4,0)</f>
        <v>67.771299999999997</v>
      </c>
      <c r="J11" s="32">
        <f>VLOOKUP(B11,'KASE за 21.08.25'!$C$5:$G$162,5,0)</f>
        <v>70.705299999999994</v>
      </c>
      <c r="K11" s="64">
        <v>57213541.666666754</v>
      </c>
      <c r="L11" s="29">
        <f t="shared" si="3"/>
        <v>1378753891.6666667</v>
      </c>
      <c r="M11" s="33">
        <f t="shared" si="0"/>
        <v>5.3486692464092621E-2</v>
      </c>
      <c r="N11" s="13">
        <f t="shared" si="1"/>
        <v>457708.33333333326</v>
      </c>
      <c r="O11" s="12">
        <f t="shared" si="2"/>
        <v>57671250.000000089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21.08.25'!$C$5:$F$162,4,0)</f>
        <v>75.758099999999999</v>
      </c>
      <c r="J12" s="32">
        <f>VLOOKUP(B12,'KASE за 21.08.25'!$C$5:$G$162,5,0)</f>
        <v>76.497699999999995</v>
      </c>
      <c r="K12" s="64">
        <v>7262708.3333333312</v>
      </c>
      <c r="L12" s="29">
        <f>D12*I12/100+K12</f>
        <v>751207250.33333337</v>
      </c>
      <c r="M12" s="33">
        <f t="shared" si="0"/>
        <v>2.9141960300692753E-2</v>
      </c>
      <c r="N12" s="13">
        <f>D12*E12%/360</f>
        <v>290508.33333333331</v>
      </c>
      <c r="O12" s="12">
        <f t="shared" si="2"/>
        <v>7553216.6666666642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21.08.25'!$C$5:$F$162,4,0)</f>
        <v>75.758099999999999</v>
      </c>
      <c r="J13" s="32">
        <f>VLOOKUP(B13,'KASE за 21.08.25'!$C$5:$G$162,5,0)</f>
        <v>76.497699999999995</v>
      </c>
      <c r="K13" s="64">
        <v>1848958.3333333328</v>
      </c>
      <c r="L13" s="29">
        <f>D13*I13/100+K13</f>
        <v>191244208.33333334</v>
      </c>
      <c r="M13" s="33">
        <f t="shared" si="0"/>
        <v>7.4190326631091534E-3</v>
      </c>
      <c r="N13" s="13">
        <f>D13*E13%/360</f>
        <v>73958.333333333328</v>
      </c>
      <c r="O13" s="12">
        <f>K13+N13</f>
        <v>1922916.666666666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21.08.25'!$C$5:$F$173,4,0)</f>
        <v>61.42</v>
      </c>
      <c r="J14" s="32">
        <f>VLOOKUP(B14,'KASE за 21.08.25'!$C$5:$G$173,5,0)</f>
        <v>63.639299999999999</v>
      </c>
      <c r="K14" s="64">
        <v>43275375.000000007</v>
      </c>
      <c r="L14" s="29">
        <f t="shared" si="3"/>
        <v>1240965375</v>
      </c>
      <c r="M14" s="33">
        <f t="shared" si="0"/>
        <v>4.81413933062243E-2</v>
      </c>
      <c r="N14" s="13">
        <f t="shared" si="1"/>
        <v>437125.00000000006</v>
      </c>
      <c r="O14" s="12">
        <f t="shared" si="2"/>
        <v>43712500.000000007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21.08.25'!$C$5:$F$173,4,0)</f>
        <v>59.9893</v>
      </c>
      <c r="J15" s="32">
        <f>VLOOKUP(B15,'KASE за 21.08.25'!$C$5:$G$173,5,0)</f>
        <v>64.517499999999998</v>
      </c>
      <c r="K15" s="64">
        <v>88299250</v>
      </c>
      <c r="L15" s="29">
        <f t="shared" si="3"/>
        <v>1258090600</v>
      </c>
      <c r="M15" s="33">
        <f t="shared" si="0"/>
        <v>4.8805740764091596E-2</v>
      </c>
      <c r="N15" s="13">
        <f t="shared" si="1"/>
        <v>437125.00000000006</v>
      </c>
      <c r="O15" s="12">
        <f t="shared" si="2"/>
        <v>88736375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21.08.25'!$C$5:$F$177,4,0)</f>
        <v>56.473300000000002</v>
      </c>
      <c r="J16" s="32">
        <f>VLOOKUP(B16,'KASE за 21.08.25'!$C$5:$G$177,5,0)</f>
        <v>58.260800000000003</v>
      </c>
      <c r="K16" s="64">
        <v>5576982.1250000084</v>
      </c>
      <c r="L16" s="29">
        <f t="shared" ref="L16:L30" si="4">D16*I16/100+K16</f>
        <v>181773113.39200002</v>
      </c>
      <c r="M16" s="33">
        <f t="shared" si="0"/>
        <v>7.051615718368597E-3</v>
      </c>
      <c r="N16" s="13">
        <f>D16*E16%/360</f>
        <v>47666.513888888891</v>
      </c>
      <c r="O16" s="12">
        <f t="shared" si="2"/>
        <v>5624648.6388888974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21.08.25'!$C$5:$F$177,4,0)</f>
        <v>56.473300000000002</v>
      </c>
      <c r="J17" s="32">
        <f>VLOOKUP(B17,'KASE за 21.08.25'!$C$5:$G$177,5,0)</f>
        <v>58.260800000000003</v>
      </c>
      <c r="K17" s="64">
        <v>8937500.0000000037</v>
      </c>
      <c r="L17" s="29">
        <f t="shared" si="4"/>
        <v>291304000</v>
      </c>
      <c r="M17" s="33">
        <f t="shared" si="0"/>
        <v>1.1300702435534403E-2</v>
      </c>
      <c r="N17" s="13">
        <f t="shared" ref="N17:N27" si="5">D17*E17%/360</f>
        <v>76388.888888888891</v>
      </c>
      <c r="O17" s="12">
        <f t="shared" si="2"/>
        <v>9013888.8888888918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21.08.25'!$C$5:$F$177,4,0)</f>
        <v>56.473300000000002</v>
      </c>
      <c r="J18" s="32">
        <f>VLOOKUP(B18,'KASE за 21.08.25'!$C$5:$G$177,5,0)</f>
        <v>58.260800000000003</v>
      </c>
      <c r="K18" s="64">
        <v>8937500.0000000037</v>
      </c>
      <c r="L18" s="29">
        <f>D18*I18/100+K18</f>
        <v>291304000</v>
      </c>
      <c r="M18" s="33">
        <f t="shared" si="0"/>
        <v>1.1300702435534403E-2</v>
      </c>
      <c r="N18" s="13">
        <f>D18*E18%/360</f>
        <v>76388.888888888891</v>
      </c>
      <c r="O18" s="12">
        <f t="shared" si="2"/>
        <v>9013888.8888888918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21.08.25'!$C$5:$F$177,4,0)</f>
        <v>56.473300000000002</v>
      </c>
      <c r="J19" s="32">
        <f>VLOOKUP(B19,'KASE за 21.08.25'!$C$5:$G$177,5,0)</f>
        <v>58.260800000000003</v>
      </c>
      <c r="K19" s="64">
        <v>5362499.9999999981</v>
      </c>
      <c r="L19" s="29">
        <f>D19*I19/100+K19</f>
        <v>174782400</v>
      </c>
      <c r="M19" s="33">
        <f t="shared" si="0"/>
        <v>6.7804214613206414E-3</v>
      </c>
      <c r="N19" s="13">
        <f>D19*E19%/360</f>
        <v>45833.333333333336</v>
      </c>
      <c r="O19" s="12">
        <f t="shared" si="2"/>
        <v>5408333.3333333312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21.08.25'!$C$5:$F$177,4,0)</f>
        <v>56.473300000000002</v>
      </c>
      <c r="J20" s="32">
        <f>VLOOKUP(B20,'KASE за 21.08.25'!$C$5:$G$177,5,0)</f>
        <v>58.260800000000003</v>
      </c>
      <c r="K20" s="64">
        <v>5362499.9999999981</v>
      </c>
      <c r="L20" s="29">
        <f>D20*I20/100+K20</f>
        <v>174782400</v>
      </c>
      <c r="M20" s="33">
        <f t="shared" si="0"/>
        <v>6.7804214613206414E-3</v>
      </c>
      <c r="N20" s="13">
        <f>D20*E20%/360</f>
        <v>45833.333333333336</v>
      </c>
      <c r="O20" s="12">
        <f t="shared" si="2"/>
        <v>5408333.3333333312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21.08.25'!$C$5:$F$162,4,0)</f>
        <v>82.552599999999998</v>
      </c>
      <c r="J21" s="32">
        <f>VLOOKUP(B21,'KASE за 21.08.25'!$C$5:$G$162,5,0)</f>
        <v>83.226600000000005</v>
      </c>
      <c r="K21" s="64">
        <v>3370138.8888888904</v>
      </c>
      <c r="L21" s="29">
        <f t="shared" si="4"/>
        <v>416133138.8888889</v>
      </c>
      <c r="M21" s="33">
        <f t="shared" si="0"/>
        <v>1.6143261939926132E-2</v>
      </c>
      <c r="N21" s="13">
        <f>D21*E21%/360</f>
        <v>146527.77777777781</v>
      </c>
      <c r="O21" s="12">
        <f t="shared" si="2"/>
        <v>3516666.6666666684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21.08.25'!$C$5:$F$162,4,0)</f>
        <v>82.552599999999998</v>
      </c>
      <c r="J22" s="32">
        <f>VLOOKUP(B22,'KASE за 21.08.25'!$C$5:$G$162,5,0)</f>
        <v>83.226600000000005</v>
      </c>
      <c r="K22" s="64">
        <v>3730271.9305555541</v>
      </c>
      <c r="L22" s="29">
        <f t="shared" si="4"/>
        <v>460601126.11055559</v>
      </c>
      <c r="M22" s="33">
        <f t="shared" si="0"/>
        <v>1.7868330910826642E-2</v>
      </c>
      <c r="N22" s="13">
        <f t="shared" si="5"/>
        <v>162185.73611111112</v>
      </c>
      <c r="O22" s="12">
        <f t="shared" si="2"/>
        <v>3892457.6666666651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21.08.25'!$C$5:$F$178,4,0)</f>
        <v>75.695499999999996</v>
      </c>
      <c r="J23" s="32">
        <f>VLOOKUP(B23,'KASE за 21.08.25'!$C$5:$G$178,5,0)</f>
        <v>77.403800000000004</v>
      </c>
      <c r="K23" s="64">
        <v>10865939.583333313</v>
      </c>
      <c r="L23" s="29">
        <f t="shared" si="4"/>
        <v>492330952.10833329</v>
      </c>
      <c r="M23" s="33">
        <f t="shared" si="0"/>
        <v>1.9099241993174185E-2</v>
      </c>
      <c r="N23" s="13">
        <f t="shared" si="5"/>
        <v>88340.972222222219</v>
      </c>
      <c r="O23" s="12">
        <f t="shared" si="2"/>
        <v>10954280.555555535</v>
      </c>
      <c r="Q23" s="8"/>
      <c r="R23" s="8"/>
    </row>
    <row r="24" spans="1:23" s="134" customFormat="1" x14ac:dyDescent="0.25">
      <c r="A24" s="124" t="s">
        <v>265</v>
      </c>
      <c r="B24" s="125" t="s">
        <v>220</v>
      </c>
      <c r="C24" s="126">
        <f>715927-16841</f>
        <v>699086</v>
      </c>
      <c r="D24" s="126">
        <f t="shared" si="6"/>
        <v>699086000</v>
      </c>
      <c r="E24" s="127">
        <v>8.35</v>
      </c>
      <c r="F24" s="128">
        <v>45526</v>
      </c>
      <c r="G24" s="128">
        <v>50976</v>
      </c>
      <c r="H24" s="126">
        <v>488237817.42549998</v>
      </c>
      <c r="I24" s="129">
        <f>VLOOKUP(B24,'KASE за 21.08.25'!$C$5:$F$173,4,0)</f>
        <v>55.702500000000001</v>
      </c>
      <c r="J24" s="129">
        <f>VLOOKUP(B24,'KASE за 21.08.25'!$C$5:$G$173,5,0)</f>
        <v>56.305599999999998</v>
      </c>
      <c r="K24" s="130">
        <v>4215876.9611111106</v>
      </c>
      <c r="L24" s="126">
        <f>D24*I24/100+K24</f>
        <v>393624256.1111111</v>
      </c>
      <c r="M24" s="131">
        <f t="shared" si="0"/>
        <v>1.527006354090658E-2</v>
      </c>
      <c r="N24" s="132">
        <f t="shared" si="5"/>
        <v>162149.11388888888</v>
      </c>
      <c r="O24" s="133">
        <f t="shared" si="2"/>
        <v>4378026.0749999993</v>
      </c>
      <c r="Q24" s="135"/>
      <c r="R24" s="135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21.08.25'!$C$5:$F$173,4,0)</f>
        <v>55.702500000000001</v>
      </c>
      <c r="J25" s="32">
        <f>VLOOKUP(B25,'KASE за 21.08.25'!$C$5:$G$173,5,0)</f>
        <v>56.305599999999998</v>
      </c>
      <c r="K25" s="64">
        <v>1713118.0083333321</v>
      </c>
      <c r="L25" s="29">
        <f>D25*I25/100+K25</f>
        <v>159948880.83333331</v>
      </c>
      <c r="M25" s="33">
        <f t="shared" si="0"/>
        <v>6.2049772992964448E-3</v>
      </c>
      <c r="N25" s="13">
        <f>D25*E25%/360</f>
        <v>65889.15416666666</v>
      </c>
      <c r="O25" s="12">
        <f t="shared" si="2"/>
        <v>1779007.1624999987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21.08.25'!$C$5:$F$162,4,0)</f>
        <v>72.398499999999999</v>
      </c>
      <c r="J26" s="32">
        <f>VLOOKUP(B26,'KASE за 21.08.25'!$C$5:$G$162,5,0)</f>
        <v>76.601200000000006</v>
      </c>
      <c r="K26" s="64">
        <v>21013333.333332967</v>
      </c>
      <c r="L26" s="29">
        <f t="shared" si="4"/>
        <v>383005833.33333296</v>
      </c>
      <c r="M26" s="33">
        <f t="shared" si="0"/>
        <v>1.4858137730940458E-2</v>
      </c>
      <c r="N26" s="13">
        <f t="shared" si="5"/>
        <v>106666.66666666667</v>
      </c>
      <c r="O26" s="12">
        <f t="shared" si="2"/>
        <v>21119999.999999635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21.08.25'!$C$5:$F$162,4,0)</f>
        <v>72.398499999999999</v>
      </c>
      <c r="J27" s="32">
        <f>VLOOKUP(B27,'KASE за 21.08.25'!$C$5:$G$162,5,0)</f>
        <v>76.601200000000006</v>
      </c>
      <c r="K27" s="64">
        <v>21013333.333332967</v>
      </c>
      <c r="L27" s="29">
        <f t="shared" si="4"/>
        <v>383005833.33333296</v>
      </c>
      <c r="M27" s="33">
        <f t="shared" si="0"/>
        <v>1.4858137730940458E-2</v>
      </c>
      <c r="N27" s="13">
        <f t="shared" si="5"/>
        <v>106666.66666666667</v>
      </c>
      <c r="O27" s="12">
        <f t="shared" si="2"/>
        <v>21119999.999999635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21.08.25'!$C$5:$F$162,4,0)</f>
        <v>72.398499999999999</v>
      </c>
      <c r="J28" s="32">
        <f>VLOOKUP(B28,'KASE за 21.08.25'!$C$5:$G$162,5,0)</f>
        <v>76.601200000000006</v>
      </c>
      <c r="K28" s="64">
        <v>21013333.333332967</v>
      </c>
      <c r="L28" s="29">
        <f>D28*I28/100+K28</f>
        <v>383005833.33333296</v>
      </c>
      <c r="M28" s="33">
        <f t="shared" si="0"/>
        <v>1.4858137730940458E-2</v>
      </c>
      <c r="N28" s="13">
        <f>D28*E28%/360</f>
        <v>106666.66666666667</v>
      </c>
      <c r="O28" s="12">
        <f t="shared" si="2"/>
        <v>21119999.999999635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21.08.25'!$C$4:$G$963,4,0)</f>
        <v>93.395032481091121</v>
      </c>
      <c r="J29" s="32">
        <f>VLOOKUP(B29,'Риск цены за 21.08.25'!$C$4:$G$963,5,0)</f>
        <v>107.21833248109112</v>
      </c>
      <c r="K29" s="64">
        <v>234996666.66667202</v>
      </c>
      <c r="L29" s="29">
        <f>D29*I29/100+K29</f>
        <v>1822712218.8452213</v>
      </c>
      <c r="M29" s="33">
        <f t="shared" si="0"/>
        <v>7.0709390913899245E-2</v>
      </c>
      <c r="N29" s="13">
        <f t="shared" ref="N29:N35" si="7">D29*E29%/360</f>
        <v>675277.77777777787</v>
      </c>
      <c r="O29" s="12">
        <f t="shared" si="2"/>
        <v>235671944.44444981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21.08.25'!$C$5:$F$162,4,0)</f>
        <v>83.076300000000003</v>
      </c>
      <c r="J30" s="32">
        <f>VLOOKUP(B30,'KASE за 21.08.25'!$C$5:$G$162,5,0)</f>
        <v>89.043000000000006</v>
      </c>
      <c r="K30" s="64">
        <v>29833333.333333086</v>
      </c>
      <c r="L30" s="29">
        <f t="shared" si="4"/>
        <v>445214833.33333308</v>
      </c>
      <c r="M30" s="33">
        <f t="shared" si="0"/>
        <v>1.7271442724391153E-2</v>
      </c>
      <c r="N30" s="13">
        <f t="shared" si="7"/>
        <v>166666.66666666666</v>
      </c>
      <c r="O30" s="12">
        <f t="shared" si="2"/>
        <v>29999999.999999754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21.08.25'!$C$5:$F$162,4,0)</f>
        <v>84.991</v>
      </c>
      <c r="J31" s="32">
        <f>VLOOKUP(B31,'KASE за 21.08.25'!$C$5:$G$162,5,0)</f>
        <v>90.457700000000003</v>
      </c>
      <c r="K31" s="64">
        <v>16400000</v>
      </c>
      <c r="L31" s="29">
        <f t="shared" ref="L31:L46" si="9">D31*I31/100+K31</f>
        <v>271373000</v>
      </c>
      <c r="M31" s="33">
        <f t="shared" si="0"/>
        <v>1.0527509138351267E-2</v>
      </c>
      <c r="N31" s="13">
        <f t="shared" si="7"/>
        <v>100000</v>
      </c>
      <c r="O31" s="12">
        <f t="shared" si="2"/>
        <v>16500000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21.08.25'!$C$5:$F$162,4,0)</f>
        <v>84.991</v>
      </c>
      <c r="J32" s="32">
        <f>VLOOKUP(B32,'KASE за 21.08.25'!$C$5:$G$162,5,0)</f>
        <v>90.457700000000003</v>
      </c>
      <c r="K32" s="64">
        <v>15775652</v>
      </c>
      <c r="L32" s="29">
        <f t="shared" si="9"/>
        <v>261041829.88999999</v>
      </c>
      <c r="M32" s="33">
        <f t="shared" si="0"/>
        <v>1.0126726865454233E-2</v>
      </c>
      <c r="N32" s="13">
        <f t="shared" si="7"/>
        <v>96193</v>
      </c>
      <c r="O32" s="12">
        <f t="shared" si="2"/>
        <v>15871845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21.08.25'!$C$4:$G$963,4,0)</f>
        <v>98.061974751665815</v>
      </c>
      <c r="J33" s="32">
        <f>VLOOKUP(B33,'Риск цены за 21.08.25'!$C$4:$G$963,5,0)</f>
        <v>101.26437475166581</v>
      </c>
      <c r="K33" s="64">
        <v>9607250</v>
      </c>
      <c r="L33" s="29">
        <f t="shared" si="9"/>
        <v>303793174.25499743</v>
      </c>
      <c r="M33" s="33">
        <f t="shared" si="0"/>
        <v>1.1785201247501499E-2</v>
      </c>
      <c r="N33" s="13">
        <f t="shared" si="7"/>
        <v>115750</v>
      </c>
      <c r="O33" s="12">
        <f t="shared" si="2"/>
        <v>9723000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21.08.25'!$C$5:$F$162,4,0)</f>
        <v>70.440399999999997</v>
      </c>
      <c r="J34" s="32">
        <f>VLOOKUP(B34,'KASE за 21.08.25'!$C$5:$G$162,5,0)</f>
        <v>72.808300000000003</v>
      </c>
      <c r="K34" s="64">
        <v>165752.22222222239</v>
      </c>
      <c r="L34" s="29">
        <f t="shared" si="9"/>
        <v>5096580.222222222</v>
      </c>
      <c r="M34" s="33">
        <f t="shared" si="0"/>
        <v>1.9771419729960155E-4</v>
      </c>
      <c r="N34" s="13">
        <f t="shared" si="7"/>
        <v>1641.1111111111109</v>
      </c>
      <c r="O34" s="12">
        <f t="shared" si="2"/>
        <v>167393.33333333352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21.08.25'!$C$5:$F$162,4,0)</f>
        <v>88.867099999999994</v>
      </c>
      <c r="J35" s="32">
        <f>VLOOKUP(B35,'KASE за 21.08.25'!$C$5:$G$162,5,0)</f>
        <v>92.444900000000004</v>
      </c>
      <c r="K35" s="64">
        <v>357777.77777777705</v>
      </c>
      <c r="L35" s="29">
        <f t="shared" si="9"/>
        <v>9244487.7777777761</v>
      </c>
      <c r="M35" s="33">
        <f t="shared" si="0"/>
        <v>3.5862605918765734E-4</v>
      </c>
      <c r="N35" s="13">
        <f t="shared" si="7"/>
        <v>3888.8888888888896</v>
      </c>
      <c r="O35" s="12">
        <f t="shared" si="2"/>
        <v>361666.66666666593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21.08.25'!$C$5:$F$178,4,0)</f>
        <v>59.890500000000003</v>
      </c>
      <c r="J36" s="32">
        <f>VLOOKUP(B36,'KASE за 21.08.25'!$C$5:$G$178,5,0)</f>
        <v>64.482200000000006</v>
      </c>
      <c r="K36" s="64">
        <v>13775000</v>
      </c>
      <c r="L36" s="29">
        <f t="shared" si="9"/>
        <v>193446500</v>
      </c>
      <c r="M36" s="33">
        <f t="shared" si="0"/>
        <v>7.504467270259268E-3</v>
      </c>
      <c r="N36" s="13">
        <f t="shared" ref="N36:N60" si="10">D36*E36%/360</f>
        <v>72500</v>
      </c>
      <c r="O36" s="12">
        <f t="shared" si="2"/>
        <v>13847500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21.08.25'!$C$5:$F$178,4,0)</f>
        <v>59.890500000000003</v>
      </c>
      <c r="J37" s="32">
        <f>VLOOKUP(B37,'KASE за 21.08.25'!$C$5:$G$178,5,0)</f>
        <v>64.482200000000006</v>
      </c>
      <c r="K37" s="64">
        <v>9183333.3333329745</v>
      </c>
      <c r="L37" s="29">
        <f t="shared" si="9"/>
        <v>128964333.33333297</v>
      </c>
      <c r="M37" s="33">
        <f t="shared" si="0"/>
        <v>5.0029781801728315E-3</v>
      </c>
      <c r="N37" s="13">
        <f t="shared" si="10"/>
        <v>48333.333333333336</v>
      </c>
      <c r="O37" s="12">
        <f t="shared" si="2"/>
        <v>9231666.6666663084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21.08.25'!$C$5:$F$162,4,0)</f>
        <v>82.152900000000002</v>
      </c>
      <c r="J38" s="32">
        <f>VLOOKUP(B38,'KASE за 21.08.25'!$C$5:$G$162,5,0)</f>
        <v>88.172300000000007</v>
      </c>
      <c r="K38" s="64">
        <v>15831138.888889084</v>
      </c>
      <c r="L38" s="29">
        <f t="shared" si="9"/>
        <v>231893265.88888907</v>
      </c>
      <c r="M38" s="33">
        <f t="shared" si="0"/>
        <v>8.9959519766793297E-3</v>
      </c>
      <c r="N38" s="13">
        <f t="shared" si="10"/>
        <v>80361.111111111109</v>
      </c>
      <c r="O38" s="12">
        <f t="shared" si="2"/>
        <v>15911500.000000196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21.08.25'!$C$5:$F$162,4,0)</f>
        <v>95.468400000000003</v>
      </c>
      <c r="J39" s="32">
        <f>VLOOKUP(B39,'KASE за 21.08.25'!$C$5:$G$162,5,0)</f>
        <v>102.6084</v>
      </c>
      <c r="K39" s="64">
        <v>24347400</v>
      </c>
      <c r="L39" s="29">
        <f t="shared" si="9"/>
        <v>349894644</v>
      </c>
      <c r="M39" s="33">
        <f t="shared" si="0"/>
        <v>1.3573638726660954E-2</v>
      </c>
      <c r="N39" s="13">
        <f t="shared" si="10"/>
        <v>144925</v>
      </c>
      <c r="O39" s="12">
        <f t="shared" si="2"/>
        <v>24492325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21.08.25'!$C$5:$F$162,4,0)</f>
        <v>84.698800000000006</v>
      </c>
      <c r="J40" s="32">
        <f>VLOOKUP(B40,'KASE за 21.08.25'!$C$5:$G$162,5,0)</f>
        <v>93.249300000000005</v>
      </c>
      <c r="K40" s="64">
        <v>7073572.1350000268</v>
      </c>
      <c r="L40" s="29">
        <f t="shared" si="9"/>
        <v>77142348.411000028</v>
      </c>
      <c r="M40" s="33">
        <f t="shared" si="0"/>
        <v>2.9926218815087722E-3</v>
      </c>
      <c r="N40" s="13">
        <f t="shared" si="10"/>
        <v>24059.769166666669</v>
      </c>
      <c r="O40" s="12">
        <f t="shared" si="2"/>
        <v>7097631.9041666938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21.08.25'!$C$5:$F$162,4,0)</f>
        <v>74.595799999999997</v>
      </c>
      <c r="J41" s="32">
        <f>VLOOKUP(B41,'KASE за 21.08.25'!$C$5:$G$162,5,0)</f>
        <v>74.766499999999994</v>
      </c>
      <c r="K41" s="110">
        <v>388266.66666666663</v>
      </c>
      <c r="L41" s="29">
        <f t="shared" si="9"/>
        <v>170093711.66666666</v>
      </c>
      <c r="M41" s="33">
        <f t="shared" si="0"/>
        <v>6.5985308190089605E-3</v>
      </c>
      <c r="N41" s="13">
        <f t="shared" si="10"/>
        <v>48533.333333333336</v>
      </c>
      <c r="O41" s="12">
        <f t="shared" si="2"/>
        <v>436799.99999999994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21.08.25'!$C$5:$F$162,4,0)</f>
        <v>76.5458</v>
      </c>
      <c r="J42" s="32">
        <f>VLOOKUP(B42,'KASE за 21.08.25'!$C$5:$G$162,5,0)</f>
        <v>81.579700000000003</v>
      </c>
      <c r="K42" s="64">
        <v>25169722.222210988</v>
      </c>
      <c r="L42" s="29">
        <f t="shared" si="9"/>
        <v>407898722.222211</v>
      </c>
      <c r="M42" s="33">
        <f t="shared" si="0"/>
        <v>1.5823820076854112E-2</v>
      </c>
      <c r="N42" s="13">
        <f t="shared" si="10"/>
        <v>100277.77777777778</v>
      </c>
      <c r="O42" s="12">
        <f t="shared" ref="O42:O60" si="11">K42+N42</f>
        <v>25269999.999988765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21.08.25'!$C$5:$F$162,4,0)</f>
        <v>95.468400000000003</v>
      </c>
      <c r="J43" s="32">
        <f>VLOOKUP(B43,'KASE за 21.08.25'!$C$5:$G$162,5,0)</f>
        <v>102.6084</v>
      </c>
      <c r="K43" s="64">
        <v>18492600</v>
      </c>
      <c r="L43" s="29">
        <f t="shared" si="9"/>
        <v>265755756</v>
      </c>
      <c r="M43" s="33">
        <f t="shared" si="0"/>
        <v>1.0309596569516678E-2</v>
      </c>
      <c r="N43" s="13">
        <f t="shared" si="10"/>
        <v>110075</v>
      </c>
      <c r="O43" s="12">
        <f t="shared" si="11"/>
        <v>18602675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21.08.25'!$C$4:$G$963,4,0)</f>
        <v>99.479214973963224</v>
      </c>
      <c r="J44" s="32">
        <f>VLOOKUP(B44,'Риск цены за 21.08.25'!$C$4:$G$963,5,0)</f>
        <v>105.55611497396322</v>
      </c>
      <c r="K44" s="64">
        <v>12153888.88888891</v>
      </c>
      <c r="L44" s="29">
        <f t="shared" si="9"/>
        <v>211112318.83681536</v>
      </c>
      <c r="M44" s="33">
        <f t="shared" si="0"/>
        <v>8.1897862564555054E-3</v>
      </c>
      <c r="N44" s="13">
        <f t="shared" si="10"/>
        <v>92777.777777777766</v>
      </c>
      <c r="O44" s="12">
        <f t="shared" si="11"/>
        <v>12246666.666666688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21.08.25'!$C$5:$F$162,4,0)</f>
        <v>79.989400000000003</v>
      </c>
      <c r="J45" s="84">
        <f>VLOOKUP(B45,'KASE за 21.08.25'!$C$5:$G$162,5,0)</f>
        <v>84.435500000000005</v>
      </c>
      <c r="K45" s="106">
        <v>22230555.555555694</v>
      </c>
      <c r="L45" s="29">
        <f t="shared" si="9"/>
        <v>422177555.5555557</v>
      </c>
      <c r="M45" s="85">
        <f t="shared" si="0"/>
        <v>1.6377746032648466E-2</v>
      </c>
      <c r="N45" s="13">
        <f t="shared" si="10"/>
        <v>73611.111111111109</v>
      </c>
      <c r="O45" s="12">
        <f t="shared" si="11"/>
        <v>22304166.666666806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21.08.25'!$C$5:$F$162,4,0)</f>
        <v>82.152900000000002</v>
      </c>
      <c r="J46" s="84">
        <f>VLOOKUP(B46,'KASE за 21.08.25'!$C$5:$G$162,5,0)</f>
        <v>88.172300000000007</v>
      </c>
      <c r="K46" s="106">
        <v>44363305.555555686</v>
      </c>
      <c r="L46" s="74">
        <f t="shared" si="9"/>
        <v>649830178.5555557</v>
      </c>
      <c r="M46" s="85">
        <f t="shared" si="0"/>
        <v>2.5209188619059551E-2</v>
      </c>
      <c r="N46" s="13">
        <f t="shared" si="10"/>
        <v>225194.44444444444</v>
      </c>
      <c r="O46" s="12">
        <f t="shared" si="11"/>
        <v>44588500.000000134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21.08.25'!$C$5:$F$162,4,0)</f>
        <v>77.234399999999994</v>
      </c>
      <c r="J47" s="84">
        <f>VLOOKUP(B47,'KASE за 21.08.25'!$C$5:$G$162,5,0)</f>
        <v>81.640500000000003</v>
      </c>
      <c r="K47" s="64">
        <v>264366.66666666616</v>
      </c>
      <c r="L47" s="74">
        <f t="shared" ref="L47:L60" si="12">D47*I47/100+K47</f>
        <v>4898430.6666666651</v>
      </c>
      <c r="M47" s="85">
        <f t="shared" si="0"/>
        <v>1.9002728203216019E-4</v>
      </c>
      <c r="N47" s="13">
        <f t="shared" si="10"/>
        <v>1716.6666666666667</v>
      </c>
      <c r="O47" s="12">
        <f t="shared" si="11"/>
        <v>266083.33333333285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21.08.25'!$C$5:$F$162,4,0)</f>
        <v>77.234399999999994</v>
      </c>
      <c r="J48" s="84">
        <f>VLOOKUP(B48,'KASE за 21.08.25'!$C$5:$G$162,5,0)</f>
        <v>81.640500000000003</v>
      </c>
      <c r="K48" s="106">
        <v>264366.66666666616</v>
      </c>
      <c r="L48" s="74">
        <f t="shared" si="12"/>
        <v>4898430.6666666651</v>
      </c>
      <c r="M48" s="85">
        <f t="shared" si="0"/>
        <v>1.9002728203216019E-4</v>
      </c>
      <c r="N48" s="13">
        <f t="shared" si="10"/>
        <v>1716.6666666666667</v>
      </c>
      <c r="O48" s="12">
        <f t="shared" si="11"/>
        <v>266083.33333333285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25027777.777777832</v>
      </c>
      <c r="L49" s="74">
        <f t="shared" si="12"/>
        <v>525027777.77777785</v>
      </c>
      <c r="M49" s="85">
        <f t="shared" si="0"/>
        <v>2.0367666379646519E-2</v>
      </c>
      <c r="N49" s="13">
        <f t="shared" si="10"/>
        <v>236111.11111111112</v>
      </c>
      <c r="O49" s="12">
        <f t="shared" si="11"/>
        <v>25263888.888888944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21.08.25'!$C$5:$F$165,4,0)</f>
        <v>70.440399999999997</v>
      </c>
      <c r="J50" s="84">
        <f>VLOOKUP(B50,'KASE за 21.08.25'!$C$5:$G$165,5,0)</f>
        <v>72.808300000000003</v>
      </c>
      <c r="K50" s="108">
        <v>11839444.444444431</v>
      </c>
      <c r="L50" s="74">
        <f t="shared" si="12"/>
        <v>364041444.44444442</v>
      </c>
      <c r="M50" s="85">
        <f t="shared" ref="M50:M60" si="13">L50/$L$61</f>
        <v>1.4122442664257252E-2</v>
      </c>
      <c r="N50" s="13">
        <f t="shared" si="10"/>
        <v>117222.2222222222</v>
      </c>
      <c r="O50" s="12">
        <f t="shared" si="11"/>
        <v>11956666.666666653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21.08.25'!$C$5:$F$165,4,0)</f>
        <v>74.595799999999997</v>
      </c>
      <c r="J51" s="84">
        <f>VLOOKUP(B51,'KASE за 21.08.25'!$C$5:$G$165,5,0)</f>
        <v>74.766499999999994</v>
      </c>
      <c r="K51" s="111">
        <v>853333.33333333326</v>
      </c>
      <c r="L51" s="74">
        <f t="shared" si="12"/>
        <v>373832333.33333331</v>
      </c>
      <c r="M51" s="85">
        <f t="shared" si="13"/>
        <v>1.4502265536283429E-2</v>
      </c>
      <c r="N51" s="13">
        <f t="shared" si="10"/>
        <v>106666.66666666667</v>
      </c>
      <c r="O51" s="12">
        <f t="shared" si="11"/>
        <v>959999.99999999988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21.08.25'!$C$5:$F$165,4,0)</f>
        <v>75.695499999999996</v>
      </c>
      <c r="J52" s="84">
        <f>VLOOKUP(B52,'KASE за 21.08.25'!$C$5:$G$165,5,0)</f>
        <v>77.403800000000004</v>
      </c>
      <c r="K52" s="108">
        <v>8541666.6666666418</v>
      </c>
      <c r="L52" s="74">
        <f t="shared" si="12"/>
        <v>387019166.66666663</v>
      </c>
      <c r="M52" s="85">
        <f t="shared" si="13"/>
        <v>1.5013828987410041E-2</v>
      </c>
      <c r="N52" s="13">
        <f t="shared" si="10"/>
        <v>69444.444444444438</v>
      </c>
      <c r="O52" s="12">
        <f t="shared" si="11"/>
        <v>8611111.1111110859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0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21.08.25'!$C$5:$F$165,4,0)</f>
        <v>82.552599999999998</v>
      </c>
      <c r="J53" s="84">
        <f>VLOOKUP(B53,'KASE за 21.08.25'!$C$5:$G$165,5,0)</f>
        <v>83.226600000000005</v>
      </c>
      <c r="K53" s="108">
        <v>1348055.5555555555</v>
      </c>
      <c r="L53" s="74">
        <f t="shared" si="12"/>
        <v>166453255.55555555</v>
      </c>
      <c r="M53" s="85">
        <f t="shared" si="13"/>
        <v>6.4573047759704533E-3</v>
      </c>
      <c r="N53" s="13">
        <f t="shared" si="10"/>
        <v>58611.111111111124</v>
      </c>
      <c r="O53" s="12">
        <f t="shared" si="11"/>
        <v>1406666.6666666665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21.08.25'!$C$5:$F$165,4,0)</f>
        <v>84.991</v>
      </c>
      <c r="J54" s="84">
        <f>VLOOKUP(B54,'KASE за 21.08.25'!$C$5:$G$165,5,0)</f>
        <v>90.457700000000003</v>
      </c>
      <c r="K54" s="108">
        <v>27333333.333333403</v>
      </c>
      <c r="L54" s="74">
        <f>D54*I54/100+K54</f>
        <v>452288333.33333337</v>
      </c>
      <c r="M54" s="85">
        <f t="shared" si="13"/>
        <v>1.7545848563918779E-2</v>
      </c>
      <c r="N54" s="13">
        <f t="shared" si="10"/>
        <v>166666.66666666666</v>
      </c>
      <c r="O54" s="12">
        <f t="shared" si="11"/>
        <v>27500000.000000071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21.08.25'!$C$5:$F$165,4,0)</f>
        <v>84.991</v>
      </c>
      <c r="J55" s="84">
        <f>VLOOKUP(B55,'KASE за 21.08.25'!$C$5:$G$165,5,0)</f>
        <v>90.457700000000003</v>
      </c>
      <c r="K55" s="108">
        <v>27333333.333333403</v>
      </c>
      <c r="L55" s="74">
        <f t="shared" si="12"/>
        <v>452288333.33333337</v>
      </c>
      <c r="M55" s="85">
        <f t="shared" si="13"/>
        <v>1.7545848563918779E-2</v>
      </c>
      <c r="N55" s="13">
        <f t="shared" si="10"/>
        <v>166666.66666666666</v>
      </c>
      <c r="O55" s="12">
        <f t="shared" si="11"/>
        <v>27500000.000000071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21.08.25'!$C$5:$F$165,4,0)</f>
        <v>84.991</v>
      </c>
      <c r="J56" s="32">
        <f>VLOOKUP(B56,'KASE за 21.08.25'!$C$5:$G$165,5,0)</f>
        <v>90.457700000000003</v>
      </c>
      <c r="K56" s="107">
        <v>22491014.666666627</v>
      </c>
      <c r="L56" s="74">
        <f t="shared" si="12"/>
        <v>372161836.77666664</v>
      </c>
      <c r="M56" s="85">
        <f t="shared" si="13"/>
        <v>1.4437461124032054E-2</v>
      </c>
      <c r="N56" s="13">
        <f t="shared" si="10"/>
        <v>137140.33333333334</v>
      </c>
      <c r="O56" s="12">
        <f t="shared" si="11"/>
        <v>22628154.999999959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21.08.25'!$C$5:$F$174,4,0)</f>
        <v>89.948499999999996</v>
      </c>
      <c r="J57" s="32">
        <f>VLOOKUP(B57,'KASE за 21.08.25'!$C$5:$G$174,5,0)</f>
        <v>92.999099999999999</v>
      </c>
      <c r="K57" s="107">
        <v>6977810.2722222228</v>
      </c>
      <c r="L57" s="74">
        <f>D57*I57/100+K57</f>
        <v>212725109.68722221</v>
      </c>
      <c r="M57" s="85">
        <f t="shared" si="13"/>
        <v>8.2523520622501401E-3</v>
      </c>
      <c r="N57" s="13">
        <f t="shared" si="10"/>
        <v>91813.29305555555</v>
      </c>
      <c r="O57" s="12">
        <f t="shared" si="11"/>
        <v>7069623.5652777785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21.08.25'!$C$5:$F$174,4,0)</f>
        <v>70.440399999999997</v>
      </c>
      <c r="J58" s="84">
        <f>VLOOKUP(B58,'KASE за 21.08.25'!$C$5:$G$174,5,0)</f>
        <v>72.808300000000003</v>
      </c>
      <c r="K58" s="108">
        <v>11839444.444444438</v>
      </c>
      <c r="L58" s="74">
        <f t="shared" si="12"/>
        <v>364041444.44444442</v>
      </c>
      <c r="M58" s="85">
        <f t="shared" si="13"/>
        <v>1.4122442664257252E-2</v>
      </c>
      <c r="N58" s="13">
        <f t="shared" si="10"/>
        <v>117222.2222222222</v>
      </c>
      <c r="O58" s="12">
        <f t="shared" si="11"/>
        <v>11956666.66666666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21.08.25'!$C$5:$F$174,4,0)</f>
        <v>89.948499999999996</v>
      </c>
      <c r="J59" s="84">
        <f>VLOOKUP(B59,'KASE за 21.08.25'!$C$5:$G$174,5,0)</f>
        <v>92.999099999999999</v>
      </c>
      <c r="K59" s="108">
        <v>15252777.777777774</v>
      </c>
      <c r="L59" s="74">
        <f t="shared" si="12"/>
        <v>464995277.77777779</v>
      </c>
      <c r="M59" s="85">
        <f t="shared" si="13"/>
        <v>1.803879544426211E-2</v>
      </c>
      <c r="N59" s="13">
        <f t="shared" si="10"/>
        <v>200694.44444444444</v>
      </c>
      <c r="O59" s="12">
        <f t="shared" si="11"/>
        <v>15453472.222222218</v>
      </c>
      <c r="Q59" s="3"/>
      <c r="R59" s="12"/>
    </row>
    <row r="60" spans="1:18" ht="15.75" thickBot="1" x14ac:dyDescent="0.3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21.08.25'!$C$5:$F$174,4,0)</f>
        <v>55.702500000000001</v>
      </c>
      <c r="J60" s="84">
        <f>VLOOKUP(B60,'KASE за 21.08.25'!$C$5:$G$174,5,0)</f>
        <v>56.305599999999998</v>
      </c>
      <c r="K60" s="108">
        <v>101560.58999999985</v>
      </c>
      <c r="L60" s="74">
        <f t="shared" si="12"/>
        <v>9482418.6150000002</v>
      </c>
      <c r="M60" s="85">
        <f t="shared" si="13"/>
        <v>3.6785622970260368E-4</v>
      </c>
      <c r="N60" s="13">
        <f t="shared" si="10"/>
        <v>3906.1763888888881</v>
      </c>
      <c r="O60" s="12">
        <f t="shared" si="11"/>
        <v>105466.76638888873</v>
      </c>
      <c r="Q60" s="3"/>
      <c r="R60" s="12"/>
    </row>
    <row r="61" spans="1:18" ht="15.75" thickBot="1" x14ac:dyDescent="0.3">
      <c r="A61" s="71" t="s">
        <v>14</v>
      </c>
      <c r="B61" s="70"/>
      <c r="C61" s="69">
        <f>SUM(C6:C60)</f>
        <v>32121800</v>
      </c>
      <c r="D61" s="69">
        <f>SUM(D6:D60)</f>
        <v>32121800000</v>
      </c>
      <c r="E61" s="67"/>
      <c r="F61" s="66"/>
      <c r="G61" s="66"/>
      <c r="H61" s="69">
        <f>SUM(H6:H60)</f>
        <v>27560502168.966198</v>
      </c>
      <c r="I61" s="65"/>
      <c r="J61" s="68"/>
      <c r="K61" s="112">
        <f>SUM(K6:K60)</f>
        <v>1218673499.1055491</v>
      </c>
      <c r="L61" s="112">
        <f>SUM(L6:L60)</f>
        <v>25777512651.250023</v>
      </c>
      <c r="M61" s="109">
        <f>SUM(M6:M60)</f>
        <v>1.0000000000000002</v>
      </c>
    </row>
    <row r="62" spans="1:18" x14ac:dyDescent="0.25">
      <c r="J62" s="4"/>
      <c r="K62" s="101"/>
      <c r="L62" s="42"/>
      <c r="M62" s="8"/>
      <c r="N62" s="8"/>
      <c r="O62" s="8"/>
    </row>
    <row r="63" spans="1:18" ht="15.75" thickBot="1" x14ac:dyDescent="0.3">
      <c r="A63" s="5" t="s">
        <v>383</v>
      </c>
      <c r="H63" s="96"/>
      <c r="K63" s="38"/>
      <c r="L63" s="44"/>
      <c r="M63" s="8"/>
      <c r="N63" s="8"/>
      <c r="O63" s="8"/>
    </row>
    <row r="64" spans="1:18" ht="15.75" thickBot="1" x14ac:dyDescent="0.3">
      <c r="A64" s="36" t="s">
        <v>240</v>
      </c>
      <c r="B64" s="37">
        <v>1239151.49</v>
      </c>
      <c r="K64" s="38"/>
      <c r="L64" s="44"/>
      <c r="M64" s="93"/>
      <c r="N64" s="90"/>
      <c r="O64" s="8"/>
    </row>
    <row r="65" spans="1:17" x14ac:dyDescent="0.25">
      <c r="N65" s="90"/>
      <c r="O65" s="8"/>
      <c r="Q65" s="8"/>
    </row>
    <row r="66" spans="1:17" ht="15.75" thickBot="1" x14ac:dyDescent="0.3">
      <c r="A66" s="5" t="s">
        <v>241</v>
      </c>
      <c r="N66" s="91"/>
      <c r="O66" s="93"/>
    </row>
    <row r="67" spans="1:17" ht="34.5" customHeight="1" thickBot="1" x14ac:dyDescent="0.3">
      <c r="A67" s="1" t="s">
        <v>242</v>
      </c>
      <c r="B67" s="1" t="s">
        <v>243</v>
      </c>
      <c r="C67" s="1" t="s">
        <v>244</v>
      </c>
      <c r="D67" s="1" t="s">
        <v>245</v>
      </c>
      <c r="E67" s="1" t="s">
        <v>246</v>
      </c>
      <c r="F67" s="1" t="s">
        <v>247</v>
      </c>
      <c r="G67" s="1" t="s">
        <v>248</v>
      </c>
      <c r="H67" s="1" t="s">
        <v>249</v>
      </c>
      <c r="I67" s="1" t="s">
        <v>346</v>
      </c>
      <c r="J67" s="1" t="s">
        <v>347</v>
      </c>
      <c r="K67" s="1" t="s">
        <v>348</v>
      </c>
      <c r="L67" s="1" t="s">
        <v>250</v>
      </c>
      <c r="M67" s="1" t="s">
        <v>349</v>
      </c>
    </row>
    <row r="68" spans="1:17" s="17" customFormat="1" ht="15" customHeight="1" x14ac:dyDescent="0.25">
      <c r="A68" s="55" t="s">
        <v>400</v>
      </c>
      <c r="B68" s="56" t="s">
        <v>146</v>
      </c>
      <c r="C68" s="57">
        <v>212652</v>
      </c>
      <c r="D68" s="58" t="s">
        <v>240</v>
      </c>
      <c r="E68" s="46">
        <v>45889</v>
      </c>
      <c r="F68" s="46">
        <v>45890</v>
      </c>
      <c r="G68" s="59">
        <v>931.94699998118995</v>
      </c>
      <c r="H68" s="59">
        <v>932.34277617892099</v>
      </c>
      <c r="I68" s="57">
        <v>198180393.44</v>
      </c>
      <c r="J68" s="57">
        <v>198264556.03999999</v>
      </c>
      <c r="K68" s="60">
        <v>15.5007003804846</v>
      </c>
      <c r="L68" s="18">
        <f t="shared" ref="L68:L72" si="15">IF(($B$1-E68)=0,0,(J68-I68)/(F68-E68)*($B$1-E68))</f>
        <v>84162.59999999404</v>
      </c>
      <c r="M68" s="18">
        <f t="shared" ref="M68:M72" si="16">IF((F68=$B$1),0,(I68+L68))</f>
        <v>0</v>
      </c>
      <c r="N68" s="16"/>
    </row>
    <row r="69" spans="1:17" s="17" customFormat="1" ht="15" customHeight="1" x14ac:dyDescent="0.25">
      <c r="A69" s="55" t="s">
        <v>400</v>
      </c>
      <c r="B69" s="56" t="s">
        <v>1265</v>
      </c>
      <c r="C69" s="57">
        <v>2440113</v>
      </c>
      <c r="D69" s="58" t="s">
        <v>240</v>
      </c>
      <c r="E69" s="46">
        <v>45889</v>
      </c>
      <c r="F69" s="46">
        <v>45890</v>
      </c>
      <c r="G69" s="59">
        <v>591.57500000204902</v>
      </c>
      <c r="H69" s="59">
        <v>591.82622812959903</v>
      </c>
      <c r="I69" s="57">
        <v>1443509847.98</v>
      </c>
      <c r="J69" s="57">
        <v>1444122873</v>
      </c>
      <c r="K69" s="60">
        <v>15.500700089654</v>
      </c>
      <c r="L69" s="18">
        <f t="shared" si="15"/>
        <v>613025.01999998093</v>
      </c>
      <c r="M69" s="18">
        <f t="shared" si="16"/>
        <v>0</v>
      </c>
      <c r="N69" s="16"/>
    </row>
    <row r="70" spans="1:17" s="17" customFormat="1" ht="15" customHeight="1" x14ac:dyDescent="0.25">
      <c r="A70" s="55" t="s">
        <v>400</v>
      </c>
      <c r="B70" s="56" t="s">
        <v>1265</v>
      </c>
      <c r="C70" s="57">
        <v>16910</v>
      </c>
      <c r="D70" s="58" t="s">
        <v>240</v>
      </c>
      <c r="E70" s="46">
        <v>45889</v>
      </c>
      <c r="F70" s="46">
        <v>45890</v>
      </c>
      <c r="G70" s="59">
        <v>591.57500000000005</v>
      </c>
      <c r="H70" s="59">
        <v>591.82622826729801</v>
      </c>
      <c r="I70" s="57">
        <v>10003533.25</v>
      </c>
      <c r="J70" s="57">
        <v>10007781.52</v>
      </c>
      <c r="K70" s="60">
        <v>15.500708712094299</v>
      </c>
      <c r="L70" s="18">
        <f t="shared" si="15"/>
        <v>4248.269999999553</v>
      </c>
      <c r="M70" s="18">
        <f t="shared" si="16"/>
        <v>0</v>
      </c>
      <c r="N70" s="16"/>
    </row>
    <row r="71" spans="1:17" s="17" customFormat="1" ht="15" customHeight="1" x14ac:dyDescent="0.25">
      <c r="A71" s="55" t="s">
        <v>400</v>
      </c>
      <c r="B71" s="56" t="s">
        <v>146</v>
      </c>
      <c r="C71" s="57">
        <v>1761866</v>
      </c>
      <c r="D71" s="58" t="s">
        <v>240</v>
      </c>
      <c r="E71" s="46">
        <v>45890</v>
      </c>
      <c r="F71" s="46">
        <v>45891</v>
      </c>
      <c r="G71" s="59">
        <v>932.49300000113499</v>
      </c>
      <c r="H71" s="59">
        <v>932.88901572537304</v>
      </c>
      <c r="I71" s="57">
        <v>1642927711.9400001</v>
      </c>
      <c r="J71" s="57">
        <v>1643625438.5799999</v>
      </c>
      <c r="K71" s="60">
        <v>15.500999937439801</v>
      </c>
      <c r="L71" s="18">
        <f t="shared" si="15"/>
        <v>0</v>
      </c>
      <c r="M71" s="18">
        <f t="shared" si="16"/>
        <v>1642927711.9400001</v>
      </c>
      <c r="N71" s="16"/>
    </row>
    <row r="72" spans="1:17" s="17" customFormat="1" ht="15" customHeight="1" x14ac:dyDescent="0.25">
      <c r="A72" s="55" t="s">
        <v>400</v>
      </c>
      <c r="B72" s="56" t="s">
        <v>146</v>
      </c>
      <c r="C72" s="57">
        <v>9657</v>
      </c>
      <c r="D72" s="58" t="s">
        <v>240</v>
      </c>
      <c r="E72" s="46">
        <v>45890</v>
      </c>
      <c r="F72" s="46">
        <v>45891</v>
      </c>
      <c r="G72" s="59">
        <v>932.49299989644805</v>
      </c>
      <c r="H72" s="59">
        <v>932.88901522211904</v>
      </c>
      <c r="I72" s="57">
        <v>9005084.9000000004</v>
      </c>
      <c r="J72" s="57">
        <v>9008909.2200000007</v>
      </c>
      <c r="K72" s="60">
        <v>15.5009843383042</v>
      </c>
      <c r="L72" s="18">
        <f t="shared" si="15"/>
        <v>0</v>
      </c>
      <c r="M72" s="18">
        <f t="shared" si="16"/>
        <v>9005084.9000000004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1" t="s">
        <v>14</v>
      </c>
      <c r="B74" s="70"/>
      <c r="C74" s="69">
        <f>SUM(C68:C72)</f>
        <v>4441198</v>
      </c>
      <c r="D74" s="80"/>
      <c r="E74" s="79"/>
      <c r="F74" s="80"/>
      <c r="G74" s="78"/>
      <c r="H74" s="80"/>
      <c r="I74" s="69">
        <f>SUM(I68:I72)</f>
        <v>3303626571.5100002</v>
      </c>
      <c r="J74" s="69">
        <f>SUM(J68:J72)</f>
        <v>3305029558.3599997</v>
      </c>
      <c r="K74" s="77"/>
      <c r="L74" s="69">
        <f>SUM(L68:L72)</f>
        <v>701435.88999997452</v>
      </c>
      <c r="M74" s="69">
        <f>SUM(M68:M72)</f>
        <v>1651932796.8400002</v>
      </c>
      <c r="O74" s="8"/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103" t="s">
        <v>16</v>
      </c>
      <c r="B78" s="103" t="s">
        <v>251</v>
      </c>
      <c r="C78" s="103" t="s">
        <v>245</v>
      </c>
      <c r="D78" s="103" t="s">
        <v>252</v>
      </c>
      <c r="E78" s="103" t="s">
        <v>244</v>
      </c>
      <c r="F78" s="103" t="s">
        <v>253</v>
      </c>
      <c r="G78" s="103" t="s">
        <v>254</v>
      </c>
      <c r="L78" s="10"/>
      <c r="M78" s="11"/>
    </row>
    <row r="79" spans="1:17" x14ac:dyDescent="0.25">
      <c r="A79" s="28"/>
      <c r="B79" s="28"/>
      <c r="C79" s="102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104"/>
      <c r="C80" s="104"/>
      <c r="D80" s="104"/>
      <c r="E80" s="104"/>
      <c r="F80" s="104"/>
      <c r="G80" s="105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L61+B64+M74+G80</f>
        <v>27430684599.580025</v>
      </c>
      <c r="C82" s="8"/>
      <c r="D82" s="3"/>
      <c r="L82" s="10"/>
      <c r="M82" s="10"/>
    </row>
    <row r="83" spans="1:14" x14ac:dyDescent="0.25">
      <c r="L83" s="10"/>
    </row>
    <row r="84" spans="1:14" x14ac:dyDescent="0.25">
      <c r="B84" s="38"/>
      <c r="G84" s="8"/>
    </row>
    <row r="85" spans="1:14" ht="15.75" x14ac:dyDescent="0.25">
      <c r="A85" s="19"/>
      <c r="B85" s="95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f>4020961.36-4020961.36</f>
        <v>0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</f>
        <v>58999.999999999942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f>365447.82+31954.05</f>
        <v>397401.87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</f>
        <v>151801.78999999998</v>
      </c>
      <c r="K92" s="13"/>
      <c r="N92"/>
    </row>
    <row r="93" spans="1:14" ht="15.75" x14ac:dyDescent="0.25">
      <c r="A93" s="20" t="s">
        <v>261</v>
      </c>
      <c r="B93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</f>
        <v>99580.660000000018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707784.32</v>
      </c>
      <c r="L97" s="13"/>
      <c r="N97"/>
    </row>
    <row r="98" spans="1:14" x14ac:dyDescent="0.25">
      <c r="L98" s="13"/>
      <c r="N98"/>
    </row>
  </sheetData>
  <autoFilter ref="A67:T67" xr:uid="{00000000-0009-0000-0000-000000000000}"/>
  <conditionalFormatting sqref="F68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45890</v>
      </c>
    </row>
    <row r="2" spans="1:10" ht="15" customHeight="1" x14ac:dyDescent="0.25"/>
    <row r="3" spans="1:10" ht="17.25" customHeight="1" x14ac:dyDescent="0.25">
      <c r="A3" s="122" t="s">
        <v>16</v>
      </c>
      <c r="B3" s="122" t="s">
        <v>344</v>
      </c>
      <c r="C3" s="122" t="s">
        <v>0</v>
      </c>
      <c r="D3" s="122" t="s">
        <v>17</v>
      </c>
      <c r="E3" s="122" t="s">
        <v>339</v>
      </c>
      <c r="F3" s="122" t="s">
        <v>340</v>
      </c>
      <c r="G3" s="122" t="s">
        <v>341</v>
      </c>
      <c r="H3" s="122" t="s">
        <v>2106</v>
      </c>
      <c r="I3" s="122" t="s">
        <v>342</v>
      </c>
      <c r="J3" s="122" t="s">
        <v>18</v>
      </c>
    </row>
    <row r="4" spans="1:10" ht="21" customHeight="1" x14ac:dyDescent="0.25">
      <c r="A4" s="123"/>
      <c r="B4" s="122"/>
      <c r="C4" s="122"/>
      <c r="D4" s="122"/>
      <c r="E4" s="122"/>
      <c r="F4" s="122"/>
      <c r="G4" s="122"/>
      <c r="H4" s="122"/>
      <c r="I4" s="122"/>
      <c r="J4" s="122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2351</v>
      </c>
      <c r="F5" s="62">
        <v>757.2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2313</v>
      </c>
      <c r="C6" s="62" t="s">
        <v>527</v>
      </c>
      <c r="D6" s="62" t="s">
        <v>2352</v>
      </c>
      <c r="E6" s="62" t="s">
        <v>2351</v>
      </c>
      <c r="F6" s="62">
        <v>5.72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2314</v>
      </c>
      <c r="C7" s="62" t="s">
        <v>24</v>
      </c>
      <c r="D7" s="62" t="s">
        <v>19</v>
      </c>
      <c r="E7" s="62" t="s">
        <v>2353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2315</v>
      </c>
      <c r="C8" s="62" t="s">
        <v>437</v>
      </c>
      <c r="D8" s="62" t="s">
        <v>2354</v>
      </c>
      <c r="E8" s="62" t="s">
        <v>2355</v>
      </c>
      <c r="F8" s="62">
        <v>100.0091</v>
      </c>
      <c r="G8" s="62">
        <v>101.2313</v>
      </c>
      <c r="H8" s="62" t="s">
        <v>2656</v>
      </c>
      <c r="I8" s="62" t="s">
        <v>2657</v>
      </c>
      <c r="J8" s="62" t="s">
        <v>271</v>
      </c>
    </row>
    <row r="9" spans="1:10" ht="15" x14ac:dyDescent="0.25">
      <c r="A9" s="40">
        <v>5</v>
      </c>
      <c r="B9" s="62" t="s">
        <v>2454</v>
      </c>
      <c r="C9" s="62" t="s">
        <v>638</v>
      </c>
      <c r="D9" s="62" t="s">
        <v>19</v>
      </c>
      <c r="E9" s="62" t="s">
        <v>2455</v>
      </c>
      <c r="F9" s="62">
        <v>24.59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2456</v>
      </c>
      <c r="C10" s="62" t="s">
        <v>672</v>
      </c>
      <c r="D10" s="62" t="s">
        <v>2354</v>
      </c>
      <c r="E10" s="62" t="s">
        <v>2457</v>
      </c>
      <c r="F10" s="62">
        <v>93.162700000000001</v>
      </c>
      <c r="G10" s="62">
        <v>95.162700000000001</v>
      </c>
      <c r="H10" s="62" t="s">
        <v>2658</v>
      </c>
      <c r="I10" s="62" t="s">
        <v>2659</v>
      </c>
      <c r="J10" s="62" t="s">
        <v>271</v>
      </c>
    </row>
    <row r="11" spans="1:10" ht="15" x14ac:dyDescent="0.25">
      <c r="A11" s="40">
        <v>7</v>
      </c>
      <c r="B11" s="62" t="s">
        <v>2470</v>
      </c>
      <c r="C11" s="62" t="s">
        <v>27</v>
      </c>
      <c r="D11" s="62" t="s">
        <v>2356</v>
      </c>
      <c r="E11" s="62" t="s">
        <v>2357</v>
      </c>
      <c r="F11" s="63">
        <v>1461.81</v>
      </c>
      <c r="G11" s="62" t="s">
        <v>343</v>
      </c>
      <c r="H11" s="62" t="s">
        <v>343</v>
      </c>
      <c r="I11" s="62" t="s">
        <v>343</v>
      </c>
      <c r="J11" s="62" t="s">
        <v>240</v>
      </c>
    </row>
    <row r="12" spans="1:10" ht="15" x14ac:dyDescent="0.25">
      <c r="A12" s="40">
        <v>8</v>
      </c>
      <c r="B12" s="62" t="s">
        <v>2471</v>
      </c>
      <c r="C12" s="62" t="s">
        <v>743</v>
      </c>
      <c r="D12" s="62" t="s">
        <v>2356</v>
      </c>
      <c r="E12" s="62" t="s">
        <v>2357</v>
      </c>
      <c r="F12" s="62">
        <v>6.92</v>
      </c>
      <c r="G12" s="62" t="s">
        <v>343</v>
      </c>
      <c r="H12" s="62" t="s">
        <v>343</v>
      </c>
      <c r="I12" s="62" t="s">
        <v>343</v>
      </c>
      <c r="J12" s="62" t="s">
        <v>240</v>
      </c>
    </row>
    <row r="13" spans="1:10" ht="15.75" customHeight="1" x14ac:dyDescent="0.25">
      <c r="A13" s="40">
        <v>9</v>
      </c>
      <c r="B13" s="62" t="s">
        <v>2472</v>
      </c>
      <c r="C13" s="62" t="s">
        <v>2228</v>
      </c>
      <c r="D13" s="62" t="s">
        <v>2354</v>
      </c>
      <c r="E13" s="62" t="s">
        <v>2241</v>
      </c>
      <c r="F13" s="62">
        <v>99.892499999999998</v>
      </c>
      <c r="G13" s="62">
        <v>104.3342</v>
      </c>
      <c r="H13" s="62" t="s">
        <v>2458</v>
      </c>
      <c r="I13" s="62" t="s">
        <v>2660</v>
      </c>
      <c r="J13" s="62" t="s">
        <v>271</v>
      </c>
    </row>
    <row r="14" spans="1:10" ht="15.75" customHeight="1" x14ac:dyDescent="0.25">
      <c r="A14" s="40">
        <v>10</v>
      </c>
      <c r="B14" s="62" t="s">
        <v>2473</v>
      </c>
      <c r="C14" s="62" t="s">
        <v>2139</v>
      </c>
      <c r="D14" s="62" t="s">
        <v>2354</v>
      </c>
      <c r="E14" s="62" t="s">
        <v>2358</v>
      </c>
      <c r="F14" s="62">
        <v>102.4113</v>
      </c>
      <c r="G14" s="62">
        <v>104.5051</v>
      </c>
      <c r="H14" s="62" t="s">
        <v>2661</v>
      </c>
      <c r="I14" s="62" t="s">
        <v>2662</v>
      </c>
      <c r="J14" s="62" t="s">
        <v>271</v>
      </c>
    </row>
    <row r="15" spans="1:10" ht="15.75" customHeight="1" x14ac:dyDescent="0.25">
      <c r="A15" s="40">
        <v>11</v>
      </c>
      <c r="B15" s="62" t="s">
        <v>2474</v>
      </c>
      <c r="C15" s="62" t="s">
        <v>31</v>
      </c>
      <c r="D15" s="62" t="s">
        <v>2354</v>
      </c>
      <c r="E15" s="62" t="s">
        <v>2358</v>
      </c>
      <c r="F15" s="62">
        <v>99.983699999999999</v>
      </c>
      <c r="G15" s="62">
        <v>102.4504</v>
      </c>
      <c r="H15" s="62" t="s">
        <v>2663</v>
      </c>
      <c r="I15" s="62" t="s">
        <v>2664</v>
      </c>
      <c r="J15" s="62" t="s">
        <v>271</v>
      </c>
    </row>
    <row r="16" spans="1:10" ht="15" x14ac:dyDescent="0.25">
      <c r="A16" s="40">
        <v>12</v>
      </c>
      <c r="B16" s="62" t="s">
        <v>2475</v>
      </c>
      <c r="C16" s="62" t="s">
        <v>2207</v>
      </c>
      <c r="D16" s="62" t="s">
        <v>2354</v>
      </c>
      <c r="E16" s="62" t="s">
        <v>2359</v>
      </c>
      <c r="F16" s="62">
        <v>101.1606</v>
      </c>
      <c r="G16" s="62">
        <v>102.7199</v>
      </c>
      <c r="H16" s="62" t="s">
        <v>2350</v>
      </c>
      <c r="I16" s="62" t="s">
        <v>2665</v>
      </c>
      <c r="J16" s="62" t="s">
        <v>271</v>
      </c>
    </row>
    <row r="17" spans="1:10" ht="15" x14ac:dyDescent="0.25">
      <c r="A17" s="40">
        <v>13</v>
      </c>
      <c r="B17" s="62" t="s">
        <v>2476</v>
      </c>
      <c r="C17" s="62" t="s">
        <v>33</v>
      </c>
      <c r="D17" s="62" t="s">
        <v>19</v>
      </c>
      <c r="E17" s="62" t="s">
        <v>2360</v>
      </c>
      <c r="F17" s="63">
        <v>4586.1000000000004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2477</v>
      </c>
      <c r="C18" s="62" t="s">
        <v>36</v>
      </c>
      <c r="D18" s="62" t="s">
        <v>19</v>
      </c>
      <c r="E18" s="62" t="s">
        <v>2360</v>
      </c>
      <c r="F18" s="63">
        <v>6515.65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2478</v>
      </c>
      <c r="C19" s="62" t="s">
        <v>38</v>
      </c>
      <c r="D19" s="62" t="s">
        <v>2356</v>
      </c>
      <c r="E19" s="62" t="s">
        <v>237</v>
      </c>
      <c r="F19" s="63">
        <v>5899704.0099999998</v>
      </c>
      <c r="G19" s="62" t="s">
        <v>343</v>
      </c>
      <c r="H19" s="62" t="s">
        <v>343</v>
      </c>
      <c r="I19" s="62" t="s">
        <v>343</v>
      </c>
      <c r="J19" s="62" t="s">
        <v>240</v>
      </c>
    </row>
    <row r="20" spans="1:10" ht="15" x14ac:dyDescent="0.25">
      <c r="A20" s="40">
        <v>16</v>
      </c>
      <c r="B20" s="62" t="s">
        <v>2479</v>
      </c>
      <c r="C20" s="62" t="s">
        <v>41</v>
      </c>
      <c r="D20" s="62" t="s">
        <v>2356</v>
      </c>
      <c r="E20" s="62" t="s">
        <v>237</v>
      </c>
      <c r="F20" s="63">
        <v>1749268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2480</v>
      </c>
      <c r="C21" s="62" t="s">
        <v>44</v>
      </c>
      <c r="D21" s="62" t="s">
        <v>2361</v>
      </c>
      <c r="E21" s="62" t="s">
        <v>42</v>
      </c>
      <c r="F21" s="62">
        <v>99.754199999999997</v>
      </c>
      <c r="G21" s="62">
        <v>102.1534</v>
      </c>
      <c r="H21" s="62" t="s">
        <v>2459</v>
      </c>
      <c r="I21" s="62" t="s">
        <v>2666</v>
      </c>
      <c r="J21" s="62" t="s">
        <v>271</v>
      </c>
    </row>
    <row r="22" spans="1:10" ht="15" x14ac:dyDescent="0.25">
      <c r="A22" s="40">
        <v>18</v>
      </c>
      <c r="B22" s="62" t="s">
        <v>2481</v>
      </c>
      <c r="C22" s="62" t="s">
        <v>2052</v>
      </c>
      <c r="D22" s="62" t="s">
        <v>2361</v>
      </c>
      <c r="E22" s="62" t="s">
        <v>42</v>
      </c>
      <c r="F22" s="62">
        <v>100</v>
      </c>
      <c r="G22" s="62">
        <v>107.8801</v>
      </c>
      <c r="H22" s="62" t="s">
        <v>2437</v>
      </c>
      <c r="I22" s="62" t="s">
        <v>2667</v>
      </c>
      <c r="J22" s="62" t="s">
        <v>271</v>
      </c>
    </row>
    <row r="23" spans="1:10" ht="15" x14ac:dyDescent="0.25">
      <c r="A23" s="40">
        <v>19</v>
      </c>
      <c r="B23" s="62" t="s">
        <v>2482</v>
      </c>
      <c r="C23" s="62" t="s">
        <v>2103</v>
      </c>
      <c r="D23" s="62" t="s">
        <v>2361</v>
      </c>
      <c r="E23" s="62" t="s">
        <v>42</v>
      </c>
      <c r="F23" s="62">
        <v>100</v>
      </c>
      <c r="G23" s="62">
        <v>107.0479</v>
      </c>
      <c r="H23" s="62" t="s">
        <v>2426</v>
      </c>
      <c r="I23" s="62" t="s">
        <v>2668</v>
      </c>
      <c r="J23" s="62" t="s">
        <v>271</v>
      </c>
    </row>
    <row r="24" spans="1:10" ht="15" x14ac:dyDescent="0.25">
      <c r="A24" s="40">
        <v>20</v>
      </c>
      <c r="B24" s="62" t="s">
        <v>2483</v>
      </c>
      <c r="C24" s="62" t="s">
        <v>49</v>
      </c>
      <c r="D24" s="62" t="s">
        <v>2356</v>
      </c>
      <c r="E24" s="62" t="s">
        <v>2362</v>
      </c>
      <c r="F24" s="63">
        <v>89463.69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2484</v>
      </c>
      <c r="C25" s="62" t="s">
        <v>46</v>
      </c>
      <c r="D25" s="62" t="s">
        <v>2356</v>
      </c>
      <c r="E25" s="62" t="s">
        <v>2362</v>
      </c>
      <c r="F25" s="63">
        <v>5456.72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2485</v>
      </c>
      <c r="C26" s="62" t="s">
        <v>994</v>
      </c>
      <c r="D26" s="62" t="s">
        <v>2356</v>
      </c>
      <c r="E26" s="62" t="s">
        <v>2414</v>
      </c>
      <c r="F26" s="63">
        <v>1039.45</v>
      </c>
      <c r="G26" s="62" t="s">
        <v>343</v>
      </c>
      <c r="H26" s="62" t="s">
        <v>343</v>
      </c>
      <c r="I26" s="62" t="s">
        <v>343</v>
      </c>
      <c r="J26" s="62" t="s">
        <v>2007</v>
      </c>
    </row>
    <row r="27" spans="1:10" ht="15" x14ac:dyDescent="0.25">
      <c r="A27" s="40">
        <v>23</v>
      </c>
      <c r="B27" s="62" t="s">
        <v>2486</v>
      </c>
      <c r="C27" s="62" t="s">
        <v>1000</v>
      </c>
      <c r="D27" s="62" t="s">
        <v>2356</v>
      </c>
      <c r="E27" s="62" t="s">
        <v>2414</v>
      </c>
      <c r="F27" s="63">
        <v>1162.1500000000001</v>
      </c>
      <c r="G27" s="62" t="s">
        <v>343</v>
      </c>
      <c r="H27" s="62" t="s">
        <v>343</v>
      </c>
      <c r="I27" s="62" t="s">
        <v>343</v>
      </c>
      <c r="J27" s="62" t="s">
        <v>2007</v>
      </c>
    </row>
    <row r="28" spans="1:10" ht="15" x14ac:dyDescent="0.25">
      <c r="A28" s="40">
        <v>24</v>
      </c>
      <c r="B28" s="62" t="s">
        <v>2487</v>
      </c>
      <c r="C28" s="62" t="s">
        <v>2060</v>
      </c>
      <c r="D28" s="62" t="s">
        <v>2354</v>
      </c>
      <c r="E28" s="62" t="s">
        <v>2363</v>
      </c>
      <c r="F28" s="62">
        <v>99.789900000000003</v>
      </c>
      <c r="G28" s="62">
        <v>108.5624</v>
      </c>
      <c r="H28" s="62" t="s">
        <v>2415</v>
      </c>
      <c r="I28" s="62" t="s">
        <v>2669</v>
      </c>
      <c r="J28" s="62" t="s">
        <v>271</v>
      </c>
    </row>
    <row r="29" spans="1:10" ht="15" x14ac:dyDescent="0.25">
      <c r="A29" s="40">
        <v>25</v>
      </c>
      <c r="B29" s="62" t="s">
        <v>2488</v>
      </c>
      <c r="C29" s="62" t="s">
        <v>56</v>
      </c>
      <c r="D29" s="62" t="s">
        <v>2356</v>
      </c>
      <c r="E29" s="62" t="s">
        <v>2364</v>
      </c>
      <c r="F29" s="63">
        <v>53333.1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2489</v>
      </c>
      <c r="C30" s="62" t="s">
        <v>58</v>
      </c>
      <c r="D30" s="62" t="s">
        <v>2356</v>
      </c>
      <c r="E30" s="62" t="s">
        <v>2364</v>
      </c>
      <c r="F30" s="63">
        <v>74138.19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2490</v>
      </c>
      <c r="C31" s="62" t="s">
        <v>60</v>
      </c>
      <c r="D31" s="62" t="s">
        <v>2356</v>
      </c>
      <c r="E31" s="62" t="s">
        <v>2364</v>
      </c>
      <c r="F31" s="63">
        <v>73194.28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2491</v>
      </c>
      <c r="C32" s="62" t="s">
        <v>62</v>
      </c>
      <c r="D32" s="62" t="s">
        <v>2356</v>
      </c>
      <c r="E32" s="62" t="s">
        <v>2364</v>
      </c>
      <c r="F32" s="63">
        <v>582200.46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2492</v>
      </c>
      <c r="C33" s="62" t="s">
        <v>64</v>
      </c>
      <c r="D33" s="62" t="s">
        <v>19</v>
      </c>
      <c r="E33" s="62" t="s">
        <v>2365</v>
      </c>
      <c r="F33" s="62">
        <v>370.45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2493</v>
      </c>
      <c r="C34" s="62" t="s">
        <v>370</v>
      </c>
      <c r="D34" s="62" t="s">
        <v>2352</v>
      </c>
      <c r="E34" s="62" t="s">
        <v>2365</v>
      </c>
      <c r="F34" s="62">
        <v>27.01</v>
      </c>
      <c r="G34" s="62" t="s">
        <v>343</v>
      </c>
      <c r="H34" s="62" t="s">
        <v>343</v>
      </c>
      <c r="I34" s="62" t="s">
        <v>343</v>
      </c>
      <c r="J34" s="62" t="s">
        <v>2007</v>
      </c>
    </row>
    <row r="35" spans="1:10" ht="15" x14ac:dyDescent="0.25">
      <c r="A35" s="40">
        <v>31</v>
      </c>
      <c r="B35" s="62" t="s">
        <v>2494</v>
      </c>
      <c r="C35" s="62" t="s">
        <v>67</v>
      </c>
      <c r="D35" s="62" t="s">
        <v>19</v>
      </c>
      <c r="E35" s="62" t="s">
        <v>2366</v>
      </c>
      <c r="F35" s="63">
        <v>9351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2495</v>
      </c>
      <c r="C36" s="62" t="s">
        <v>80</v>
      </c>
      <c r="D36" s="62" t="s">
        <v>19</v>
      </c>
      <c r="E36" s="62" t="s">
        <v>2367</v>
      </c>
      <c r="F36" s="63">
        <v>3385.5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2496</v>
      </c>
      <c r="C37" s="62" t="s">
        <v>83</v>
      </c>
      <c r="D37" s="62" t="s">
        <v>19</v>
      </c>
      <c r="E37" s="62" t="s">
        <v>2368</v>
      </c>
      <c r="F37" s="63">
        <v>1441.94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2497</v>
      </c>
      <c r="C38" s="62" t="s">
        <v>275</v>
      </c>
      <c r="D38" s="62" t="s">
        <v>2354</v>
      </c>
      <c r="E38" s="62" t="s">
        <v>2460</v>
      </c>
      <c r="F38" s="62">
        <v>99.949700000000007</v>
      </c>
      <c r="G38" s="62">
        <v>106.87390000000001</v>
      </c>
      <c r="H38" s="62" t="s">
        <v>2670</v>
      </c>
      <c r="I38" s="62" t="s">
        <v>2671</v>
      </c>
      <c r="J38" s="62" t="s">
        <v>271</v>
      </c>
    </row>
    <row r="39" spans="1:10" ht="15" x14ac:dyDescent="0.25">
      <c r="A39" s="40">
        <v>35</v>
      </c>
      <c r="B39" s="62" t="s">
        <v>2498</v>
      </c>
      <c r="C39" s="62" t="s">
        <v>86</v>
      </c>
      <c r="D39" s="62" t="s">
        <v>19</v>
      </c>
      <c r="E39" s="62" t="s">
        <v>2369</v>
      </c>
      <c r="F39" s="63">
        <v>19914.169999999998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2499</v>
      </c>
      <c r="C40" s="62" t="s">
        <v>89</v>
      </c>
      <c r="D40" s="62" t="s">
        <v>2354</v>
      </c>
      <c r="E40" s="62" t="s">
        <v>2369</v>
      </c>
      <c r="F40" s="62">
        <v>90.227800000000002</v>
      </c>
      <c r="G40" s="62">
        <v>92.176400000000001</v>
      </c>
      <c r="H40" s="62" t="s">
        <v>2672</v>
      </c>
      <c r="I40" s="62" t="s">
        <v>2673</v>
      </c>
      <c r="J40" s="62" t="s">
        <v>271</v>
      </c>
    </row>
    <row r="41" spans="1:10" ht="15" x14ac:dyDescent="0.25">
      <c r="A41" s="40">
        <v>37</v>
      </c>
      <c r="B41" s="62" t="s">
        <v>2500</v>
      </c>
      <c r="C41" s="62" t="s">
        <v>91</v>
      </c>
      <c r="D41" s="62" t="s">
        <v>2354</v>
      </c>
      <c r="E41" s="62" t="s">
        <v>2369</v>
      </c>
      <c r="F41" s="62">
        <v>101.77630000000001</v>
      </c>
      <c r="G41" s="62">
        <v>103.5232</v>
      </c>
      <c r="H41" s="62" t="s">
        <v>2674</v>
      </c>
      <c r="I41" s="62" t="s">
        <v>2675</v>
      </c>
      <c r="J41" s="62" t="s">
        <v>271</v>
      </c>
    </row>
    <row r="42" spans="1:10" ht="15" x14ac:dyDescent="0.25">
      <c r="A42" s="40">
        <v>38</v>
      </c>
      <c r="B42" s="62" t="s">
        <v>2501</v>
      </c>
      <c r="C42" s="62" t="s">
        <v>93</v>
      </c>
      <c r="D42" s="62" t="s">
        <v>2354</v>
      </c>
      <c r="E42" s="62" t="s">
        <v>2369</v>
      </c>
      <c r="F42" s="62">
        <v>96.067999999999998</v>
      </c>
      <c r="G42" s="62">
        <v>98.139899999999997</v>
      </c>
      <c r="H42" s="62" t="s">
        <v>2676</v>
      </c>
      <c r="I42" s="62" t="s">
        <v>2677</v>
      </c>
      <c r="J42" s="62" t="s">
        <v>271</v>
      </c>
    </row>
    <row r="43" spans="1:10" ht="15" x14ac:dyDescent="0.25">
      <c r="A43" s="40">
        <v>39</v>
      </c>
      <c r="B43" s="62" t="s">
        <v>2502</v>
      </c>
      <c r="C43" s="62" t="s">
        <v>95</v>
      </c>
      <c r="D43" s="62" t="s">
        <v>2354</v>
      </c>
      <c r="E43" s="62" t="s">
        <v>2369</v>
      </c>
      <c r="F43" s="62">
        <v>88.434799999999996</v>
      </c>
      <c r="G43" s="62">
        <v>89.669499999999999</v>
      </c>
      <c r="H43" s="62" t="s">
        <v>2678</v>
      </c>
      <c r="I43" s="62" t="s">
        <v>2679</v>
      </c>
      <c r="J43" s="62" t="s">
        <v>271</v>
      </c>
    </row>
    <row r="44" spans="1:10" ht="15" x14ac:dyDescent="0.25">
      <c r="A44" s="40">
        <v>40</v>
      </c>
      <c r="B44" s="62" t="s">
        <v>2503</v>
      </c>
      <c r="C44" s="62" t="s">
        <v>97</v>
      </c>
      <c r="D44" s="62" t="s">
        <v>19</v>
      </c>
      <c r="E44" s="62" t="s">
        <v>2370</v>
      </c>
      <c r="F44" s="63">
        <v>51278.79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2504</v>
      </c>
      <c r="C45" s="62" t="s">
        <v>100</v>
      </c>
      <c r="D45" s="62" t="s">
        <v>2352</v>
      </c>
      <c r="E45" s="62" t="s">
        <v>2370</v>
      </c>
      <c r="F45" s="62">
        <v>96.11</v>
      </c>
      <c r="G45" s="62" t="s">
        <v>343</v>
      </c>
      <c r="H45" s="62" t="s">
        <v>343</v>
      </c>
      <c r="I45" s="62" t="s">
        <v>343</v>
      </c>
      <c r="J45" s="62" t="s">
        <v>2007</v>
      </c>
    </row>
    <row r="46" spans="1:10" ht="15" x14ac:dyDescent="0.25">
      <c r="A46" s="40">
        <v>42</v>
      </c>
      <c r="B46" s="62" t="s">
        <v>2505</v>
      </c>
      <c r="C46" s="62" t="s">
        <v>102</v>
      </c>
      <c r="D46" s="62" t="s">
        <v>19</v>
      </c>
      <c r="E46" s="62" t="s">
        <v>2371</v>
      </c>
      <c r="F46" s="63">
        <v>23961.74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2506</v>
      </c>
      <c r="C47" s="62" t="s">
        <v>2086</v>
      </c>
      <c r="D47" s="62" t="s">
        <v>2354</v>
      </c>
      <c r="E47" s="62" t="s">
        <v>2372</v>
      </c>
      <c r="F47" s="62">
        <v>102.8477</v>
      </c>
      <c r="G47" s="62">
        <v>112.25879999999999</v>
      </c>
      <c r="H47" s="62" t="s">
        <v>2427</v>
      </c>
      <c r="I47" s="62" t="s">
        <v>2680</v>
      </c>
      <c r="J47" s="62" t="s">
        <v>271</v>
      </c>
    </row>
    <row r="48" spans="1:10" ht="15" x14ac:dyDescent="0.25">
      <c r="A48" s="40">
        <v>44</v>
      </c>
      <c r="B48" s="62" t="s">
        <v>2507</v>
      </c>
      <c r="C48" s="62" t="s">
        <v>104</v>
      </c>
      <c r="D48" s="62" t="s">
        <v>19</v>
      </c>
      <c r="E48" s="62" t="s">
        <v>2373</v>
      </c>
      <c r="F48" s="63">
        <v>41224.26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2508</v>
      </c>
      <c r="C49" s="62" t="s">
        <v>107</v>
      </c>
      <c r="D49" s="62" t="s">
        <v>19</v>
      </c>
      <c r="E49" s="62" t="s">
        <v>2373</v>
      </c>
      <c r="F49" s="63">
        <v>33977.85</v>
      </c>
      <c r="G49" s="62" t="s">
        <v>343</v>
      </c>
      <c r="H49" s="62" t="s">
        <v>343</v>
      </c>
      <c r="I49" s="62" t="s">
        <v>343</v>
      </c>
      <c r="J49" s="62" t="s">
        <v>240</v>
      </c>
    </row>
    <row r="50" spans="1:10" ht="15" x14ac:dyDescent="0.25">
      <c r="A50" s="40">
        <v>46</v>
      </c>
      <c r="B50" s="62" t="s">
        <v>2509</v>
      </c>
      <c r="C50" s="62" t="s">
        <v>109</v>
      </c>
      <c r="D50" s="62" t="s">
        <v>19</v>
      </c>
      <c r="E50" s="62" t="s">
        <v>2374</v>
      </c>
      <c r="F50" s="62">
        <v>808.03</v>
      </c>
      <c r="G50" s="62" t="s">
        <v>343</v>
      </c>
      <c r="H50" s="62" t="s">
        <v>343</v>
      </c>
      <c r="I50" s="62" t="s">
        <v>343</v>
      </c>
      <c r="J50" s="62" t="s">
        <v>240</v>
      </c>
    </row>
    <row r="51" spans="1:10" ht="15" x14ac:dyDescent="0.25">
      <c r="A51" s="40">
        <v>47</v>
      </c>
      <c r="B51" s="62" t="s">
        <v>2510</v>
      </c>
      <c r="C51" s="62" t="s">
        <v>1267</v>
      </c>
      <c r="D51" s="62" t="s">
        <v>2375</v>
      </c>
      <c r="E51" s="62" t="s">
        <v>2376</v>
      </c>
      <c r="F51" s="62">
        <v>97.5</v>
      </c>
      <c r="G51" s="62">
        <v>99.228499999999997</v>
      </c>
      <c r="H51" s="62" t="s">
        <v>2300</v>
      </c>
      <c r="I51" s="62" t="s">
        <v>2681</v>
      </c>
      <c r="J51" s="62" t="s">
        <v>271</v>
      </c>
    </row>
    <row r="52" spans="1:10" ht="15" x14ac:dyDescent="0.25">
      <c r="A52" s="40">
        <v>48</v>
      </c>
      <c r="B52" s="62" t="s">
        <v>2511</v>
      </c>
      <c r="C52" s="62" t="s">
        <v>1380</v>
      </c>
      <c r="D52" s="62" t="s">
        <v>2354</v>
      </c>
      <c r="E52" s="62" t="s">
        <v>2512</v>
      </c>
      <c r="F52" s="62">
        <v>100</v>
      </c>
      <c r="G52" s="62">
        <v>103.38890000000001</v>
      </c>
      <c r="H52" s="62" t="s">
        <v>2513</v>
      </c>
      <c r="I52" s="62" t="s">
        <v>2682</v>
      </c>
      <c r="J52" s="62" t="s">
        <v>271</v>
      </c>
    </row>
    <row r="53" spans="1:10" ht="15" x14ac:dyDescent="0.25">
      <c r="A53" s="40">
        <v>49</v>
      </c>
      <c r="B53" s="62" t="s">
        <v>2514</v>
      </c>
      <c r="C53" s="62" t="s">
        <v>1398</v>
      </c>
      <c r="D53" s="62" t="s">
        <v>2354</v>
      </c>
      <c r="E53" s="62" t="s">
        <v>2386</v>
      </c>
      <c r="F53" s="62">
        <v>98.846000000000004</v>
      </c>
      <c r="G53" s="62">
        <v>103.5613</v>
      </c>
      <c r="H53" s="62" t="s">
        <v>2387</v>
      </c>
      <c r="I53" s="62" t="s">
        <v>2683</v>
      </c>
      <c r="J53" s="62" t="s">
        <v>271</v>
      </c>
    </row>
    <row r="54" spans="1:10" ht="15" x14ac:dyDescent="0.25">
      <c r="A54" s="40">
        <v>50</v>
      </c>
      <c r="B54" s="62" t="s">
        <v>2515</v>
      </c>
      <c r="C54" s="62" t="s">
        <v>427</v>
      </c>
      <c r="D54" s="62" t="s">
        <v>2354</v>
      </c>
      <c r="E54" s="62" t="s">
        <v>2377</v>
      </c>
      <c r="F54" s="62">
        <v>82.317099999999996</v>
      </c>
      <c r="G54" s="62">
        <v>82.617099999999994</v>
      </c>
      <c r="H54" s="62" t="s">
        <v>2684</v>
      </c>
      <c r="I54" s="62" t="s">
        <v>2685</v>
      </c>
      <c r="J54" s="62" t="s">
        <v>271</v>
      </c>
    </row>
    <row r="55" spans="1:10" ht="15" x14ac:dyDescent="0.25">
      <c r="A55" s="40">
        <v>51</v>
      </c>
      <c r="B55" s="62" t="s">
        <v>2516</v>
      </c>
      <c r="C55" s="62" t="s">
        <v>2044</v>
      </c>
      <c r="D55" s="62" t="s">
        <v>2354</v>
      </c>
      <c r="E55" s="62" t="s">
        <v>2377</v>
      </c>
      <c r="F55" s="62">
        <v>95.740600000000001</v>
      </c>
      <c r="G55" s="62">
        <v>95.740600000000001</v>
      </c>
      <c r="H55" s="62" t="s">
        <v>2686</v>
      </c>
      <c r="I55" s="62" t="s">
        <v>2687</v>
      </c>
      <c r="J55" s="62" t="s">
        <v>271</v>
      </c>
    </row>
    <row r="56" spans="1:10" ht="15" x14ac:dyDescent="0.25">
      <c r="A56" s="40">
        <v>52</v>
      </c>
      <c r="B56" s="62" t="s">
        <v>2517</v>
      </c>
      <c r="C56" s="62" t="s">
        <v>2187</v>
      </c>
      <c r="D56" s="62" t="s">
        <v>2354</v>
      </c>
      <c r="E56" s="62" t="s">
        <v>2377</v>
      </c>
      <c r="F56" s="62">
        <v>99.787599999999998</v>
      </c>
      <c r="G56" s="62">
        <v>100.0932</v>
      </c>
      <c r="H56" s="62" t="s">
        <v>2518</v>
      </c>
      <c r="I56" s="62" t="s">
        <v>2688</v>
      </c>
      <c r="J56" s="62" t="s">
        <v>271</v>
      </c>
    </row>
    <row r="57" spans="1:10" ht="15" x14ac:dyDescent="0.25">
      <c r="A57" s="40">
        <v>53</v>
      </c>
      <c r="B57" s="62" t="s">
        <v>2689</v>
      </c>
      <c r="C57" s="62" t="s">
        <v>2250</v>
      </c>
      <c r="D57" s="62" t="s">
        <v>2354</v>
      </c>
      <c r="E57" s="62" t="s">
        <v>2377</v>
      </c>
      <c r="F57" s="62">
        <v>99.998999999999995</v>
      </c>
      <c r="G57" s="62">
        <v>100.6101</v>
      </c>
      <c r="H57" s="62" t="s">
        <v>2430</v>
      </c>
      <c r="I57" s="62" t="s">
        <v>2690</v>
      </c>
      <c r="J57" s="62" t="s">
        <v>271</v>
      </c>
    </row>
    <row r="58" spans="1:10" ht="15" x14ac:dyDescent="0.25">
      <c r="A58" s="40">
        <v>54</v>
      </c>
      <c r="B58" s="62" t="s">
        <v>2691</v>
      </c>
      <c r="C58" s="62" t="s">
        <v>2189</v>
      </c>
      <c r="D58" s="62" t="s">
        <v>2354</v>
      </c>
      <c r="E58" s="62" t="s">
        <v>2377</v>
      </c>
      <c r="F58" s="62">
        <v>100.47</v>
      </c>
      <c r="G58" s="62">
        <v>100.6367</v>
      </c>
      <c r="H58" s="62" t="s">
        <v>2446</v>
      </c>
      <c r="I58" s="62" t="s">
        <v>2688</v>
      </c>
      <c r="J58" s="62" t="s">
        <v>271</v>
      </c>
    </row>
    <row r="59" spans="1:10" ht="15" x14ac:dyDescent="0.25">
      <c r="A59" s="40">
        <v>55</v>
      </c>
      <c r="B59" s="62" t="s">
        <v>2692</v>
      </c>
      <c r="C59" s="62" t="s">
        <v>2252</v>
      </c>
      <c r="D59" s="62" t="s">
        <v>2354</v>
      </c>
      <c r="E59" s="62" t="s">
        <v>2377</v>
      </c>
      <c r="F59" s="62">
        <v>99.998900000000006</v>
      </c>
      <c r="G59" s="62">
        <v>100.5989</v>
      </c>
      <c r="H59" s="62" t="s">
        <v>2693</v>
      </c>
      <c r="I59" s="62" t="s">
        <v>2519</v>
      </c>
      <c r="J59" s="62" t="s">
        <v>271</v>
      </c>
    </row>
    <row r="60" spans="1:10" ht="15" x14ac:dyDescent="0.25">
      <c r="A60" s="40">
        <v>56</v>
      </c>
      <c r="B60" s="62" t="s">
        <v>2520</v>
      </c>
      <c r="C60" s="62" t="s">
        <v>2254</v>
      </c>
      <c r="D60" s="62" t="s">
        <v>2354</v>
      </c>
      <c r="E60" s="62" t="s">
        <v>2377</v>
      </c>
      <c r="F60" s="62">
        <v>99.989099999999993</v>
      </c>
      <c r="G60" s="62">
        <v>100.0224</v>
      </c>
      <c r="H60" s="62" t="s">
        <v>2378</v>
      </c>
      <c r="I60" s="62" t="s">
        <v>2694</v>
      </c>
      <c r="J60" s="62" t="s">
        <v>271</v>
      </c>
    </row>
    <row r="61" spans="1:10" ht="15" x14ac:dyDescent="0.25">
      <c r="A61" s="40">
        <v>57</v>
      </c>
      <c r="B61" s="62" t="s">
        <v>2521</v>
      </c>
      <c r="C61" s="62" t="s">
        <v>114</v>
      </c>
      <c r="D61" s="62" t="s">
        <v>2354</v>
      </c>
      <c r="E61" s="62" t="s">
        <v>2379</v>
      </c>
      <c r="F61" s="62">
        <v>100.4333</v>
      </c>
      <c r="G61" s="62">
        <v>100.8862</v>
      </c>
      <c r="H61" s="62" t="s">
        <v>2695</v>
      </c>
      <c r="I61" s="62" t="s">
        <v>2696</v>
      </c>
      <c r="J61" s="62" t="s">
        <v>271</v>
      </c>
    </row>
    <row r="62" spans="1:10" ht="15" x14ac:dyDescent="0.25">
      <c r="A62" s="40">
        <v>58</v>
      </c>
      <c r="B62" s="62" t="s">
        <v>2522</v>
      </c>
      <c r="C62" s="62" t="s">
        <v>116</v>
      </c>
      <c r="D62" s="62" t="s">
        <v>2354</v>
      </c>
      <c r="E62" s="62" t="s">
        <v>2379</v>
      </c>
      <c r="F62" s="62">
        <v>99.062299999999993</v>
      </c>
      <c r="G62" s="62">
        <v>100.4512</v>
      </c>
      <c r="H62" s="62" t="s">
        <v>2697</v>
      </c>
      <c r="I62" s="62" t="s">
        <v>2698</v>
      </c>
      <c r="J62" s="62" t="s">
        <v>271</v>
      </c>
    </row>
    <row r="63" spans="1:10" ht="15" x14ac:dyDescent="0.25">
      <c r="A63" s="40">
        <v>59</v>
      </c>
      <c r="B63" s="62" t="s">
        <v>2523</v>
      </c>
      <c r="C63" s="62" t="s">
        <v>1411</v>
      </c>
      <c r="D63" s="62" t="s">
        <v>2354</v>
      </c>
      <c r="E63" s="62" t="s">
        <v>2379</v>
      </c>
      <c r="F63" s="62">
        <v>99.698800000000006</v>
      </c>
      <c r="G63" s="62">
        <v>99.7821</v>
      </c>
      <c r="H63" s="62" t="s">
        <v>2699</v>
      </c>
      <c r="I63" s="62" t="s">
        <v>2700</v>
      </c>
      <c r="J63" s="62" t="s">
        <v>271</v>
      </c>
    </row>
    <row r="64" spans="1:10" ht="15" x14ac:dyDescent="0.25">
      <c r="A64" s="40">
        <v>60</v>
      </c>
      <c r="B64" s="62" t="s">
        <v>2524</v>
      </c>
      <c r="C64" s="62" t="s">
        <v>357</v>
      </c>
      <c r="D64" s="62" t="s">
        <v>2354</v>
      </c>
      <c r="E64" s="62" t="s">
        <v>2379</v>
      </c>
      <c r="F64" s="62">
        <v>100.1979</v>
      </c>
      <c r="G64" s="62">
        <v>100.5759</v>
      </c>
      <c r="H64" s="62" t="s">
        <v>2701</v>
      </c>
      <c r="I64" s="62" t="s">
        <v>2702</v>
      </c>
      <c r="J64" s="62" t="s">
        <v>271</v>
      </c>
    </row>
    <row r="65" spans="1:10" ht="15" x14ac:dyDescent="0.25">
      <c r="A65" s="40">
        <v>61</v>
      </c>
      <c r="B65" s="62" t="s">
        <v>2525</v>
      </c>
      <c r="C65" s="62" t="s">
        <v>1413</v>
      </c>
      <c r="D65" s="62" t="s">
        <v>2354</v>
      </c>
      <c r="E65" s="62" t="s">
        <v>2379</v>
      </c>
      <c r="F65" s="62">
        <v>97.817999999999998</v>
      </c>
      <c r="G65" s="62">
        <v>99.031899999999993</v>
      </c>
      <c r="H65" s="62" t="s">
        <v>2703</v>
      </c>
      <c r="I65" s="62" t="s">
        <v>2704</v>
      </c>
      <c r="J65" s="62" t="s">
        <v>271</v>
      </c>
    </row>
    <row r="66" spans="1:10" ht="15" x14ac:dyDescent="0.25">
      <c r="A66" s="40">
        <v>62</v>
      </c>
      <c r="B66" s="62" t="s">
        <v>2526</v>
      </c>
      <c r="C66" s="62" t="s">
        <v>390</v>
      </c>
      <c r="D66" s="62" t="s">
        <v>2354</v>
      </c>
      <c r="E66" s="62" t="s">
        <v>2379</v>
      </c>
      <c r="F66" s="62">
        <v>96.563699999999997</v>
      </c>
      <c r="G66" s="62">
        <v>96.563699999999997</v>
      </c>
      <c r="H66" s="62" t="s">
        <v>2527</v>
      </c>
      <c r="I66" s="62" t="s">
        <v>2705</v>
      </c>
      <c r="J66" s="62" t="s">
        <v>271</v>
      </c>
    </row>
    <row r="67" spans="1:10" ht="15" x14ac:dyDescent="0.25">
      <c r="A67" s="40">
        <v>63</v>
      </c>
      <c r="B67" s="62" t="s">
        <v>2528</v>
      </c>
      <c r="C67" s="62" t="s">
        <v>2074</v>
      </c>
      <c r="D67" s="62" t="s">
        <v>2354</v>
      </c>
      <c r="E67" s="62" t="s">
        <v>2379</v>
      </c>
      <c r="F67" s="62">
        <v>99.0946</v>
      </c>
      <c r="G67" s="62">
        <v>99.619600000000005</v>
      </c>
      <c r="H67" s="62" t="s">
        <v>2441</v>
      </c>
      <c r="I67" s="62" t="s">
        <v>2706</v>
      </c>
      <c r="J67" s="62" t="s">
        <v>271</v>
      </c>
    </row>
    <row r="68" spans="1:10" ht="15" x14ac:dyDescent="0.25">
      <c r="A68" s="40">
        <v>64</v>
      </c>
      <c r="B68" s="62" t="s">
        <v>2529</v>
      </c>
      <c r="C68" s="62" t="s">
        <v>2119</v>
      </c>
      <c r="D68" s="62" t="s">
        <v>2354</v>
      </c>
      <c r="E68" s="62" t="s">
        <v>2379</v>
      </c>
      <c r="F68" s="62">
        <v>101.9102</v>
      </c>
      <c r="G68" s="62">
        <v>103.2227</v>
      </c>
      <c r="H68" s="62" t="s">
        <v>2707</v>
      </c>
      <c r="I68" s="62" t="s">
        <v>2708</v>
      </c>
      <c r="J68" s="62" t="s">
        <v>271</v>
      </c>
    </row>
    <row r="69" spans="1:10" ht="15" x14ac:dyDescent="0.25">
      <c r="A69" s="40">
        <v>65</v>
      </c>
      <c r="B69" s="62" t="s">
        <v>2530</v>
      </c>
      <c r="C69" s="62" t="s">
        <v>2121</v>
      </c>
      <c r="D69" s="62" t="s">
        <v>2354</v>
      </c>
      <c r="E69" s="62" t="s">
        <v>2379</v>
      </c>
      <c r="F69" s="62">
        <v>97.284700000000001</v>
      </c>
      <c r="G69" s="62">
        <v>97.344800000000006</v>
      </c>
      <c r="H69" s="62" t="s">
        <v>2709</v>
      </c>
      <c r="I69" s="62" t="s">
        <v>2710</v>
      </c>
      <c r="J69" s="62" t="s">
        <v>271</v>
      </c>
    </row>
    <row r="70" spans="1:10" ht="15" x14ac:dyDescent="0.25">
      <c r="A70" s="40">
        <v>66</v>
      </c>
      <c r="B70" s="62" t="s">
        <v>2531</v>
      </c>
      <c r="C70" s="62" t="s">
        <v>385</v>
      </c>
      <c r="D70" s="62" t="s">
        <v>2354</v>
      </c>
      <c r="E70" s="62" t="s">
        <v>2380</v>
      </c>
      <c r="F70" s="62">
        <v>77.589100000000002</v>
      </c>
      <c r="G70" s="62">
        <v>77.705799999999996</v>
      </c>
      <c r="H70" s="62" t="s">
        <v>2711</v>
      </c>
      <c r="I70" s="62" t="s">
        <v>2712</v>
      </c>
      <c r="J70" s="62" t="s">
        <v>271</v>
      </c>
    </row>
    <row r="71" spans="1:10" ht="15" x14ac:dyDescent="0.25">
      <c r="A71" s="40">
        <v>67</v>
      </c>
      <c r="B71" s="62" t="s">
        <v>2532</v>
      </c>
      <c r="C71" s="62" t="s">
        <v>402</v>
      </c>
      <c r="D71" s="62" t="s">
        <v>2354</v>
      </c>
      <c r="E71" s="62" t="s">
        <v>2380</v>
      </c>
      <c r="F71" s="62">
        <v>79.149600000000007</v>
      </c>
      <c r="G71" s="62">
        <v>80.127399999999994</v>
      </c>
      <c r="H71" s="62" t="s">
        <v>2713</v>
      </c>
      <c r="I71" s="62" t="s">
        <v>2714</v>
      </c>
      <c r="J71" s="62" t="s">
        <v>271</v>
      </c>
    </row>
    <row r="72" spans="1:10" ht="15" x14ac:dyDescent="0.25">
      <c r="A72" s="40">
        <v>68</v>
      </c>
      <c r="B72" s="62" t="s">
        <v>2533</v>
      </c>
      <c r="C72" s="62" t="s">
        <v>394</v>
      </c>
      <c r="D72" s="62" t="s">
        <v>2354</v>
      </c>
      <c r="E72" s="62" t="s">
        <v>2380</v>
      </c>
      <c r="F72" s="62">
        <v>82.217799999999997</v>
      </c>
      <c r="G72" s="62">
        <v>83.442800000000005</v>
      </c>
      <c r="H72" s="62" t="s">
        <v>2715</v>
      </c>
      <c r="I72" s="62" t="s">
        <v>2716</v>
      </c>
      <c r="J72" s="62" t="s">
        <v>271</v>
      </c>
    </row>
    <row r="73" spans="1:10" ht="15" x14ac:dyDescent="0.25">
      <c r="A73" s="40">
        <v>69</v>
      </c>
      <c r="B73" s="62" t="s">
        <v>2717</v>
      </c>
      <c r="C73" s="62" t="s">
        <v>2105</v>
      </c>
      <c r="D73" s="62" t="s">
        <v>2354</v>
      </c>
      <c r="E73" s="62" t="s">
        <v>2380</v>
      </c>
      <c r="F73" s="62">
        <v>91.180599999999998</v>
      </c>
      <c r="G73" s="62">
        <v>92.522300000000001</v>
      </c>
      <c r="H73" s="62" t="s">
        <v>2718</v>
      </c>
      <c r="I73" s="62" t="s">
        <v>2719</v>
      </c>
      <c r="J73" s="62" t="s">
        <v>271</v>
      </c>
    </row>
    <row r="74" spans="1:10" ht="15" x14ac:dyDescent="0.25">
      <c r="A74" s="40">
        <v>70</v>
      </c>
      <c r="B74" s="62" t="s">
        <v>2720</v>
      </c>
      <c r="C74" s="62" t="s">
        <v>2349</v>
      </c>
      <c r="D74" s="62" t="s">
        <v>2354</v>
      </c>
      <c r="E74" s="62" t="s">
        <v>2380</v>
      </c>
      <c r="F74" s="62">
        <v>100.9023</v>
      </c>
      <c r="G74" s="62">
        <v>102.67449999999999</v>
      </c>
      <c r="H74" s="62" t="s">
        <v>2721</v>
      </c>
      <c r="I74" s="62" t="s">
        <v>2722</v>
      </c>
      <c r="J74" s="62" t="s">
        <v>271</v>
      </c>
    </row>
    <row r="75" spans="1:10" ht="15" x14ac:dyDescent="0.25">
      <c r="A75" s="40">
        <v>71</v>
      </c>
      <c r="B75" s="62" t="s">
        <v>2723</v>
      </c>
      <c r="C75" s="62" t="s">
        <v>2277</v>
      </c>
      <c r="D75" s="62" t="s">
        <v>2354</v>
      </c>
      <c r="E75" s="62" t="s">
        <v>2380</v>
      </c>
      <c r="F75" s="62">
        <v>97.830200000000005</v>
      </c>
      <c r="G75" s="62">
        <v>99.288499999999999</v>
      </c>
      <c r="H75" s="62" t="s">
        <v>2461</v>
      </c>
      <c r="I75" s="62" t="s">
        <v>2724</v>
      </c>
      <c r="J75" s="62" t="s">
        <v>271</v>
      </c>
    </row>
    <row r="76" spans="1:10" ht="15" x14ac:dyDescent="0.25">
      <c r="A76" s="40">
        <v>72</v>
      </c>
      <c r="B76" s="62" t="s">
        <v>2725</v>
      </c>
      <c r="C76" s="62" t="s">
        <v>2436</v>
      </c>
      <c r="D76" s="62" t="s">
        <v>2354</v>
      </c>
      <c r="E76" s="62" t="s">
        <v>2380</v>
      </c>
      <c r="F76" s="62">
        <v>99.995999999999995</v>
      </c>
      <c r="G76" s="62">
        <v>100.79040000000001</v>
      </c>
      <c r="H76" s="62" t="s">
        <v>2430</v>
      </c>
      <c r="I76" s="62" t="s">
        <v>2726</v>
      </c>
      <c r="J76" s="62" t="s">
        <v>271</v>
      </c>
    </row>
    <row r="77" spans="1:10" ht="15" x14ac:dyDescent="0.25">
      <c r="A77" s="40">
        <v>73</v>
      </c>
      <c r="B77" s="62" t="s">
        <v>2727</v>
      </c>
      <c r="C77" s="62" t="s">
        <v>2440</v>
      </c>
      <c r="D77" s="62" t="s">
        <v>2354</v>
      </c>
      <c r="E77" s="62" t="s">
        <v>2728</v>
      </c>
      <c r="F77" s="62">
        <v>99.372299999999996</v>
      </c>
      <c r="G77" s="62">
        <v>99.780600000000007</v>
      </c>
      <c r="H77" s="62" t="s">
        <v>2442</v>
      </c>
      <c r="I77" s="62" t="s">
        <v>2729</v>
      </c>
      <c r="J77" s="62" t="s">
        <v>271</v>
      </c>
    </row>
    <row r="78" spans="1:10" ht="15" x14ac:dyDescent="0.25">
      <c r="A78" s="40">
        <v>74</v>
      </c>
      <c r="B78" s="62" t="s">
        <v>2534</v>
      </c>
      <c r="C78" s="62" t="s">
        <v>388</v>
      </c>
      <c r="D78" s="62" t="s">
        <v>2375</v>
      </c>
      <c r="E78" s="62" t="s">
        <v>2376</v>
      </c>
      <c r="F78" s="62">
        <v>97.438900000000004</v>
      </c>
      <c r="G78" s="62">
        <v>97.438900000000004</v>
      </c>
      <c r="H78" s="62" t="s">
        <v>2730</v>
      </c>
      <c r="I78" s="62" t="s">
        <v>2731</v>
      </c>
      <c r="J78" s="62" t="s">
        <v>271</v>
      </c>
    </row>
    <row r="79" spans="1:10" ht="15" x14ac:dyDescent="0.25">
      <c r="A79" s="40">
        <v>75</v>
      </c>
      <c r="B79" s="62" t="s">
        <v>2535</v>
      </c>
      <c r="C79" s="62" t="s">
        <v>2032</v>
      </c>
      <c r="D79" s="62" t="s">
        <v>2375</v>
      </c>
      <c r="E79" s="62" t="s">
        <v>2376</v>
      </c>
      <c r="F79" s="62">
        <v>93.188699999999997</v>
      </c>
      <c r="G79" s="62">
        <v>93.188699999999997</v>
      </c>
      <c r="H79" s="62" t="s">
        <v>2732</v>
      </c>
      <c r="I79" s="62" t="s">
        <v>2733</v>
      </c>
      <c r="J79" s="62" t="s">
        <v>271</v>
      </c>
    </row>
    <row r="80" spans="1:10" ht="15" x14ac:dyDescent="0.25">
      <c r="A80" s="40">
        <v>76</v>
      </c>
      <c r="B80" s="62" t="s">
        <v>2536</v>
      </c>
      <c r="C80" s="62" t="s">
        <v>2185</v>
      </c>
      <c r="D80" s="62" t="s">
        <v>2375</v>
      </c>
      <c r="E80" s="62" t="s">
        <v>2376</v>
      </c>
      <c r="F80" s="62">
        <v>89.286699999999996</v>
      </c>
      <c r="G80" s="62">
        <v>89.286699999999996</v>
      </c>
      <c r="H80" s="62" t="s">
        <v>2734</v>
      </c>
      <c r="I80" s="62" t="s">
        <v>2735</v>
      </c>
      <c r="J80" s="62" t="s">
        <v>271</v>
      </c>
    </row>
    <row r="81" spans="1:10" ht="15" x14ac:dyDescent="0.25">
      <c r="A81" s="40">
        <v>77</v>
      </c>
      <c r="B81" s="62" t="s">
        <v>2537</v>
      </c>
      <c r="C81" s="62" t="s">
        <v>4</v>
      </c>
      <c r="D81" s="62" t="s">
        <v>2375</v>
      </c>
      <c r="E81" s="62" t="s">
        <v>2376</v>
      </c>
      <c r="F81" s="62">
        <v>97.951400000000007</v>
      </c>
      <c r="G81" s="62">
        <v>98.840599999999995</v>
      </c>
      <c r="H81" s="62" t="s">
        <v>2736</v>
      </c>
      <c r="I81" s="62" t="s">
        <v>2737</v>
      </c>
      <c r="J81" s="62" t="s">
        <v>271</v>
      </c>
    </row>
    <row r="82" spans="1:10" ht="15" x14ac:dyDescent="0.25">
      <c r="A82" s="40">
        <v>78</v>
      </c>
      <c r="B82" s="62" t="s">
        <v>2538</v>
      </c>
      <c r="C82" s="62" t="s">
        <v>119</v>
      </c>
      <c r="D82" s="62" t="s">
        <v>2375</v>
      </c>
      <c r="E82" s="62" t="s">
        <v>2376</v>
      </c>
      <c r="F82" s="62">
        <v>98.112899999999996</v>
      </c>
      <c r="G82" s="62">
        <v>100.29</v>
      </c>
      <c r="H82" s="62" t="s">
        <v>2738</v>
      </c>
      <c r="I82" s="62" t="s">
        <v>2739</v>
      </c>
      <c r="J82" s="62" t="s">
        <v>271</v>
      </c>
    </row>
    <row r="83" spans="1:10" ht="15" x14ac:dyDescent="0.25">
      <c r="A83" s="40">
        <v>79</v>
      </c>
      <c r="B83" s="62" t="s">
        <v>2539</v>
      </c>
      <c r="C83" s="62" t="s">
        <v>121</v>
      </c>
      <c r="D83" s="62" t="s">
        <v>2375</v>
      </c>
      <c r="E83" s="62" t="s">
        <v>2376</v>
      </c>
      <c r="F83" s="62">
        <v>97.681600000000003</v>
      </c>
      <c r="G83" s="62">
        <v>103.66630000000001</v>
      </c>
      <c r="H83" s="62" t="s">
        <v>2617</v>
      </c>
      <c r="I83" s="62" t="s">
        <v>2740</v>
      </c>
      <c r="J83" s="62" t="s">
        <v>271</v>
      </c>
    </row>
    <row r="84" spans="1:10" ht="15" x14ac:dyDescent="0.25">
      <c r="A84" s="40">
        <v>80</v>
      </c>
      <c r="B84" s="62" t="s">
        <v>2540</v>
      </c>
      <c r="C84" s="62" t="s">
        <v>2421</v>
      </c>
      <c r="D84" s="62" t="s">
        <v>2375</v>
      </c>
      <c r="E84" s="62" t="s">
        <v>2376</v>
      </c>
      <c r="F84" s="62">
        <v>101.9421</v>
      </c>
      <c r="G84" s="62">
        <v>102.6036</v>
      </c>
      <c r="H84" s="62" t="s">
        <v>2541</v>
      </c>
      <c r="I84" s="62" t="s">
        <v>2741</v>
      </c>
      <c r="J84" s="62" t="s">
        <v>271</v>
      </c>
    </row>
    <row r="85" spans="1:10" ht="15" x14ac:dyDescent="0.25">
      <c r="A85" s="40">
        <v>81</v>
      </c>
      <c r="B85" s="62" t="s">
        <v>2542</v>
      </c>
      <c r="C85" s="62" t="s">
        <v>123</v>
      </c>
      <c r="D85" s="62" t="s">
        <v>2375</v>
      </c>
      <c r="E85" s="62" t="s">
        <v>2376</v>
      </c>
      <c r="F85" s="62">
        <v>95.083299999999994</v>
      </c>
      <c r="G85" s="62">
        <v>95.579099999999997</v>
      </c>
      <c r="H85" s="62" t="s">
        <v>2742</v>
      </c>
      <c r="I85" s="62" t="s">
        <v>2743</v>
      </c>
      <c r="J85" s="62" t="s">
        <v>271</v>
      </c>
    </row>
    <row r="86" spans="1:10" ht="15" x14ac:dyDescent="0.25">
      <c r="A86" s="40">
        <v>82</v>
      </c>
      <c r="B86" s="62" t="s">
        <v>2543</v>
      </c>
      <c r="C86" s="62" t="s">
        <v>125</v>
      </c>
      <c r="D86" s="62" t="s">
        <v>2375</v>
      </c>
      <c r="E86" s="62" t="s">
        <v>2376</v>
      </c>
      <c r="F86" s="62">
        <v>97.972999999999999</v>
      </c>
      <c r="G86" s="62">
        <v>101.9384</v>
      </c>
      <c r="H86" s="62" t="s">
        <v>2744</v>
      </c>
      <c r="I86" s="62" t="s">
        <v>2745</v>
      </c>
      <c r="J86" s="62" t="s">
        <v>271</v>
      </c>
    </row>
    <row r="87" spans="1:10" ht="15" x14ac:dyDescent="0.25">
      <c r="A87" s="40">
        <v>83</v>
      </c>
      <c r="B87" s="62" t="s">
        <v>2544</v>
      </c>
      <c r="C87" s="62" t="s">
        <v>2388</v>
      </c>
      <c r="D87" s="62" t="s">
        <v>2375</v>
      </c>
      <c r="E87" s="62" t="s">
        <v>2376</v>
      </c>
      <c r="F87" s="62">
        <v>100</v>
      </c>
      <c r="G87" s="62">
        <v>101.00369999999999</v>
      </c>
      <c r="H87" s="62" t="s">
        <v>2438</v>
      </c>
      <c r="I87" s="62" t="s">
        <v>2746</v>
      </c>
      <c r="J87" s="62" t="s">
        <v>271</v>
      </c>
    </row>
    <row r="88" spans="1:10" ht="15" x14ac:dyDescent="0.25">
      <c r="A88" s="40">
        <v>84</v>
      </c>
      <c r="B88" s="62" t="s">
        <v>2545</v>
      </c>
      <c r="C88" s="62" t="s">
        <v>127</v>
      </c>
      <c r="D88" s="62" t="s">
        <v>2375</v>
      </c>
      <c r="E88" s="62" t="s">
        <v>2376</v>
      </c>
      <c r="F88" s="62">
        <v>100</v>
      </c>
      <c r="G88" s="62">
        <v>107.6743</v>
      </c>
      <c r="H88" s="62" t="s">
        <v>2747</v>
      </c>
      <c r="I88" s="62" t="s">
        <v>2748</v>
      </c>
      <c r="J88" s="62" t="s">
        <v>271</v>
      </c>
    </row>
    <row r="89" spans="1:10" ht="15" x14ac:dyDescent="0.25">
      <c r="A89" s="40">
        <v>85</v>
      </c>
      <c r="B89" s="62" t="s">
        <v>2546</v>
      </c>
      <c r="C89" s="62" t="s">
        <v>129</v>
      </c>
      <c r="D89" s="62" t="s">
        <v>2375</v>
      </c>
      <c r="E89" s="62" t="s">
        <v>2376</v>
      </c>
      <c r="F89" s="62">
        <v>100</v>
      </c>
      <c r="G89" s="62">
        <v>106.0692</v>
      </c>
      <c r="H89" s="62" t="s">
        <v>2464</v>
      </c>
      <c r="I89" s="62" t="s">
        <v>2749</v>
      </c>
      <c r="J89" s="62" t="s">
        <v>271</v>
      </c>
    </row>
    <row r="90" spans="1:10" ht="15" x14ac:dyDescent="0.25">
      <c r="A90" s="40">
        <v>86</v>
      </c>
      <c r="B90" s="62" t="s">
        <v>2547</v>
      </c>
      <c r="C90" s="62" t="s">
        <v>131</v>
      </c>
      <c r="D90" s="62" t="s">
        <v>2375</v>
      </c>
      <c r="E90" s="62" t="s">
        <v>2376</v>
      </c>
      <c r="F90" s="62">
        <v>100</v>
      </c>
      <c r="G90" s="62">
        <v>104.496</v>
      </c>
      <c r="H90" s="62" t="s">
        <v>2750</v>
      </c>
      <c r="I90" s="62" t="s">
        <v>2751</v>
      </c>
      <c r="J90" s="62" t="s">
        <v>271</v>
      </c>
    </row>
    <row r="91" spans="1:10" ht="15" x14ac:dyDescent="0.25">
      <c r="A91" s="40">
        <v>87</v>
      </c>
      <c r="B91" s="62" t="s">
        <v>2548</v>
      </c>
      <c r="C91" s="62" t="s">
        <v>133</v>
      </c>
      <c r="D91" s="62" t="s">
        <v>2375</v>
      </c>
      <c r="E91" s="62" t="s">
        <v>2376</v>
      </c>
      <c r="F91" s="62">
        <v>100</v>
      </c>
      <c r="G91" s="62">
        <v>108.15730000000001</v>
      </c>
      <c r="H91" s="62" t="s">
        <v>2426</v>
      </c>
      <c r="I91" s="62" t="s">
        <v>2752</v>
      </c>
      <c r="J91" s="62" t="s">
        <v>271</v>
      </c>
    </row>
    <row r="92" spans="1:10" ht="15" x14ac:dyDescent="0.25">
      <c r="A92" s="40">
        <v>88</v>
      </c>
      <c r="B92" s="62" t="s">
        <v>2549</v>
      </c>
      <c r="C92" s="62" t="s">
        <v>135</v>
      </c>
      <c r="D92" s="62" t="s">
        <v>2375</v>
      </c>
      <c r="E92" s="62" t="s">
        <v>2376</v>
      </c>
      <c r="F92" s="62">
        <v>100</v>
      </c>
      <c r="G92" s="62">
        <v>101.8582</v>
      </c>
      <c r="H92" s="62" t="s">
        <v>2753</v>
      </c>
      <c r="I92" s="62" t="s">
        <v>2754</v>
      </c>
      <c r="J92" s="62" t="s">
        <v>271</v>
      </c>
    </row>
    <row r="93" spans="1:10" ht="15" x14ac:dyDescent="0.25">
      <c r="A93" s="40">
        <v>89</v>
      </c>
      <c r="B93" s="62" t="s">
        <v>2550</v>
      </c>
      <c r="C93" s="62" t="s">
        <v>286</v>
      </c>
      <c r="D93" s="62" t="s">
        <v>2375</v>
      </c>
      <c r="E93" s="62" t="s">
        <v>2376</v>
      </c>
      <c r="F93" s="62">
        <v>100</v>
      </c>
      <c r="G93" s="62">
        <v>108.6519</v>
      </c>
      <c r="H93" s="62" t="s">
        <v>2443</v>
      </c>
      <c r="I93" s="62" t="s">
        <v>2755</v>
      </c>
      <c r="J93" s="62" t="s">
        <v>271</v>
      </c>
    </row>
    <row r="94" spans="1:10" ht="15" x14ac:dyDescent="0.25">
      <c r="A94" s="40">
        <v>90</v>
      </c>
      <c r="B94" s="62" t="s">
        <v>2551</v>
      </c>
      <c r="C94" s="62" t="s">
        <v>288</v>
      </c>
      <c r="D94" s="62" t="s">
        <v>2375</v>
      </c>
      <c r="E94" s="62" t="s">
        <v>2376</v>
      </c>
      <c r="F94" s="62">
        <v>100</v>
      </c>
      <c r="G94" s="62">
        <v>110.51990000000001</v>
      </c>
      <c r="H94" s="62" t="s">
        <v>2413</v>
      </c>
      <c r="I94" s="62" t="s">
        <v>2756</v>
      </c>
      <c r="J94" s="62" t="s">
        <v>271</v>
      </c>
    </row>
    <row r="95" spans="1:10" ht="15" x14ac:dyDescent="0.25">
      <c r="A95" s="40">
        <v>91</v>
      </c>
      <c r="B95" s="62" t="s">
        <v>2552</v>
      </c>
      <c r="C95" s="62" t="s">
        <v>290</v>
      </c>
      <c r="D95" s="62" t="s">
        <v>2375</v>
      </c>
      <c r="E95" s="62" t="s">
        <v>2376</v>
      </c>
      <c r="F95" s="62">
        <v>100</v>
      </c>
      <c r="G95" s="62">
        <v>104.6537</v>
      </c>
      <c r="H95" s="62" t="s">
        <v>2553</v>
      </c>
      <c r="I95" s="62" t="s">
        <v>2648</v>
      </c>
      <c r="J95" s="62" t="s">
        <v>271</v>
      </c>
    </row>
    <row r="96" spans="1:10" ht="15" x14ac:dyDescent="0.25">
      <c r="A96" s="40">
        <v>92</v>
      </c>
      <c r="B96" s="62" t="s">
        <v>2554</v>
      </c>
      <c r="C96" s="62" t="s">
        <v>292</v>
      </c>
      <c r="D96" s="62" t="s">
        <v>2375</v>
      </c>
      <c r="E96" s="62" t="s">
        <v>2376</v>
      </c>
      <c r="F96" s="62">
        <v>100</v>
      </c>
      <c r="G96" s="62">
        <v>111.5686</v>
      </c>
      <c r="H96" s="62" t="s">
        <v>2294</v>
      </c>
      <c r="I96" s="62" t="s">
        <v>2757</v>
      </c>
      <c r="J96" s="62" t="s">
        <v>271</v>
      </c>
    </row>
    <row r="97" spans="1:10" ht="15" x14ac:dyDescent="0.25">
      <c r="A97" s="40">
        <v>93</v>
      </c>
      <c r="B97" s="62" t="s">
        <v>2555</v>
      </c>
      <c r="C97" s="62" t="s">
        <v>294</v>
      </c>
      <c r="D97" s="62" t="s">
        <v>2375</v>
      </c>
      <c r="E97" s="62" t="s">
        <v>2376</v>
      </c>
      <c r="F97" s="62">
        <v>100</v>
      </c>
      <c r="G97" s="62">
        <v>109.6023</v>
      </c>
      <c r="H97" s="62" t="s">
        <v>2444</v>
      </c>
      <c r="I97" s="62" t="s">
        <v>2758</v>
      </c>
      <c r="J97" s="62" t="s">
        <v>271</v>
      </c>
    </row>
    <row r="98" spans="1:10" ht="15" x14ac:dyDescent="0.25">
      <c r="A98" s="40">
        <v>94</v>
      </c>
      <c r="B98" s="62" t="s">
        <v>2557</v>
      </c>
      <c r="C98" s="62" t="s">
        <v>296</v>
      </c>
      <c r="D98" s="62" t="s">
        <v>2375</v>
      </c>
      <c r="E98" s="62" t="s">
        <v>2376</v>
      </c>
      <c r="F98" s="62">
        <v>100</v>
      </c>
      <c r="G98" s="62">
        <v>108.1895</v>
      </c>
      <c r="H98" s="62" t="s">
        <v>2289</v>
      </c>
      <c r="I98" s="62" t="s">
        <v>2759</v>
      </c>
      <c r="J98" s="62" t="s">
        <v>271</v>
      </c>
    </row>
    <row r="99" spans="1:10" ht="15" x14ac:dyDescent="0.25">
      <c r="A99" s="40">
        <v>95</v>
      </c>
      <c r="B99" s="62" t="s">
        <v>2558</v>
      </c>
      <c r="C99" s="62" t="s">
        <v>298</v>
      </c>
      <c r="D99" s="62" t="s">
        <v>2375</v>
      </c>
      <c r="E99" s="62" t="s">
        <v>2376</v>
      </c>
      <c r="F99" s="62">
        <v>100</v>
      </c>
      <c r="G99" s="62">
        <v>109.56950000000001</v>
      </c>
      <c r="H99" s="62" t="s">
        <v>2444</v>
      </c>
      <c r="I99" s="62" t="s">
        <v>2556</v>
      </c>
      <c r="J99" s="62" t="s">
        <v>271</v>
      </c>
    </row>
    <row r="100" spans="1:10" ht="15" x14ac:dyDescent="0.25">
      <c r="A100" s="40">
        <v>96</v>
      </c>
      <c r="B100" s="62" t="s">
        <v>2559</v>
      </c>
      <c r="C100" s="62" t="s">
        <v>300</v>
      </c>
      <c r="D100" s="62" t="s">
        <v>2375</v>
      </c>
      <c r="E100" s="62" t="s">
        <v>2376</v>
      </c>
      <c r="F100" s="62">
        <v>100</v>
      </c>
      <c r="G100" s="62">
        <v>102.7201</v>
      </c>
      <c r="H100" s="62" t="s">
        <v>2445</v>
      </c>
      <c r="I100" s="62" t="s">
        <v>2760</v>
      </c>
      <c r="J100" s="62" t="s">
        <v>271</v>
      </c>
    </row>
    <row r="101" spans="1:10" ht="15" x14ac:dyDescent="0.25">
      <c r="A101" s="40">
        <v>97</v>
      </c>
      <c r="B101" s="62" t="s">
        <v>2560</v>
      </c>
      <c r="C101" s="62" t="s">
        <v>302</v>
      </c>
      <c r="D101" s="62" t="s">
        <v>2375</v>
      </c>
      <c r="E101" s="62" t="s">
        <v>2376</v>
      </c>
      <c r="F101" s="62">
        <v>100</v>
      </c>
      <c r="G101" s="62">
        <v>105.8449</v>
      </c>
      <c r="H101" s="62" t="s">
        <v>2290</v>
      </c>
      <c r="I101" s="62" t="s">
        <v>2761</v>
      </c>
      <c r="J101" s="62" t="s">
        <v>271</v>
      </c>
    </row>
    <row r="102" spans="1:10" ht="15" x14ac:dyDescent="0.25">
      <c r="A102" s="40">
        <v>98</v>
      </c>
      <c r="B102" s="62" t="s">
        <v>2561</v>
      </c>
      <c r="C102" s="62" t="s">
        <v>304</v>
      </c>
      <c r="D102" s="62" t="s">
        <v>2375</v>
      </c>
      <c r="E102" s="62" t="s">
        <v>2376</v>
      </c>
      <c r="F102" s="62">
        <v>100</v>
      </c>
      <c r="G102" s="62">
        <v>102.7201</v>
      </c>
      <c r="H102" s="62" t="s">
        <v>2445</v>
      </c>
      <c r="I102" s="62" t="s">
        <v>2760</v>
      </c>
      <c r="J102" s="62" t="s">
        <v>271</v>
      </c>
    </row>
    <row r="103" spans="1:10" ht="15" x14ac:dyDescent="0.25">
      <c r="A103" s="40">
        <v>99</v>
      </c>
      <c r="B103" s="62" t="s">
        <v>2562</v>
      </c>
      <c r="C103" s="62" t="s">
        <v>306</v>
      </c>
      <c r="D103" s="62" t="s">
        <v>2375</v>
      </c>
      <c r="E103" s="62" t="s">
        <v>2376</v>
      </c>
      <c r="F103" s="62">
        <v>100</v>
      </c>
      <c r="G103" s="62">
        <v>100.68819999999999</v>
      </c>
      <c r="H103" s="62" t="s">
        <v>2295</v>
      </c>
      <c r="I103" s="62" t="s">
        <v>2762</v>
      </c>
      <c r="J103" s="62" t="s">
        <v>271</v>
      </c>
    </row>
    <row r="104" spans="1:10" ht="15" x14ac:dyDescent="0.25">
      <c r="A104" s="40">
        <v>100</v>
      </c>
      <c r="B104" s="62" t="s">
        <v>2563</v>
      </c>
      <c r="C104" s="62" t="s">
        <v>308</v>
      </c>
      <c r="D104" s="62" t="s">
        <v>2375</v>
      </c>
      <c r="E104" s="62" t="s">
        <v>2376</v>
      </c>
      <c r="F104" s="62">
        <v>100</v>
      </c>
      <c r="G104" s="62">
        <v>103.6705</v>
      </c>
      <c r="H104" s="62" t="s">
        <v>2446</v>
      </c>
      <c r="I104" s="62" t="s">
        <v>2763</v>
      </c>
      <c r="J104" s="62" t="s">
        <v>271</v>
      </c>
    </row>
    <row r="105" spans="1:10" ht="15" x14ac:dyDescent="0.25">
      <c r="A105" s="40">
        <v>101</v>
      </c>
      <c r="B105" s="62" t="s">
        <v>2564</v>
      </c>
      <c r="C105" s="62" t="s">
        <v>310</v>
      </c>
      <c r="D105" s="62" t="s">
        <v>2375</v>
      </c>
      <c r="E105" s="62" t="s">
        <v>2376</v>
      </c>
      <c r="F105" s="62">
        <v>100</v>
      </c>
      <c r="G105" s="62">
        <v>100.721</v>
      </c>
      <c r="H105" s="62" t="s">
        <v>2294</v>
      </c>
      <c r="I105" s="62" t="s">
        <v>2764</v>
      </c>
      <c r="J105" s="62" t="s">
        <v>271</v>
      </c>
    </row>
    <row r="106" spans="1:10" ht="15" x14ac:dyDescent="0.25">
      <c r="A106" s="40">
        <v>102</v>
      </c>
      <c r="B106" s="62" t="s">
        <v>2565</v>
      </c>
      <c r="C106" s="62" t="s">
        <v>312</v>
      </c>
      <c r="D106" s="62" t="s">
        <v>2375</v>
      </c>
      <c r="E106" s="62" t="s">
        <v>2376</v>
      </c>
      <c r="F106" s="62">
        <v>100</v>
      </c>
      <c r="G106" s="62">
        <v>105.6696</v>
      </c>
      <c r="H106" s="62" t="s">
        <v>2292</v>
      </c>
      <c r="I106" s="62" t="s">
        <v>2765</v>
      </c>
      <c r="J106" s="62" t="s">
        <v>271</v>
      </c>
    </row>
    <row r="107" spans="1:10" ht="15" x14ac:dyDescent="0.25">
      <c r="A107" s="40">
        <v>103</v>
      </c>
      <c r="B107" s="62" t="s">
        <v>2566</v>
      </c>
      <c r="C107" s="62" t="s">
        <v>314</v>
      </c>
      <c r="D107" s="62" t="s">
        <v>2375</v>
      </c>
      <c r="E107" s="62" t="s">
        <v>2376</v>
      </c>
      <c r="F107" s="62">
        <v>100</v>
      </c>
      <c r="G107" s="62">
        <v>101.73690000000001</v>
      </c>
      <c r="H107" s="62" t="s">
        <v>2293</v>
      </c>
      <c r="I107" s="62" t="s">
        <v>2766</v>
      </c>
      <c r="J107" s="62" t="s">
        <v>271</v>
      </c>
    </row>
    <row r="108" spans="1:10" ht="15" x14ac:dyDescent="0.25">
      <c r="A108" s="40">
        <v>104</v>
      </c>
      <c r="B108" s="62" t="s">
        <v>2568</v>
      </c>
      <c r="C108" s="62" t="s">
        <v>316</v>
      </c>
      <c r="D108" s="62" t="s">
        <v>2375</v>
      </c>
      <c r="E108" s="62" t="s">
        <v>2376</v>
      </c>
      <c r="F108" s="62">
        <v>100</v>
      </c>
      <c r="G108" s="62">
        <v>101.7042</v>
      </c>
      <c r="H108" s="62" t="s">
        <v>2291</v>
      </c>
      <c r="I108" s="62" t="s">
        <v>2767</v>
      </c>
      <c r="J108" s="62" t="s">
        <v>271</v>
      </c>
    </row>
    <row r="109" spans="1:10" ht="15" x14ac:dyDescent="0.25">
      <c r="A109" s="40">
        <v>105</v>
      </c>
      <c r="B109" s="62" t="s">
        <v>2569</v>
      </c>
      <c r="C109" s="62" t="s">
        <v>318</v>
      </c>
      <c r="D109" s="62" t="s">
        <v>2375</v>
      </c>
      <c r="E109" s="62" t="s">
        <v>2376</v>
      </c>
      <c r="F109" s="62">
        <v>100</v>
      </c>
      <c r="G109" s="62">
        <v>108.6846</v>
      </c>
      <c r="H109" s="62" t="s">
        <v>2413</v>
      </c>
      <c r="I109" s="62" t="s">
        <v>2768</v>
      </c>
      <c r="J109" s="62" t="s">
        <v>271</v>
      </c>
    </row>
    <row r="110" spans="1:10" ht="15" x14ac:dyDescent="0.25">
      <c r="A110" s="40">
        <v>106</v>
      </c>
      <c r="B110" s="62" t="s">
        <v>2570</v>
      </c>
      <c r="C110" s="62" t="s">
        <v>320</v>
      </c>
      <c r="D110" s="62" t="s">
        <v>2375</v>
      </c>
      <c r="E110" s="62" t="s">
        <v>2376</v>
      </c>
      <c r="F110" s="62">
        <v>100</v>
      </c>
      <c r="G110" s="62">
        <v>105.7679</v>
      </c>
      <c r="H110" s="62" t="s">
        <v>2288</v>
      </c>
      <c r="I110" s="62" t="s">
        <v>2769</v>
      </c>
      <c r="J110" s="62" t="s">
        <v>271</v>
      </c>
    </row>
    <row r="111" spans="1:10" ht="15" x14ac:dyDescent="0.25">
      <c r="A111" s="40">
        <v>107</v>
      </c>
      <c r="B111" s="62" t="s">
        <v>2571</v>
      </c>
      <c r="C111" s="62" t="s">
        <v>322</v>
      </c>
      <c r="D111" s="62" t="s">
        <v>2375</v>
      </c>
      <c r="E111" s="62" t="s">
        <v>2376</v>
      </c>
      <c r="F111" s="62">
        <v>100</v>
      </c>
      <c r="G111" s="62">
        <v>111.6014</v>
      </c>
      <c r="H111" s="62" t="s">
        <v>2572</v>
      </c>
      <c r="I111" s="62" t="s">
        <v>2770</v>
      </c>
      <c r="J111" s="62" t="s">
        <v>271</v>
      </c>
    </row>
    <row r="112" spans="1:10" ht="15" x14ac:dyDescent="0.25">
      <c r="A112" s="40">
        <v>108</v>
      </c>
      <c r="B112" s="62" t="s">
        <v>2573</v>
      </c>
      <c r="C112" s="62" t="s">
        <v>324</v>
      </c>
      <c r="D112" s="62" t="s">
        <v>2375</v>
      </c>
      <c r="E112" s="62" t="s">
        <v>2376</v>
      </c>
      <c r="F112" s="62">
        <v>100</v>
      </c>
      <c r="G112" s="62">
        <v>102.6546</v>
      </c>
      <c r="H112" s="62" t="s">
        <v>2293</v>
      </c>
      <c r="I112" s="62" t="s">
        <v>2771</v>
      </c>
      <c r="J112" s="62" t="s">
        <v>271</v>
      </c>
    </row>
    <row r="113" spans="1:10" ht="15" x14ac:dyDescent="0.25">
      <c r="A113" s="40">
        <v>109</v>
      </c>
      <c r="B113" s="62" t="s">
        <v>2574</v>
      </c>
      <c r="C113" s="62" t="s">
        <v>326</v>
      </c>
      <c r="D113" s="62" t="s">
        <v>2375</v>
      </c>
      <c r="E113" s="62" t="s">
        <v>2376</v>
      </c>
      <c r="F113" s="62">
        <v>100</v>
      </c>
      <c r="G113" s="62">
        <v>111.6014</v>
      </c>
      <c r="H113" s="62" t="s">
        <v>2412</v>
      </c>
      <c r="I113" s="62" t="s">
        <v>2772</v>
      </c>
      <c r="J113" s="62" t="s">
        <v>271</v>
      </c>
    </row>
    <row r="114" spans="1:10" ht="15" x14ac:dyDescent="0.25">
      <c r="A114" s="40">
        <v>110</v>
      </c>
      <c r="B114" s="62" t="s">
        <v>2575</v>
      </c>
      <c r="C114" s="62" t="s">
        <v>328</v>
      </c>
      <c r="D114" s="62" t="s">
        <v>2375</v>
      </c>
      <c r="E114" s="62" t="s">
        <v>2376</v>
      </c>
      <c r="F114" s="62">
        <v>100</v>
      </c>
      <c r="G114" s="62">
        <v>107.57040000000001</v>
      </c>
      <c r="H114" s="62" t="s">
        <v>2292</v>
      </c>
      <c r="I114" s="62" t="s">
        <v>2773</v>
      </c>
      <c r="J114" s="62" t="s">
        <v>271</v>
      </c>
    </row>
    <row r="115" spans="1:10" ht="15" x14ac:dyDescent="0.25">
      <c r="A115" s="40">
        <v>111</v>
      </c>
      <c r="B115" s="62" t="s">
        <v>2576</v>
      </c>
      <c r="C115" s="62" t="s">
        <v>330</v>
      </c>
      <c r="D115" s="62" t="s">
        <v>2375</v>
      </c>
      <c r="E115" s="62" t="s">
        <v>2376</v>
      </c>
      <c r="F115" s="62">
        <v>100</v>
      </c>
      <c r="G115" s="62">
        <v>101.7042</v>
      </c>
      <c r="H115" s="62" t="s">
        <v>2293</v>
      </c>
      <c r="I115" s="62" t="s">
        <v>2567</v>
      </c>
      <c r="J115" s="62" t="s">
        <v>271</v>
      </c>
    </row>
    <row r="116" spans="1:10" ht="15" x14ac:dyDescent="0.25">
      <c r="A116" s="40">
        <v>112</v>
      </c>
      <c r="B116" s="62" t="s">
        <v>2577</v>
      </c>
      <c r="C116" s="62" t="s">
        <v>332</v>
      </c>
      <c r="D116" s="62" t="s">
        <v>2375</v>
      </c>
      <c r="E116" s="62" t="s">
        <v>2376</v>
      </c>
      <c r="F116" s="62">
        <v>100</v>
      </c>
      <c r="G116" s="62">
        <v>106.6528</v>
      </c>
      <c r="H116" s="62" t="s">
        <v>2291</v>
      </c>
      <c r="I116" s="62" t="s">
        <v>2774</v>
      </c>
      <c r="J116" s="62" t="s">
        <v>271</v>
      </c>
    </row>
    <row r="117" spans="1:10" ht="15" x14ac:dyDescent="0.25">
      <c r="A117" s="40">
        <v>113</v>
      </c>
      <c r="B117" s="62" t="s">
        <v>2578</v>
      </c>
      <c r="C117" s="62" t="s">
        <v>334</v>
      </c>
      <c r="D117" s="62" t="s">
        <v>2375</v>
      </c>
      <c r="E117" s="62" t="s">
        <v>2376</v>
      </c>
      <c r="F117" s="62">
        <v>100</v>
      </c>
      <c r="G117" s="62">
        <v>110.5527</v>
      </c>
      <c r="H117" s="62" t="s">
        <v>2294</v>
      </c>
      <c r="I117" s="62" t="s">
        <v>2775</v>
      </c>
      <c r="J117" s="62" t="s">
        <v>271</v>
      </c>
    </row>
    <row r="118" spans="1:10" ht="15" x14ac:dyDescent="0.25">
      <c r="A118" s="40">
        <v>114</v>
      </c>
      <c r="B118" s="62" t="s">
        <v>2579</v>
      </c>
      <c r="C118" s="62" t="s">
        <v>336</v>
      </c>
      <c r="D118" s="62" t="s">
        <v>2375</v>
      </c>
      <c r="E118" s="62" t="s">
        <v>2376</v>
      </c>
      <c r="F118" s="62">
        <v>100</v>
      </c>
      <c r="G118" s="62">
        <v>110.6182</v>
      </c>
      <c r="H118" s="62" t="s">
        <v>2294</v>
      </c>
      <c r="I118" s="62" t="s">
        <v>2776</v>
      </c>
      <c r="J118" s="62" t="s">
        <v>271</v>
      </c>
    </row>
    <row r="119" spans="1:10" ht="15" x14ac:dyDescent="0.25">
      <c r="A119" s="40">
        <v>115</v>
      </c>
      <c r="B119" s="62" t="s">
        <v>2580</v>
      </c>
      <c r="C119" s="62" t="s">
        <v>338</v>
      </c>
      <c r="D119" s="62" t="s">
        <v>2375</v>
      </c>
      <c r="E119" s="62" t="s">
        <v>2376</v>
      </c>
      <c r="F119" s="62">
        <v>100</v>
      </c>
      <c r="G119" s="62">
        <v>107.6032</v>
      </c>
      <c r="H119" s="62" t="s">
        <v>2295</v>
      </c>
      <c r="I119" s="62" t="s">
        <v>2777</v>
      </c>
      <c r="J119" s="62" t="s">
        <v>271</v>
      </c>
    </row>
    <row r="120" spans="1:10" ht="15" x14ac:dyDescent="0.25">
      <c r="A120" s="40">
        <v>116</v>
      </c>
      <c r="B120" s="62" t="s">
        <v>2581</v>
      </c>
      <c r="C120" s="62" t="s">
        <v>137</v>
      </c>
      <c r="D120" s="62" t="s">
        <v>2375</v>
      </c>
      <c r="E120" s="62" t="s">
        <v>2376</v>
      </c>
      <c r="F120" s="62">
        <v>90.448400000000007</v>
      </c>
      <c r="G120" s="62">
        <v>93.106200000000001</v>
      </c>
      <c r="H120" s="62" t="s">
        <v>2778</v>
      </c>
      <c r="I120" s="62" t="s">
        <v>2779</v>
      </c>
      <c r="J120" s="62" t="s">
        <v>271</v>
      </c>
    </row>
    <row r="121" spans="1:10" ht="15" x14ac:dyDescent="0.25">
      <c r="A121" s="40">
        <v>117</v>
      </c>
      <c r="B121" s="62" t="s">
        <v>2583</v>
      </c>
      <c r="C121" s="62" t="s">
        <v>139</v>
      </c>
      <c r="D121" s="62" t="s">
        <v>2375</v>
      </c>
      <c r="E121" s="62" t="s">
        <v>2376</v>
      </c>
      <c r="F121" s="62">
        <v>95.468400000000003</v>
      </c>
      <c r="G121" s="62">
        <v>102.6084</v>
      </c>
      <c r="H121" s="62" t="s">
        <v>2780</v>
      </c>
      <c r="I121" s="62" t="s">
        <v>2781</v>
      </c>
      <c r="J121" s="62" t="s">
        <v>271</v>
      </c>
    </row>
    <row r="122" spans="1:10" ht="15" x14ac:dyDescent="0.25">
      <c r="A122" s="40">
        <v>118</v>
      </c>
      <c r="B122" s="62" t="s">
        <v>2584</v>
      </c>
      <c r="C122" s="62" t="s">
        <v>141</v>
      </c>
      <c r="D122" s="62" t="s">
        <v>2375</v>
      </c>
      <c r="E122" s="62" t="s">
        <v>2376</v>
      </c>
      <c r="F122" s="62">
        <v>84.991</v>
      </c>
      <c r="G122" s="62">
        <v>90.457700000000003</v>
      </c>
      <c r="H122" s="62" t="s">
        <v>2463</v>
      </c>
      <c r="I122" s="62" t="s">
        <v>2782</v>
      </c>
      <c r="J122" s="62" t="s">
        <v>271</v>
      </c>
    </row>
    <row r="123" spans="1:10" ht="15" x14ac:dyDescent="0.25">
      <c r="A123" s="40">
        <v>119</v>
      </c>
      <c r="B123" s="62" t="s">
        <v>2585</v>
      </c>
      <c r="C123" s="62" t="s">
        <v>6</v>
      </c>
      <c r="D123" s="62" t="s">
        <v>2375</v>
      </c>
      <c r="E123" s="62" t="s">
        <v>2376</v>
      </c>
      <c r="F123" s="62">
        <v>86.494399999999999</v>
      </c>
      <c r="G123" s="62">
        <v>90.221100000000007</v>
      </c>
      <c r="H123" s="62" t="s">
        <v>2783</v>
      </c>
      <c r="I123" s="62" t="s">
        <v>2784</v>
      </c>
      <c r="J123" s="62" t="s">
        <v>271</v>
      </c>
    </row>
    <row r="124" spans="1:10" ht="15" x14ac:dyDescent="0.25">
      <c r="A124" s="40">
        <v>120</v>
      </c>
      <c r="B124" s="62" t="s">
        <v>2586</v>
      </c>
      <c r="C124" s="62" t="s">
        <v>144</v>
      </c>
      <c r="D124" s="62" t="s">
        <v>2375</v>
      </c>
      <c r="E124" s="62" t="s">
        <v>2376</v>
      </c>
      <c r="F124" s="62">
        <v>83.076300000000003</v>
      </c>
      <c r="G124" s="62">
        <v>89.043000000000006</v>
      </c>
      <c r="H124" s="62" t="s">
        <v>2447</v>
      </c>
      <c r="I124" s="62" t="s">
        <v>2785</v>
      </c>
      <c r="J124" s="62" t="s">
        <v>271</v>
      </c>
    </row>
    <row r="125" spans="1:10" ht="15" x14ac:dyDescent="0.25">
      <c r="A125" s="40">
        <v>121</v>
      </c>
      <c r="B125" s="62" t="s">
        <v>2587</v>
      </c>
      <c r="C125" s="62" t="s">
        <v>2066</v>
      </c>
      <c r="D125" s="62" t="s">
        <v>2375</v>
      </c>
      <c r="E125" s="62" t="s">
        <v>2376</v>
      </c>
      <c r="F125" s="62">
        <v>91.2346</v>
      </c>
      <c r="G125" s="62">
        <v>97.926299999999998</v>
      </c>
      <c r="H125" s="62" t="s">
        <v>2588</v>
      </c>
      <c r="I125" s="62" t="s">
        <v>2786</v>
      </c>
      <c r="J125" s="62" t="s">
        <v>271</v>
      </c>
    </row>
    <row r="126" spans="1:10" ht="15" x14ac:dyDescent="0.25">
      <c r="A126" s="40">
        <v>122</v>
      </c>
      <c r="B126" s="62" t="s">
        <v>2589</v>
      </c>
      <c r="C126" s="62" t="s">
        <v>146</v>
      </c>
      <c r="D126" s="62" t="s">
        <v>2375</v>
      </c>
      <c r="E126" s="62" t="s">
        <v>2376</v>
      </c>
      <c r="F126" s="62">
        <v>84.698800000000006</v>
      </c>
      <c r="G126" s="62">
        <v>93.249300000000005</v>
      </c>
      <c r="H126" s="62" t="s">
        <v>2624</v>
      </c>
      <c r="I126" s="62" t="s">
        <v>2787</v>
      </c>
      <c r="J126" s="62" t="s">
        <v>271</v>
      </c>
    </row>
    <row r="127" spans="1:10" ht="15" x14ac:dyDescent="0.25">
      <c r="A127" s="40">
        <v>123</v>
      </c>
      <c r="B127" s="62" t="s">
        <v>2590</v>
      </c>
      <c r="C127" s="62" t="s">
        <v>8</v>
      </c>
      <c r="D127" s="62" t="s">
        <v>2375</v>
      </c>
      <c r="E127" s="62" t="s">
        <v>2376</v>
      </c>
      <c r="F127" s="62">
        <v>82.552599999999998</v>
      </c>
      <c r="G127" s="62">
        <v>83.226600000000005</v>
      </c>
      <c r="H127" s="62" t="s">
        <v>2591</v>
      </c>
      <c r="I127" s="62" t="s">
        <v>2788</v>
      </c>
      <c r="J127" s="62" t="s">
        <v>271</v>
      </c>
    </row>
    <row r="128" spans="1:10" ht="15" x14ac:dyDescent="0.25">
      <c r="A128" s="40">
        <v>124</v>
      </c>
      <c r="B128" s="62" t="s">
        <v>2592</v>
      </c>
      <c r="C128" s="62" t="s">
        <v>149</v>
      </c>
      <c r="D128" s="62" t="s">
        <v>2375</v>
      </c>
      <c r="E128" s="62" t="s">
        <v>2376</v>
      </c>
      <c r="F128" s="62">
        <v>82.152900000000002</v>
      </c>
      <c r="G128" s="62">
        <v>88.172300000000007</v>
      </c>
      <c r="H128" s="62" t="s">
        <v>2593</v>
      </c>
      <c r="I128" s="62" t="s">
        <v>2789</v>
      </c>
      <c r="J128" s="62" t="s">
        <v>271</v>
      </c>
    </row>
    <row r="129" spans="1:10" ht="15" x14ac:dyDescent="0.25">
      <c r="A129" s="40">
        <v>125</v>
      </c>
      <c r="B129" s="62" t="s">
        <v>2594</v>
      </c>
      <c r="C129" s="62" t="s">
        <v>151</v>
      </c>
      <c r="D129" s="62" t="s">
        <v>2375</v>
      </c>
      <c r="E129" s="62" t="s">
        <v>2376</v>
      </c>
      <c r="F129" s="62">
        <v>89.766000000000005</v>
      </c>
      <c r="G129" s="62">
        <v>93.616</v>
      </c>
      <c r="H129" s="62" t="s">
        <v>2449</v>
      </c>
      <c r="I129" s="62" t="s">
        <v>2790</v>
      </c>
      <c r="J129" s="62" t="s">
        <v>271</v>
      </c>
    </row>
    <row r="130" spans="1:10" ht="15" x14ac:dyDescent="0.25">
      <c r="A130" s="40">
        <v>126</v>
      </c>
      <c r="B130" s="62" t="s">
        <v>2595</v>
      </c>
      <c r="C130" s="62" t="s">
        <v>2243</v>
      </c>
      <c r="D130" s="62" t="s">
        <v>2375</v>
      </c>
      <c r="E130" s="62" t="s">
        <v>2376</v>
      </c>
      <c r="F130" s="62">
        <v>89.948499999999996</v>
      </c>
      <c r="G130" s="62">
        <v>92.999099999999999</v>
      </c>
      <c r="H130" s="62" t="s">
        <v>2429</v>
      </c>
      <c r="I130" s="62" t="s">
        <v>2791</v>
      </c>
      <c r="J130" s="62" t="s">
        <v>271</v>
      </c>
    </row>
    <row r="131" spans="1:10" ht="15" x14ac:dyDescent="0.25">
      <c r="A131" s="40">
        <v>127</v>
      </c>
      <c r="B131" s="62" t="s">
        <v>2596</v>
      </c>
      <c r="C131" s="62" t="s">
        <v>153</v>
      </c>
      <c r="D131" s="62" t="s">
        <v>2375</v>
      </c>
      <c r="E131" s="62" t="s">
        <v>2376</v>
      </c>
      <c r="F131" s="62">
        <v>94.120999999999995</v>
      </c>
      <c r="G131" s="62">
        <v>95.334299999999999</v>
      </c>
      <c r="H131" s="62" t="s">
        <v>2588</v>
      </c>
      <c r="I131" s="62" t="s">
        <v>2792</v>
      </c>
      <c r="J131" s="62" t="s">
        <v>271</v>
      </c>
    </row>
    <row r="132" spans="1:10" ht="15" x14ac:dyDescent="0.25">
      <c r="A132" s="40">
        <v>128</v>
      </c>
      <c r="B132" s="62" t="s">
        <v>2597</v>
      </c>
      <c r="C132" s="62" t="s">
        <v>7</v>
      </c>
      <c r="D132" s="62" t="s">
        <v>2375</v>
      </c>
      <c r="E132" s="62" t="s">
        <v>2376</v>
      </c>
      <c r="F132" s="62">
        <v>84.542599999999993</v>
      </c>
      <c r="G132" s="62">
        <v>88.850899999999996</v>
      </c>
      <c r="H132" s="62" t="s">
        <v>2468</v>
      </c>
      <c r="I132" s="62" t="s">
        <v>2793</v>
      </c>
      <c r="J132" s="62" t="s">
        <v>271</v>
      </c>
    </row>
    <row r="133" spans="1:10" ht="15" x14ac:dyDescent="0.25">
      <c r="A133" s="40">
        <v>129</v>
      </c>
      <c r="B133" s="62" t="s">
        <v>2598</v>
      </c>
      <c r="C133" s="62" t="s">
        <v>156</v>
      </c>
      <c r="D133" s="62" t="s">
        <v>2375</v>
      </c>
      <c r="E133" s="62" t="s">
        <v>2376</v>
      </c>
      <c r="F133" s="62">
        <v>88.867099999999994</v>
      </c>
      <c r="G133" s="62">
        <v>92.444900000000004</v>
      </c>
      <c r="H133" s="62" t="s">
        <v>2466</v>
      </c>
      <c r="I133" s="62" t="s">
        <v>2794</v>
      </c>
      <c r="J133" s="62" t="s">
        <v>271</v>
      </c>
    </row>
    <row r="134" spans="1:10" ht="15" x14ac:dyDescent="0.25">
      <c r="A134" s="40">
        <v>130</v>
      </c>
      <c r="B134" s="62" t="s">
        <v>2599</v>
      </c>
      <c r="C134" s="62" t="s">
        <v>2068</v>
      </c>
      <c r="D134" s="62" t="s">
        <v>2375</v>
      </c>
      <c r="E134" s="62" t="s">
        <v>2376</v>
      </c>
      <c r="F134" s="62">
        <v>89.707999999999998</v>
      </c>
      <c r="G134" s="62">
        <v>96.353800000000007</v>
      </c>
      <c r="H134" s="62" t="s">
        <v>2450</v>
      </c>
      <c r="I134" s="62" t="s">
        <v>2795</v>
      </c>
      <c r="J134" s="62" t="s">
        <v>271</v>
      </c>
    </row>
    <row r="135" spans="1:10" ht="15" x14ac:dyDescent="0.25">
      <c r="A135" s="40">
        <v>131</v>
      </c>
      <c r="B135" s="62" t="s">
        <v>2600</v>
      </c>
      <c r="C135" s="62" t="s">
        <v>158</v>
      </c>
      <c r="D135" s="62" t="s">
        <v>2375</v>
      </c>
      <c r="E135" s="62" t="s">
        <v>2376</v>
      </c>
      <c r="F135" s="62">
        <v>89.647099999999995</v>
      </c>
      <c r="G135" s="62">
        <v>93.772099999999995</v>
      </c>
      <c r="H135" s="62" t="s">
        <v>2796</v>
      </c>
      <c r="I135" s="62" t="s">
        <v>2797</v>
      </c>
      <c r="J135" s="62" t="s">
        <v>271</v>
      </c>
    </row>
    <row r="136" spans="1:10" ht="15" x14ac:dyDescent="0.25">
      <c r="A136" s="40">
        <v>132</v>
      </c>
      <c r="B136" s="62" t="s">
        <v>2601</v>
      </c>
      <c r="C136" s="62" t="s">
        <v>160</v>
      </c>
      <c r="D136" s="62" t="s">
        <v>2375</v>
      </c>
      <c r="E136" s="62" t="s">
        <v>2376</v>
      </c>
      <c r="F136" s="62">
        <v>87.837100000000007</v>
      </c>
      <c r="G136" s="62">
        <v>89.037099999999995</v>
      </c>
      <c r="H136" s="62" t="s">
        <v>2462</v>
      </c>
      <c r="I136" s="62" t="s">
        <v>2519</v>
      </c>
      <c r="J136" s="62" t="s">
        <v>271</v>
      </c>
    </row>
    <row r="137" spans="1:10" ht="15" x14ac:dyDescent="0.25">
      <c r="A137" s="40">
        <v>133</v>
      </c>
      <c r="B137" s="62" t="s">
        <v>2602</v>
      </c>
      <c r="C137" s="62" t="s">
        <v>9</v>
      </c>
      <c r="D137" s="62" t="s">
        <v>2375</v>
      </c>
      <c r="E137" s="62" t="s">
        <v>2376</v>
      </c>
      <c r="F137" s="62">
        <v>77.234399999999994</v>
      </c>
      <c r="G137" s="62">
        <v>81.640500000000003</v>
      </c>
      <c r="H137" s="62" t="s">
        <v>2449</v>
      </c>
      <c r="I137" s="62" t="s">
        <v>2798</v>
      </c>
      <c r="J137" s="62" t="s">
        <v>271</v>
      </c>
    </row>
    <row r="138" spans="1:10" ht="15" x14ac:dyDescent="0.25">
      <c r="A138" s="40">
        <v>134</v>
      </c>
      <c r="B138" s="62" t="s">
        <v>2603</v>
      </c>
      <c r="C138" s="62" t="s">
        <v>2041</v>
      </c>
      <c r="D138" s="62" t="s">
        <v>2375</v>
      </c>
      <c r="E138" s="62" t="s">
        <v>2376</v>
      </c>
      <c r="F138" s="62">
        <v>86.912099999999995</v>
      </c>
      <c r="G138" s="62">
        <v>94.223200000000006</v>
      </c>
      <c r="H138" s="62" t="s">
        <v>2450</v>
      </c>
      <c r="I138" s="62" t="s">
        <v>2799</v>
      </c>
      <c r="J138" s="62" t="s">
        <v>271</v>
      </c>
    </row>
    <row r="139" spans="1:10" ht="15" x14ac:dyDescent="0.25">
      <c r="A139" s="40">
        <v>135</v>
      </c>
      <c r="B139" s="62" t="s">
        <v>2604</v>
      </c>
      <c r="C139" s="62" t="s">
        <v>11</v>
      </c>
      <c r="D139" s="62" t="s">
        <v>2375</v>
      </c>
      <c r="E139" s="62" t="s">
        <v>2376</v>
      </c>
      <c r="F139" s="62">
        <v>75.758099999999999</v>
      </c>
      <c r="G139" s="62">
        <v>76.497699999999995</v>
      </c>
      <c r="H139" s="62" t="s">
        <v>2448</v>
      </c>
      <c r="I139" s="62" t="s">
        <v>2800</v>
      </c>
      <c r="J139" s="62" t="s">
        <v>271</v>
      </c>
    </row>
    <row r="140" spans="1:10" ht="15" x14ac:dyDescent="0.25">
      <c r="A140" s="40">
        <v>136</v>
      </c>
      <c r="B140" s="62" t="s">
        <v>2605</v>
      </c>
      <c r="C140" s="62" t="s">
        <v>164</v>
      </c>
      <c r="D140" s="62" t="s">
        <v>2375</v>
      </c>
      <c r="E140" s="62" t="s">
        <v>2376</v>
      </c>
      <c r="F140" s="62">
        <v>74.124899999999997</v>
      </c>
      <c r="G140" s="62">
        <v>84.755499999999998</v>
      </c>
      <c r="H140" s="62" t="s">
        <v>2465</v>
      </c>
      <c r="I140" s="62" t="s">
        <v>2801</v>
      </c>
      <c r="J140" s="62" t="s">
        <v>271</v>
      </c>
    </row>
    <row r="141" spans="1:10" ht="15" x14ac:dyDescent="0.25">
      <c r="A141" s="40">
        <v>137</v>
      </c>
      <c r="B141" s="62" t="s">
        <v>2606</v>
      </c>
      <c r="C141" s="62" t="s">
        <v>166</v>
      </c>
      <c r="D141" s="62" t="s">
        <v>2375</v>
      </c>
      <c r="E141" s="62" t="s">
        <v>2376</v>
      </c>
      <c r="F141" s="62">
        <v>85.784700000000001</v>
      </c>
      <c r="G141" s="62">
        <v>87.0505</v>
      </c>
      <c r="H141" s="62" t="s">
        <v>2462</v>
      </c>
      <c r="I141" s="62" t="s">
        <v>2694</v>
      </c>
      <c r="J141" s="62" t="s">
        <v>271</v>
      </c>
    </row>
    <row r="142" spans="1:10" ht="15" x14ac:dyDescent="0.25">
      <c r="A142" s="40">
        <v>138</v>
      </c>
      <c r="B142" s="62" t="s">
        <v>2607</v>
      </c>
      <c r="C142" s="62" t="s">
        <v>168</v>
      </c>
      <c r="D142" s="62" t="s">
        <v>2375</v>
      </c>
      <c r="E142" s="62" t="s">
        <v>2376</v>
      </c>
      <c r="F142" s="62">
        <v>70.440399999999997</v>
      </c>
      <c r="G142" s="62">
        <v>72.808300000000003</v>
      </c>
      <c r="H142" s="62" t="s">
        <v>2431</v>
      </c>
      <c r="I142" s="62" t="s">
        <v>2802</v>
      </c>
      <c r="J142" s="62" t="s">
        <v>271</v>
      </c>
    </row>
    <row r="143" spans="1:10" ht="15" x14ac:dyDescent="0.25">
      <c r="A143" s="40">
        <v>139</v>
      </c>
      <c r="B143" s="62" t="s">
        <v>2608</v>
      </c>
      <c r="C143" s="62" t="s">
        <v>170</v>
      </c>
      <c r="D143" s="62" t="s">
        <v>2375</v>
      </c>
      <c r="E143" s="62" t="s">
        <v>2376</v>
      </c>
      <c r="F143" s="62">
        <v>70.691500000000005</v>
      </c>
      <c r="G143" s="62">
        <v>75.863900000000001</v>
      </c>
      <c r="H143" s="62" t="s">
        <v>2465</v>
      </c>
      <c r="I143" s="62" t="s">
        <v>2803</v>
      </c>
      <c r="J143" s="62" t="s">
        <v>271</v>
      </c>
    </row>
    <row r="144" spans="1:10" ht="15" x14ac:dyDescent="0.25">
      <c r="A144" s="40">
        <v>140</v>
      </c>
      <c r="B144" s="62" t="s">
        <v>2609</v>
      </c>
      <c r="C144" s="62" t="s">
        <v>2215</v>
      </c>
      <c r="D144" s="62" t="s">
        <v>2375</v>
      </c>
      <c r="E144" s="62" t="s">
        <v>2376</v>
      </c>
      <c r="F144" s="62">
        <v>86.1922</v>
      </c>
      <c r="G144" s="62">
        <v>89.677999999999997</v>
      </c>
      <c r="H144" s="62" t="s">
        <v>2610</v>
      </c>
      <c r="I144" s="62" t="s">
        <v>2804</v>
      </c>
      <c r="J144" s="62" t="s">
        <v>271</v>
      </c>
    </row>
    <row r="145" spans="1:10" ht="15" x14ac:dyDescent="0.25">
      <c r="A145" s="40">
        <v>141</v>
      </c>
      <c r="B145" s="62" t="s">
        <v>2611</v>
      </c>
      <c r="C145" s="62" t="s">
        <v>172</v>
      </c>
      <c r="D145" s="62" t="s">
        <v>2375</v>
      </c>
      <c r="E145" s="62" t="s">
        <v>2376</v>
      </c>
      <c r="F145" s="62">
        <v>98.797799999999995</v>
      </c>
      <c r="G145" s="62">
        <v>103.34699999999999</v>
      </c>
      <c r="H145" s="62" t="s">
        <v>2805</v>
      </c>
      <c r="I145" s="62" t="s">
        <v>2806</v>
      </c>
      <c r="J145" s="62" t="s">
        <v>271</v>
      </c>
    </row>
    <row r="146" spans="1:10" ht="15" x14ac:dyDescent="0.25">
      <c r="A146" s="40">
        <v>142</v>
      </c>
      <c r="B146" s="62" t="s">
        <v>2612</v>
      </c>
      <c r="C146" s="62" t="s">
        <v>174</v>
      </c>
      <c r="D146" s="62" t="s">
        <v>2375</v>
      </c>
      <c r="E146" s="62" t="s">
        <v>2376</v>
      </c>
      <c r="F146" s="62">
        <v>97.514200000000002</v>
      </c>
      <c r="G146" s="62">
        <v>101.3336</v>
      </c>
      <c r="H146" s="62" t="s">
        <v>2437</v>
      </c>
      <c r="I146" s="62" t="s">
        <v>2807</v>
      </c>
      <c r="J146" s="62" t="s">
        <v>271</v>
      </c>
    </row>
    <row r="147" spans="1:10" ht="15" x14ac:dyDescent="0.25">
      <c r="A147" s="40">
        <v>143</v>
      </c>
      <c r="B147" s="62" t="s">
        <v>2613</v>
      </c>
      <c r="C147" s="62" t="s">
        <v>10</v>
      </c>
      <c r="D147" s="62" t="s">
        <v>2375</v>
      </c>
      <c r="E147" s="62" t="s">
        <v>2376</v>
      </c>
      <c r="F147" s="62">
        <v>67.771299999999997</v>
      </c>
      <c r="G147" s="62">
        <v>70.705299999999994</v>
      </c>
      <c r="H147" s="62" t="s">
        <v>2448</v>
      </c>
      <c r="I147" s="62" t="s">
        <v>2808</v>
      </c>
      <c r="J147" s="62" t="s">
        <v>271</v>
      </c>
    </row>
    <row r="148" spans="1:10" ht="15" x14ac:dyDescent="0.25">
      <c r="A148" s="40">
        <v>144</v>
      </c>
      <c r="B148" s="62" t="s">
        <v>2614</v>
      </c>
      <c r="C148" s="62" t="s">
        <v>177</v>
      </c>
      <c r="D148" s="62" t="s">
        <v>2375</v>
      </c>
      <c r="E148" s="62" t="s">
        <v>2376</v>
      </c>
      <c r="F148" s="62">
        <v>69.799800000000005</v>
      </c>
      <c r="G148" s="62">
        <v>74.383799999999994</v>
      </c>
      <c r="H148" s="62" t="s">
        <v>2615</v>
      </c>
      <c r="I148" s="62" t="s">
        <v>2809</v>
      </c>
      <c r="J148" s="62" t="s">
        <v>271</v>
      </c>
    </row>
    <row r="149" spans="1:10" ht="15" x14ac:dyDescent="0.25">
      <c r="A149" s="40">
        <v>145</v>
      </c>
      <c r="B149" s="62" t="s">
        <v>2616</v>
      </c>
      <c r="C149" s="62" t="s">
        <v>179</v>
      </c>
      <c r="D149" s="62" t="s">
        <v>2375</v>
      </c>
      <c r="E149" s="62" t="s">
        <v>2376</v>
      </c>
      <c r="F149" s="62">
        <v>97.417000000000002</v>
      </c>
      <c r="G149" s="62">
        <v>101.5703</v>
      </c>
      <c r="H149" s="62" t="s">
        <v>2437</v>
      </c>
      <c r="I149" s="62" t="s">
        <v>2810</v>
      </c>
      <c r="J149" s="62" t="s">
        <v>271</v>
      </c>
    </row>
    <row r="150" spans="1:10" ht="15" x14ac:dyDescent="0.25">
      <c r="A150" s="40">
        <v>146</v>
      </c>
      <c r="B150" s="62" t="s">
        <v>2618</v>
      </c>
      <c r="C150" s="62" t="s">
        <v>181</v>
      </c>
      <c r="D150" s="62" t="s">
        <v>2375</v>
      </c>
      <c r="E150" s="62" t="s">
        <v>2376</v>
      </c>
      <c r="F150" s="62">
        <v>90.292900000000003</v>
      </c>
      <c r="G150" s="62">
        <v>90.338700000000003</v>
      </c>
      <c r="H150" s="62" t="s">
        <v>2811</v>
      </c>
      <c r="I150" s="62" t="s">
        <v>2812</v>
      </c>
      <c r="J150" s="62" t="s">
        <v>271</v>
      </c>
    </row>
    <row r="151" spans="1:10" ht="15" x14ac:dyDescent="0.25">
      <c r="A151" s="40">
        <v>147</v>
      </c>
      <c r="B151" s="62" t="s">
        <v>2619</v>
      </c>
      <c r="C151" s="62" t="s">
        <v>183</v>
      </c>
      <c r="D151" s="62" t="s">
        <v>2375</v>
      </c>
      <c r="E151" s="62" t="s">
        <v>2376</v>
      </c>
      <c r="F151" s="62">
        <v>87.240700000000004</v>
      </c>
      <c r="G151" s="62">
        <v>90.962900000000005</v>
      </c>
      <c r="H151" s="62" t="s">
        <v>2635</v>
      </c>
      <c r="I151" s="62" t="s">
        <v>2813</v>
      </c>
      <c r="J151" s="62" t="s">
        <v>271</v>
      </c>
    </row>
    <row r="152" spans="1:10" ht="15" x14ac:dyDescent="0.25">
      <c r="A152" s="40">
        <v>148</v>
      </c>
      <c r="B152" s="62" t="s">
        <v>2620</v>
      </c>
      <c r="C152" s="62" t="s">
        <v>5</v>
      </c>
      <c r="D152" s="62" t="s">
        <v>2375</v>
      </c>
      <c r="E152" s="62" t="s">
        <v>2376</v>
      </c>
      <c r="F152" s="62">
        <v>84.790700000000001</v>
      </c>
      <c r="G152" s="62">
        <v>86.986699999999999</v>
      </c>
      <c r="H152" s="62" t="s">
        <v>2635</v>
      </c>
      <c r="I152" s="62" t="s">
        <v>2814</v>
      </c>
      <c r="J152" s="62" t="s">
        <v>271</v>
      </c>
    </row>
    <row r="153" spans="1:10" ht="15" x14ac:dyDescent="0.25">
      <c r="A153" s="40">
        <v>149</v>
      </c>
      <c r="B153" s="62" t="s">
        <v>2621</v>
      </c>
      <c r="C153" s="62" t="s">
        <v>186</v>
      </c>
      <c r="D153" s="62" t="s">
        <v>2375</v>
      </c>
      <c r="E153" s="62" t="s">
        <v>2376</v>
      </c>
      <c r="F153" s="62">
        <v>80.975099999999998</v>
      </c>
      <c r="G153" s="62">
        <v>86.053399999999996</v>
      </c>
      <c r="H153" s="62" t="s">
        <v>2432</v>
      </c>
      <c r="I153" s="62" t="s">
        <v>2815</v>
      </c>
      <c r="J153" s="62" t="s">
        <v>271</v>
      </c>
    </row>
    <row r="154" spans="1:10" ht="15" x14ac:dyDescent="0.25">
      <c r="A154" s="40">
        <v>150</v>
      </c>
      <c r="B154" s="62" t="s">
        <v>2622</v>
      </c>
      <c r="C154" s="62" t="s">
        <v>188</v>
      </c>
      <c r="D154" s="62" t="s">
        <v>2375</v>
      </c>
      <c r="E154" s="62" t="s">
        <v>2376</v>
      </c>
      <c r="F154" s="62">
        <v>81.909800000000004</v>
      </c>
      <c r="G154" s="62">
        <v>87.272300000000001</v>
      </c>
      <c r="H154" s="62" t="s">
        <v>2462</v>
      </c>
      <c r="I154" s="62" t="s">
        <v>2816</v>
      </c>
      <c r="J154" s="62" t="s">
        <v>271</v>
      </c>
    </row>
    <row r="155" spans="1:10" ht="15" x14ac:dyDescent="0.25">
      <c r="A155" s="40">
        <v>151</v>
      </c>
      <c r="B155" s="62" t="s">
        <v>2623</v>
      </c>
      <c r="C155" s="62" t="s">
        <v>190</v>
      </c>
      <c r="D155" s="62" t="s">
        <v>2375</v>
      </c>
      <c r="E155" s="62" t="s">
        <v>2376</v>
      </c>
      <c r="F155" s="62">
        <v>76.5458</v>
      </c>
      <c r="G155" s="62">
        <v>81.579700000000003</v>
      </c>
      <c r="H155" s="62" t="s">
        <v>2624</v>
      </c>
      <c r="I155" s="62" t="s">
        <v>2817</v>
      </c>
      <c r="J155" s="62" t="s">
        <v>271</v>
      </c>
    </row>
    <row r="156" spans="1:10" ht="15" x14ac:dyDescent="0.25">
      <c r="A156" s="40">
        <v>152</v>
      </c>
      <c r="B156" s="62" t="s">
        <v>2625</v>
      </c>
      <c r="C156" s="62" t="s">
        <v>192</v>
      </c>
      <c r="D156" s="62" t="s">
        <v>2375</v>
      </c>
      <c r="E156" s="62" t="s">
        <v>2376</v>
      </c>
      <c r="F156" s="62">
        <v>74.595799999999997</v>
      </c>
      <c r="G156" s="62">
        <v>74.766499999999994</v>
      </c>
      <c r="H156" s="62" t="s">
        <v>2626</v>
      </c>
      <c r="I156" s="62" t="s">
        <v>2818</v>
      </c>
      <c r="J156" s="62" t="s">
        <v>271</v>
      </c>
    </row>
    <row r="157" spans="1:10" ht="15" x14ac:dyDescent="0.25">
      <c r="A157" s="40">
        <v>153</v>
      </c>
      <c r="B157" s="62" t="s">
        <v>2627</v>
      </c>
      <c r="C157" s="62" t="s">
        <v>194</v>
      </c>
      <c r="D157" s="62" t="s">
        <v>2375</v>
      </c>
      <c r="E157" s="62" t="s">
        <v>2376</v>
      </c>
      <c r="F157" s="62">
        <v>72.398499999999999</v>
      </c>
      <c r="G157" s="62">
        <v>76.601200000000006</v>
      </c>
      <c r="H157" s="62" t="s">
        <v>2593</v>
      </c>
      <c r="I157" s="62" t="s">
        <v>2789</v>
      </c>
      <c r="J157" s="62" t="s">
        <v>271</v>
      </c>
    </row>
    <row r="158" spans="1:10" ht="15" x14ac:dyDescent="0.25">
      <c r="A158" s="40">
        <v>154</v>
      </c>
      <c r="B158" s="62" t="s">
        <v>2628</v>
      </c>
      <c r="C158" s="62" t="s">
        <v>196</v>
      </c>
      <c r="D158" s="62" t="s">
        <v>2375</v>
      </c>
      <c r="E158" s="62" t="s">
        <v>2376</v>
      </c>
      <c r="F158" s="62">
        <v>66.2393</v>
      </c>
      <c r="G158" s="62">
        <v>69.534899999999993</v>
      </c>
      <c r="H158" s="62" t="s">
        <v>2465</v>
      </c>
      <c r="I158" s="62" t="s">
        <v>2819</v>
      </c>
      <c r="J158" s="62" t="s">
        <v>271</v>
      </c>
    </row>
    <row r="159" spans="1:10" ht="15" x14ac:dyDescent="0.25">
      <c r="A159" s="40">
        <v>155</v>
      </c>
      <c r="B159" s="62" t="s">
        <v>2629</v>
      </c>
      <c r="C159" s="62" t="s">
        <v>198</v>
      </c>
      <c r="D159" s="62" t="s">
        <v>2375</v>
      </c>
      <c r="E159" s="62" t="s">
        <v>2376</v>
      </c>
      <c r="F159" s="62">
        <v>65.316500000000005</v>
      </c>
      <c r="G159" s="62">
        <v>68.089500000000001</v>
      </c>
      <c r="H159" s="62" t="s">
        <v>2450</v>
      </c>
      <c r="I159" s="62" t="s">
        <v>2820</v>
      </c>
      <c r="J159" s="62" t="s">
        <v>271</v>
      </c>
    </row>
    <row r="160" spans="1:10" ht="15" x14ac:dyDescent="0.25">
      <c r="A160" s="40">
        <v>156</v>
      </c>
      <c r="B160" s="62" t="s">
        <v>2630</v>
      </c>
      <c r="C160" s="62" t="s">
        <v>200</v>
      </c>
      <c r="D160" s="62" t="s">
        <v>2375</v>
      </c>
      <c r="E160" s="62" t="s">
        <v>2376</v>
      </c>
      <c r="F160" s="62">
        <v>70.803600000000003</v>
      </c>
      <c r="G160" s="62">
        <v>81.463800000000006</v>
      </c>
      <c r="H160" s="62" t="s">
        <v>2615</v>
      </c>
      <c r="I160" s="62" t="s">
        <v>2821</v>
      </c>
      <c r="J160" s="62" t="s">
        <v>271</v>
      </c>
    </row>
    <row r="161" spans="1:10" ht="15" x14ac:dyDescent="0.25">
      <c r="A161" s="40">
        <v>157</v>
      </c>
      <c r="B161" s="62" t="s">
        <v>2631</v>
      </c>
      <c r="C161" s="62" t="s">
        <v>202</v>
      </c>
      <c r="D161" s="62" t="s">
        <v>2375</v>
      </c>
      <c r="E161" s="62" t="s">
        <v>2376</v>
      </c>
      <c r="F161" s="62">
        <v>71.522599999999997</v>
      </c>
      <c r="G161" s="62">
        <v>77.753600000000006</v>
      </c>
      <c r="H161" s="62" t="s">
        <v>2615</v>
      </c>
      <c r="I161" s="62" t="s">
        <v>2822</v>
      </c>
      <c r="J161" s="62" t="s">
        <v>271</v>
      </c>
    </row>
    <row r="162" spans="1:10" ht="15" x14ac:dyDescent="0.25">
      <c r="A162" s="40">
        <v>158</v>
      </c>
      <c r="B162" s="62" t="s">
        <v>2632</v>
      </c>
      <c r="C162" s="62" t="s">
        <v>204</v>
      </c>
      <c r="D162" s="62" t="s">
        <v>2375</v>
      </c>
      <c r="E162" s="62" t="s">
        <v>2376</v>
      </c>
      <c r="F162" s="62">
        <v>79.989400000000003</v>
      </c>
      <c r="G162" s="62">
        <v>84.435500000000005</v>
      </c>
      <c r="H162" s="62" t="s">
        <v>2582</v>
      </c>
      <c r="I162" s="62" t="s">
        <v>2823</v>
      </c>
      <c r="J162" s="62" t="s">
        <v>271</v>
      </c>
    </row>
    <row r="163" spans="1:10" ht="17.25" customHeight="1" x14ac:dyDescent="0.25">
      <c r="A163" s="40">
        <v>159</v>
      </c>
      <c r="B163" s="62" t="s">
        <v>2633</v>
      </c>
      <c r="C163" s="62" t="s">
        <v>206</v>
      </c>
      <c r="D163" s="62" t="s">
        <v>2375</v>
      </c>
      <c r="E163" s="62" t="s">
        <v>2376</v>
      </c>
      <c r="F163" s="62">
        <v>75.695499999999996</v>
      </c>
      <c r="G163" s="62">
        <v>77.403800000000004</v>
      </c>
      <c r="H163" s="62" t="s">
        <v>2783</v>
      </c>
      <c r="I163" s="62" t="s">
        <v>2824</v>
      </c>
      <c r="J163" s="62" t="s">
        <v>271</v>
      </c>
    </row>
    <row r="164" spans="1:10" ht="17.25" customHeight="1" x14ac:dyDescent="0.25">
      <c r="A164" s="40">
        <v>160</v>
      </c>
      <c r="B164" s="62" t="s">
        <v>2634</v>
      </c>
      <c r="C164" s="62" t="s">
        <v>208</v>
      </c>
      <c r="D164" s="62" t="s">
        <v>2375</v>
      </c>
      <c r="E164" s="62" t="s">
        <v>2376</v>
      </c>
      <c r="F164" s="62">
        <v>73.9251</v>
      </c>
      <c r="G164" s="62">
        <v>78.981999999999999</v>
      </c>
      <c r="H164" s="62" t="s">
        <v>2635</v>
      </c>
      <c r="I164" s="62" t="s">
        <v>2682</v>
      </c>
      <c r="J164" s="62" t="s">
        <v>271</v>
      </c>
    </row>
    <row r="165" spans="1:10" ht="17.25" customHeight="1" x14ac:dyDescent="0.25">
      <c r="A165" s="15">
        <v>161</v>
      </c>
      <c r="B165" s="62" t="s">
        <v>2636</v>
      </c>
      <c r="C165" s="62" t="s">
        <v>210</v>
      </c>
      <c r="D165" s="62" t="s">
        <v>2375</v>
      </c>
      <c r="E165" s="62" t="s">
        <v>2376</v>
      </c>
      <c r="F165" s="62">
        <v>59.686100000000003</v>
      </c>
      <c r="G165" s="62">
        <v>60.180799999999998</v>
      </c>
      <c r="H165" s="62" t="s">
        <v>2637</v>
      </c>
      <c r="I165" s="62" t="s">
        <v>2825</v>
      </c>
      <c r="J165" s="62" t="s">
        <v>271</v>
      </c>
    </row>
    <row r="166" spans="1:10" ht="17.25" customHeight="1" x14ac:dyDescent="0.25">
      <c r="A166" s="15">
        <v>162</v>
      </c>
      <c r="B166" s="62" t="s">
        <v>2638</v>
      </c>
      <c r="C166" s="62" t="s">
        <v>212</v>
      </c>
      <c r="D166" s="62" t="s">
        <v>2375</v>
      </c>
      <c r="E166" s="62" t="s">
        <v>2376</v>
      </c>
      <c r="F166" s="62">
        <v>59.890500000000003</v>
      </c>
      <c r="G166" s="62">
        <v>64.482200000000006</v>
      </c>
      <c r="H166" s="62" t="s">
        <v>2610</v>
      </c>
      <c r="I166" s="62" t="s">
        <v>2826</v>
      </c>
      <c r="J166" s="62" t="s">
        <v>271</v>
      </c>
    </row>
    <row r="167" spans="1:10" ht="17.25" customHeight="1" x14ac:dyDescent="0.25">
      <c r="A167" s="15">
        <v>163</v>
      </c>
      <c r="B167" s="62" t="s">
        <v>2639</v>
      </c>
      <c r="C167" s="62" t="s">
        <v>214</v>
      </c>
      <c r="D167" s="62" t="s">
        <v>2375</v>
      </c>
      <c r="E167" s="62" t="s">
        <v>2376</v>
      </c>
      <c r="F167" s="62">
        <v>56.473300000000002</v>
      </c>
      <c r="G167" s="62">
        <v>58.260800000000003</v>
      </c>
      <c r="H167" s="62" t="s">
        <v>2429</v>
      </c>
      <c r="I167" s="62" t="s">
        <v>2827</v>
      </c>
      <c r="J167" s="62" t="s">
        <v>271</v>
      </c>
    </row>
    <row r="168" spans="1:10" ht="17.25" customHeight="1" x14ac:dyDescent="0.25">
      <c r="A168" s="15">
        <v>164</v>
      </c>
      <c r="B168" s="62" t="s">
        <v>2640</v>
      </c>
      <c r="C168" s="62" t="s">
        <v>12</v>
      </c>
      <c r="D168" s="62" t="s">
        <v>2375</v>
      </c>
      <c r="E168" s="62" t="s">
        <v>2376</v>
      </c>
      <c r="F168" s="62">
        <v>61.42</v>
      </c>
      <c r="G168" s="62">
        <v>63.639299999999999</v>
      </c>
      <c r="H168" s="62" t="s">
        <v>2428</v>
      </c>
      <c r="I168" s="62" t="s">
        <v>2828</v>
      </c>
      <c r="J168" s="62" t="s">
        <v>271</v>
      </c>
    </row>
    <row r="169" spans="1:10" ht="17.25" customHeight="1" x14ac:dyDescent="0.25">
      <c r="A169" s="15">
        <v>165</v>
      </c>
      <c r="B169" s="62" t="s">
        <v>2641</v>
      </c>
      <c r="C169" s="62" t="s">
        <v>13</v>
      </c>
      <c r="D169" s="62" t="s">
        <v>2375</v>
      </c>
      <c r="E169" s="62" t="s">
        <v>2376</v>
      </c>
      <c r="F169" s="62">
        <v>59.9893</v>
      </c>
      <c r="G169" s="62">
        <v>64.517499999999998</v>
      </c>
      <c r="H169" s="62" t="s">
        <v>2428</v>
      </c>
      <c r="I169" s="62" t="s">
        <v>2829</v>
      </c>
      <c r="J169" s="62" t="s">
        <v>271</v>
      </c>
    </row>
    <row r="170" spans="1:10" ht="17.25" customHeight="1" x14ac:dyDescent="0.25">
      <c r="A170" s="15">
        <v>166</v>
      </c>
      <c r="B170" s="62" t="s">
        <v>2642</v>
      </c>
      <c r="C170" s="62" t="s">
        <v>218</v>
      </c>
      <c r="D170" s="62" t="s">
        <v>2375</v>
      </c>
      <c r="E170" s="62" t="s">
        <v>2376</v>
      </c>
      <c r="F170" s="62">
        <v>53.806699999999999</v>
      </c>
      <c r="G170" s="62">
        <v>59.095300000000002</v>
      </c>
      <c r="H170" s="62" t="s">
        <v>2469</v>
      </c>
      <c r="I170" s="62" t="s">
        <v>2830</v>
      </c>
      <c r="J170" s="62" t="s">
        <v>271</v>
      </c>
    </row>
    <row r="171" spans="1:10" ht="17.25" customHeight="1" x14ac:dyDescent="0.25">
      <c r="A171" s="15">
        <v>167</v>
      </c>
      <c r="B171" s="62" t="s">
        <v>2643</v>
      </c>
      <c r="C171" s="62" t="s">
        <v>220</v>
      </c>
      <c r="D171" s="62" t="s">
        <v>2375</v>
      </c>
      <c r="E171" s="62" t="s">
        <v>2376</v>
      </c>
      <c r="F171" s="62">
        <v>55.702500000000001</v>
      </c>
      <c r="G171" s="62">
        <v>56.305599999999998</v>
      </c>
      <c r="H171" s="62" t="s">
        <v>2467</v>
      </c>
      <c r="I171" s="62" t="s">
        <v>2831</v>
      </c>
      <c r="J171" s="62" t="s">
        <v>271</v>
      </c>
    </row>
    <row r="172" spans="1:10" ht="17.25" customHeight="1" x14ac:dyDescent="0.25">
      <c r="A172" s="15">
        <v>168</v>
      </c>
      <c r="B172" s="62" t="s">
        <v>2644</v>
      </c>
      <c r="C172" s="62" t="s">
        <v>222</v>
      </c>
      <c r="D172" s="62" t="s">
        <v>2375</v>
      </c>
      <c r="E172" s="62" t="s">
        <v>2376</v>
      </c>
      <c r="F172" s="62">
        <v>55.152999999999999</v>
      </c>
      <c r="G172" s="62">
        <v>59.221800000000002</v>
      </c>
      <c r="H172" s="62" t="s">
        <v>2469</v>
      </c>
      <c r="I172" s="62" t="s">
        <v>2832</v>
      </c>
      <c r="J172" s="62" t="s">
        <v>271</v>
      </c>
    </row>
    <row r="173" spans="1:10" ht="17.25" customHeight="1" x14ac:dyDescent="0.25">
      <c r="A173" s="15">
        <v>169</v>
      </c>
      <c r="B173" s="62" t="s">
        <v>2645</v>
      </c>
      <c r="C173" s="62" t="s">
        <v>224</v>
      </c>
      <c r="D173" s="62" t="s">
        <v>2375</v>
      </c>
      <c r="E173" s="62" t="s">
        <v>2376</v>
      </c>
      <c r="F173" s="62">
        <v>54.194499999999998</v>
      </c>
      <c r="G173" s="62">
        <v>62.003500000000003</v>
      </c>
      <c r="H173" s="62" t="s">
        <v>2467</v>
      </c>
      <c r="I173" s="62" t="s">
        <v>2833</v>
      </c>
      <c r="J173" s="62" t="s">
        <v>271</v>
      </c>
    </row>
    <row r="174" spans="1:10" ht="17.25" customHeight="1" x14ac:dyDescent="0.25">
      <c r="A174" s="15">
        <v>170</v>
      </c>
      <c r="B174" s="62" t="s">
        <v>2646</v>
      </c>
      <c r="C174" s="62" t="s">
        <v>2101</v>
      </c>
      <c r="D174" s="62" t="s">
        <v>2375</v>
      </c>
      <c r="E174" s="62" t="s">
        <v>2376</v>
      </c>
      <c r="F174" s="62">
        <v>100</v>
      </c>
      <c r="G174" s="62">
        <v>105.59610000000001</v>
      </c>
      <c r="H174" s="62" t="s">
        <v>2341</v>
      </c>
      <c r="I174" s="62" t="s">
        <v>2834</v>
      </c>
      <c r="J174" s="62" t="s">
        <v>271</v>
      </c>
    </row>
    <row r="175" spans="1:10" ht="17.25" customHeight="1" x14ac:dyDescent="0.25">
      <c r="A175" s="15">
        <v>171</v>
      </c>
      <c r="B175" s="62" t="s">
        <v>2835</v>
      </c>
      <c r="C175" s="62" t="s">
        <v>229</v>
      </c>
      <c r="D175" s="62" t="s">
        <v>2354</v>
      </c>
      <c r="E175" s="62" t="s">
        <v>2417</v>
      </c>
      <c r="F175" s="62">
        <v>100.0397</v>
      </c>
      <c r="G175" s="62">
        <v>106.72029999999999</v>
      </c>
      <c r="H175" s="62" t="s">
        <v>2836</v>
      </c>
      <c r="I175" s="62" t="s">
        <v>2837</v>
      </c>
      <c r="J175" s="62" t="s">
        <v>271</v>
      </c>
    </row>
    <row r="176" spans="1:10" ht="17.25" customHeight="1" x14ac:dyDescent="0.25">
      <c r="A176" s="15">
        <v>172</v>
      </c>
      <c r="B176" s="62" t="s">
        <v>2838</v>
      </c>
      <c r="C176" s="62" t="s">
        <v>2156</v>
      </c>
      <c r="D176" s="62" t="s">
        <v>2354</v>
      </c>
      <c r="E176" s="62" t="s">
        <v>2417</v>
      </c>
      <c r="F176" s="62">
        <v>99.963200000000001</v>
      </c>
      <c r="G176" s="62">
        <v>102.7132</v>
      </c>
      <c r="H176" s="62" t="s">
        <v>2418</v>
      </c>
      <c r="I176" s="62" t="s">
        <v>2839</v>
      </c>
      <c r="J176" s="62" t="s">
        <v>271</v>
      </c>
    </row>
    <row r="177" spans="1:10" ht="17.25" customHeight="1" x14ac:dyDescent="0.25">
      <c r="A177" s="15">
        <v>173</v>
      </c>
      <c r="B177" s="62" t="s">
        <v>2840</v>
      </c>
      <c r="C177" s="62" t="s">
        <v>2647</v>
      </c>
      <c r="D177" s="62" t="s">
        <v>2375</v>
      </c>
      <c r="E177" s="62" t="s">
        <v>2381</v>
      </c>
      <c r="F177" s="62">
        <v>98.9268</v>
      </c>
      <c r="G177" s="62">
        <v>98.9268</v>
      </c>
      <c r="H177" s="62" t="s">
        <v>2841</v>
      </c>
      <c r="I177" s="62" t="s">
        <v>2842</v>
      </c>
      <c r="J177" s="62" t="s">
        <v>271</v>
      </c>
    </row>
    <row r="178" spans="1:10" ht="17.25" customHeight="1" x14ac:dyDescent="0.25">
      <c r="A178" s="15">
        <v>174</v>
      </c>
      <c r="B178" s="62" t="s">
        <v>2843</v>
      </c>
      <c r="C178" s="62" t="s">
        <v>1589</v>
      </c>
      <c r="D178" s="62" t="s">
        <v>2354</v>
      </c>
      <c r="E178" s="62" t="s">
        <v>2382</v>
      </c>
      <c r="F178" s="63">
        <v>3419.8879999999999</v>
      </c>
      <c r="G178" s="63">
        <v>3419.8879999999999</v>
      </c>
      <c r="H178" s="62" t="s">
        <v>343</v>
      </c>
      <c r="I178" s="62" t="s">
        <v>2844</v>
      </c>
      <c r="J178" s="62" t="s">
        <v>2395</v>
      </c>
    </row>
    <row r="179" spans="1:10" ht="17.25" customHeight="1" x14ac:dyDescent="0.25">
      <c r="A179" s="15">
        <v>175</v>
      </c>
      <c r="B179" s="62" t="s">
        <v>2845</v>
      </c>
      <c r="C179" s="62" t="s">
        <v>431</v>
      </c>
      <c r="D179" s="62" t="s">
        <v>2354</v>
      </c>
      <c r="E179" s="62" t="s">
        <v>2383</v>
      </c>
      <c r="F179" s="62">
        <v>96.303200000000004</v>
      </c>
      <c r="G179" s="62">
        <v>96.930999999999997</v>
      </c>
      <c r="H179" s="62" t="s">
        <v>2846</v>
      </c>
      <c r="I179" s="62" t="s">
        <v>2847</v>
      </c>
      <c r="J179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58D39F47-A30B-4BEC-BFA0-43574386014F}"/>
    <hyperlink ref="E5" r:id="rId2" display="https://kase.kz/ru/listing/issuers/AIRA" xr:uid="{8BE66025-EA1F-49AA-8C5B-742A28E31D52}"/>
    <hyperlink ref="B6" r:id="rId3" display="https://kase.kz/ru/investors/depts/AIRAd" xr:uid="{CBD42FA9-5120-4EA2-90F6-068A27980B3F}"/>
    <hyperlink ref="E6" r:id="rId4" display="https://kase.kz/ru/listing/issuers/AIRA" xr:uid="{FBB1A89B-D735-481C-9FAB-2C03A4CDBF0E}"/>
    <hyperlink ref="B7" r:id="rId5" display="https://kase.kz/ru/investors/shares/AKZM" xr:uid="{91CC44A4-A45F-4788-AE6E-AC942B423E95}"/>
    <hyperlink ref="E7" r:id="rId6" display="https://kase.kz/ru/listing/issuers/AKZM" xr:uid="{F5EEEE05-0CBE-4B45-84AB-836B2812EEB3}"/>
    <hyperlink ref="B8" r:id="rId7" display="https://kase.kz/ru/investors/bonds/ALMSb1" xr:uid="{A51C8BD3-2847-4BA7-AFF9-1DC132DE0F61}"/>
    <hyperlink ref="E8" r:id="rId8" display="https://kase.kz/ru/listing/issuers/ALMS" xr:uid="{2CADD0B1-8685-40A0-B74B-512800D66F8B}"/>
    <hyperlink ref="B9" r:id="rId9" display="https://kase.kz/ru/investors/shares/ASBN" xr:uid="{81150559-EDBD-4171-8652-F40D5C4DC8CF}"/>
    <hyperlink ref="E9" r:id="rId10" display="https://kase.kz/ru/listing/issuers/ASBN" xr:uid="{9C916097-EC0B-4B0D-9BD9-D6951EA34FA4}"/>
    <hyperlink ref="B10" r:id="rId11" display="https://kase.kz/ru/investors/bonds/ASKQb1" xr:uid="{E417718B-4C25-4201-9981-A08A6B9AD23E}"/>
    <hyperlink ref="E10" r:id="rId12" display="https://kase.kz/ru/listing/issuers/ASKQ" xr:uid="{EDB5AA76-6C90-4A87-8E3B-6B4470F5C5B2}"/>
    <hyperlink ref="B11" r:id="rId13" display="https://kase.kz/ru/investors/mifs/BCCIbe" xr:uid="{20A71141-8758-4063-86A3-128FFD3100DE}"/>
    <hyperlink ref="E11" r:id="rId14" display="https://kase.kz/ru/listing/issuers/BCCI" xr:uid="{89977754-0BEB-4CD0-A3A4-FF9D6F3A35B3}"/>
    <hyperlink ref="B12" r:id="rId15" display="https://kase.kz/ru/investors/mifs/BCCIrb" xr:uid="{C2304438-0B56-4DAB-B61C-9DF87CD2BFA1}"/>
    <hyperlink ref="E12" r:id="rId16" display="https://kase.kz/ru/listing/issuers/BCCI" xr:uid="{DD9B129D-3EF1-49AE-8A87-8FCD3906322A}"/>
    <hyperlink ref="B13" r:id="rId17" display="https://kase.kz/ru/investors/bonds/BIGDb5" xr:uid="{E539BBC9-63D5-4225-906B-FBF12B64485B}"/>
    <hyperlink ref="E13" r:id="rId18" display="https://kase.kz/ru/listing/issuers/BIGD" xr:uid="{64243B02-A7B9-42CE-B845-D27450447FF3}"/>
    <hyperlink ref="B14" r:id="rId19" display="https://kase.kz/ru/investors/bonds/BRKZe18" xr:uid="{EDE20B0E-3E6B-42E7-A90A-8FF1D2CF420C}"/>
    <hyperlink ref="E14" r:id="rId20" display="https://kase.kz/ru/listing/issuers/BRKZ" xr:uid="{F48B0C1E-473A-44E9-8DCA-6D2611D22DEC}"/>
    <hyperlink ref="B15" r:id="rId21" display="https://kase.kz/ru/investors/bonds/BRKZe4" xr:uid="{4C0F013C-7E4F-4936-ADFC-56952FEBD8E6}"/>
    <hyperlink ref="E15" r:id="rId22" display="https://kase.kz/ru/listing/issuers/BRKZ" xr:uid="{69CF664E-8C62-47B6-BAC0-9894C9608A4A}"/>
    <hyperlink ref="B16" r:id="rId23" display="https://kase.kz/ru/investors/bonds/BTRKe1" xr:uid="{F4C63466-64AB-4813-85F1-FB1FF4AFFA58}"/>
    <hyperlink ref="E16" r:id="rId24" display="https://kase.kz/ru/listing/issuers/BTRK" xr:uid="{EB5A0FCB-FE35-4F02-B841-97E543D33C1D}"/>
    <hyperlink ref="B17" r:id="rId25" display="https://kase.kz/ru/investors/shares/CCBN" xr:uid="{77C1C302-2B5B-4856-AEB8-B824A321834D}"/>
    <hyperlink ref="E17" r:id="rId26" display="https://kase.kz/ru/listing/issuers/CCBN" xr:uid="{FCDF2A93-BE75-4DB6-97D3-2DCD4FD90EF3}"/>
    <hyperlink ref="B18" r:id="rId27" display="https://kase.kz/ru/investors/shares/CCBNp" xr:uid="{D3C26B2D-E793-4020-912D-A988CA830F7C}"/>
    <hyperlink ref="E18" r:id="rId28" display="https://kase.kz/ru/listing/issuers/CCBN" xr:uid="{AB1F9DF5-EF55-4656-B821-85199065CAF9}"/>
    <hyperlink ref="B19" r:id="rId29" display="https://kase.kz/ru/investors/mifs/CSECfe" xr:uid="{83693AFC-C537-4C1B-84FD-E23CFE351E11}"/>
    <hyperlink ref="E19" r:id="rId30" display="https://kase.kz/ru/listing/issuers/CSEC" xr:uid="{14633545-3373-43DD-915F-86C57B8E6648}"/>
    <hyperlink ref="B20" r:id="rId31" display="https://kase.kz/ru/investors/mifs/CSECtf" xr:uid="{3BB82AF2-BADC-4EEE-88AB-68B7ADE96C19}"/>
    <hyperlink ref="E20" r:id="rId32" display="https://kase.kz/ru/listing/issuers/CSEC" xr:uid="{0FFFF503-2BA2-48DE-AFF9-13B27B77DFCB}"/>
    <hyperlink ref="B21" r:id="rId33" display="https://kase.kz/ru/investors/bonds/EABRb40" xr:uid="{71FBD9CB-4BA1-48F9-A2A8-956F61BE6B10}"/>
    <hyperlink ref="E21" r:id="rId34" display="https://kase.kz/ru/listing/issuers/EABR" xr:uid="{9523B321-93D9-4F93-9366-DE79EF09E6E9}"/>
    <hyperlink ref="B22" r:id="rId35" display="https://kase.kz/ru/investors/bonds/EABRb42" xr:uid="{2881EF6E-044E-4122-AB40-1E262D561A38}"/>
    <hyperlink ref="E22" r:id="rId36" display="https://kase.kz/ru/listing/issuers/EABR" xr:uid="{240B9E95-609D-45EE-AFA1-561AC99F1A4B}"/>
    <hyperlink ref="B23" r:id="rId37" display="https://kase.kz/ru/investors/bonds/EABRb53" xr:uid="{55FE08CF-FA73-4229-A94E-428C7652C6E2}"/>
    <hyperlink ref="E23" r:id="rId38" display="https://kase.kz/ru/listing/issuers/EABR" xr:uid="{1D96EEC6-EE06-41E9-A277-794D0E9AC918}"/>
    <hyperlink ref="B24" r:id="rId39" display="https://kase.kz/ru/investors/mifs/FFIN_or" xr:uid="{E029C367-2470-4697-96DC-64D361279DC8}"/>
    <hyperlink ref="E24" r:id="rId40" display="https://kase.kz/ru/listing/issuers/FFIN" xr:uid="{565C2FA1-4427-4B93-8B7E-BE217FD9C1B0}"/>
    <hyperlink ref="B25" r:id="rId41" display="https://kase.kz/ru/investors/mifs/FFINgw" xr:uid="{9066B2B1-6A5D-4FA5-883E-6E4E100F9D81}"/>
    <hyperlink ref="E25" r:id="rId42" display="https://kase.kz/ru/listing/issuers/FFIN" xr:uid="{667ADDC8-4CA2-4847-829A-1C966E72ACE5}"/>
    <hyperlink ref="B26" r:id="rId43" display="https://kase.kz/ru/investors/mifs/FHJIag" xr:uid="{21FAA963-7FFB-4766-856D-ACB406B137BC}"/>
    <hyperlink ref="E26" r:id="rId44" display="https://kase.kz/ru/listing/issuers/FHJI" xr:uid="{CB3CD3A1-1063-4BD3-8983-B54A7AC9BA6B}"/>
    <hyperlink ref="B27" r:id="rId45" display="https://kase.kz/ru/investors/mifs/FHJIpc" xr:uid="{3E028BFA-A8D7-4A09-8068-398A5322E652}"/>
    <hyperlink ref="E27" r:id="rId46" display="https://kase.kz/ru/listing/issuers/FHJI" xr:uid="{892FE75B-C737-4F32-A1CA-FC0440DA0F0F}"/>
    <hyperlink ref="B28" r:id="rId47" display="https://kase.kz/ru/investors/bonds/HCBNb13" xr:uid="{987B0595-0365-4C0C-A2F9-0EB22CC403AF}"/>
    <hyperlink ref="E28" r:id="rId48" display="https://kase.kz/ru/listing/issuers/HCBN" xr:uid="{C0D530B3-1EBD-4723-B4D0-9F348DCC2908}"/>
    <hyperlink ref="B29" r:id="rId49" display="https://kase.kz/ru/investors/mifs/HFINhl" xr:uid="{DB08C583-132F-4386-85B7-6123A621D719}"/>
    <hyperlink ref="E29" r:id="rId50" display="https://kase.kz/ru/listing/issuers/HFIN" xr:uid="{2AE5FE18-2413-4B8E-A417-FEB5682F3F45}"/>
    <hyperlink ref="B30" r:id="rId51" display="https://kase.kz/ru/investors/mifs/HFINhp" xr:uid="{79352E2C-9FE4-4628-8E13-B0D47036544A}"/>
    <hyperlink ref="E30" r:id="rId52" display="https://kase.kz/ru/listing/issuers/HFIN" xr:uid="{F2C8A9C4-3C22-48D1-938C-A83B0EF77ABA}"/>
    <hyperlink ref="B31" r:id="rId53" display="https://kase.kz/ru/investors/mifs/HFINhs" xr:uid="{D16C1B30-9EE6-4277-8748-AC33CE7E1991}"/>
    <hyperlink ref="E31" r:id="rId54" display="https://kase.kz/ru/listing/issuers/HFIN" xr:uid="{072CEBB3-E7B2-44A5-BC26-4E3F81C98619}"/>
    <hyperlink ref="B32" r:id="rId55" display="https://kase.kz/ru/investors/mifs/HFINhv" xr:uid="{21FA6D82-05DC-4DBD-98A6-F3022975BC40}"/>
    <hyperlink ref="E32" r:id="rId56" display="https://kase.kz/ru/listing/issuers/HFIN" xr:uid="{787B34F2-760E-4278-9919-2D81618844C9}"/>
    <hyperlink ref="B33" r:id="rId57" display="https://kase.kz/ru/investors/shares/HSBK" xr:uid="{88036DF8-F02D-4A28-815E-E2F17A44A0A6}"/>
    <hyperlink ref="E33" r:id="rId58" display="https://kase.kz/ru/listing/issuers/HSBK" xr:uid="{BD9958B8-9834-4C85-BA53-6B687B536919}"/>
    <hyperlink ref="B34" r:id="rId59" display="https://kase.kz/ru/investors/depts/HSBKd" xr:uid="{7CF76A2F-BF59-45FB-9846-E54786FF4566}"/>
    <hyperlink ref="E34" r:id="rId60" display="https://kase.kz/ru/listing/issuers/HSBK" xr:uid="{062DFDFE-8872-42DD-829D-7582F173B895}"/>
    <hyperlink ref="B35" r:id="rId61" display="https://kase.kz/ru/investors/shares/IFDR" xr:uid="{6A9C2F23-8DAB-4D30-BB09-0B4C1954FF02}"/>
    <hyperlink ref="E35" r:id="rId62" display="https://kase.kz/ru/listing/issuers/TCIB" xr:uid="{7F5AA262-FB40-4DFF-926E-EEA75117780B}"/>
    <hyperlink ref="B36" r:id="rId63" display="https://kase.kz/ru/investors/shares/KCEL" xr:uid="{67679109-C140-44C7-9487-F4C03009B611}"/>
    <hyperlink ref="E36" r:id="rId64" display="https://kase.kz/ru/listing/issuers/KCEL" xr:uid="{1626492F-1287-4D11-8E43-6E00936D91A6}"/>
    <hyperlink ref="B37" r:id="rId65" display="https://kase.kz/ru/investors/shares/KEGC" xr:uid="{A7D4E321-C6BB-4315-BDC5-C49B2B925533}"/>
    <hyperlink ref="E37" r:id="rId66" display="https://kase.kz/ru/listing/issuers/KEGC" xr:uid="{BFBB3A9D-7B94-4FE7-B2A0-F978A9A1231F}"/>
    <hyperlink ref="B38" r:id="rId67" display="https://kase.kz/ru/investors/bonds/KFUSb45" xr:uid="{7F773498-A8A3-4836-AED0-D4ED7347CE1A}"/>
    <hyperlink ref="E38" r:id="rId68" display="https://kase.kz/ru/listing/issuers/KFUS" xr:uid="{BEA61E04-9AD2-45CE-946A-21C0E89DDBD6}"/>
    <hyperlink ref="B39" r:id="rId69" display="https://kase.kz/ru/investors/shares/KMGZ" xr:uid="{C0B1CE9C-A4C5-427E-8DF9-FD1FB16EC156}"/>
    <hyperlink ref="E39" r:id="rId70" display="https://kase.kz/ru/listing/issuers/KMGZ" xr:uid="{B7F92AA5-3B28-4DF1-9EE9-05D5BB504B14}"/>
    <hyperlink ref="B40" r:id="rId71" display="https://kase.kz/ru/investors/bonds/KMGZe12" xr:uid="{791E17C0-C2FA-4BC6-B553-AC4B0336CCC0}"/>
    <hyperlink ref="E40" r:id="rId72" display="https://kase.kz/ru/listing/issuers/KMGZ" xr:uid="{2DBDCC71-2229-440E-9B8B-8040E0085EE6}"/>
    <hyperlink ref="B41" r:id="rId73" display="https://kase.kz/ru/investors/bonds/KMGZe14" xr:uid="{8CA456FB-02A2-4E43-B2FB-739B75E439CF}"/>
    <hyperlink ref="E41" r:id="rId74" display="https://kase.kz/ru/listing/issuers/KMGZ" xr:uid="{8815DF15-F61D-4E22-93E8-F334373BE523}"/>
    <hyperlink ref="B42" r:id="rId75" display="https://kase.kz/ru/investors/bonds/KMGZe15" xr:uid="{7D8B752E-DDDC-4DD7-BE92-E55233A7387C}"/>
    <hyperlink ref="E42" r:id="rId76" display="https://kase.kz/ru/listing/issuers/KMGZ" xr:uid="{887813FC-4A2B-48BB-9D77-8C9541A4619F}"/>
    <hyperlink ref="B43" r:id="rId77" display="https://kase.kz/ru/investors/bonds/KMGZe16" xr:uid="{8BA44B3E-5144-4A2D-AF64-8BDEBEA3EE23}"/>
    <hyperlink ref="E43" r:id="rId78" display="https://kase.kz/ru/listing/issuers/KMGZ" xr:uid="{32E3CB47-144B-4A5F-A50C-B95A6D6AA332}"/>
    <hyperlink ref="B44" r:id="rId79" display="https://kase.kz/ru/investors/shares/KSPI" xr:uid="{F26F892E-0D74-4C60-812C-FB7068216E77}"/>
    <hyperlink ref="E44" r:id="rId80" display="https://kase.kz/ru/listing/issuers/KSPI" xr:uid="{649FD4AC-E2DA-4D73-A3BE-E1CC0D06C1BD}"/>
    <hyperlink ref="B45" r:id="rId81" display="https://kase.kz/ru/investors/depts/KSPId" xr:uid="{C2B9CA80-381C-4B09-9947-5893B0DFDE25}"/>
    <hyperlink ref="E45" r:id="rId82" display="https://kase.kz/ru/listing/issuers/KSPI" xr:uid="{130A220B-9743-409A-BAB7-95B5F157C84C}"/>
    <hyperlink ref="B46" r:id="rId83" display="https://kase.kz/ru/investors/shares/KZAP" xr:uid="{4DD4FBF3-039D-44B7-B723-3AED33AB453D}"/>
    <hyperlink ref="E46" r:id="rId84" display="https://kase.kz/ru/listing/issuers/KZAP" xr:uid="{B6589693-6340-4AE7-8762-24DB842D95D6}"/>
    <hyperlink ref="B47" r:id="rId85" display="https://kase.kz/ru/investors/bonds/KZTCb3" xr:uid="{85EB98B1-68B1-428D-92D2-C6D99A79F10A}"/>
    <hyperlink ref="E47" r:id="rId86" display="https://kase.kz/ru/listing/issuers/KZTC" xr:uid="{38F8CB69-ECAE-4A55-8696-0CD61E7F9135}"/>
    <hyperlink ref="B48" r:id="rId87" display="https://kase.kz/ru/investors/shares/KZTK" xr:uid="{B8770713-D40C-4725-8338-F7C5421F888D}"/>
    <hyperlink ref="E48" r:id="rId88" display="https://kase.kz/ru/listing/issuers/KZTK" xr:uid="{093AC33E-43D8-49EA-9E9D-A478B26D306E}"/>
    <hyperlink ref="B49" r:id="rId89" display="https://kase.kz/ru/investors/shares/KZTKp" xr:uid="{DF3A74E0-9CD5-498C-8C4D-D807AFF3D704}"/>
    <hyperlink ref="E49" r:id="rId90" display="https://kase.kz/ru/listing/issuers/KZTK" xr:uid="{34F5BAA4-8528-4525-924A-C4F1CB6358AB}"/>
    <hyperlink ref="B50" r:id="rId91" display="https://kase.kz/ru/investors/shares/KZTO" xr:uid="{29450CC1-DB7E-4C90-886C-EFEAACA467F8}"/>
    <hyperlink ref="E50" r:id="rId92" display="https://kase.kz/ru/listing/issuers/KZTO" xr:uid="{5DF9B1F5-E3CB-4330-AB4D-AB5136AAB40E}"/>
    <hyperlink ref="B51" r:id="rId93" display="https://kase.kz/ru/investors/gsecs/KZ_23_3504" xr:uid="{C4AE870B-E2C8-4899-A023-3430158C3DE6}"/>
    <hyperlink ref="E51" r:id="rId94" display="https://kase.kz/ru/listing/issuers/MFRK" xr:uid="{DABB748E-C836-48B4-8E60-3F66FAF7D14C}"/>
    <hyperlink ref="B52" r:id="rId95" display="https://kase.kz/ru/investors/bonds/MFKTb4" xr:uid="{8C1291F9-3008-4E69-A9D5-0B7553EC4420}"/>
    <hyperlink ref="E52" r:id="rId96" display="https://kase.kz/ru/listing/issuers/MFKT" xr:uid="{740B7C4A-A92F-4892-A5AA-9FDD209C024E}"/>
    <hyperlink ref="B53" r:id="rId97" display="https://kase.kz/ru/investors/bonds/MFMCb2" xr:uid="{6A1E5273-7AE8-47F7-BB11-B6D5AE4B82BA}"/>
    <hyperlink ref="E53" r:id="rId98" display="https://kase.kz/ru/listing/issuers/MFMC" xr:uid="{864A610B-A7F5-4E96-ACCB-9225A3076D2E}"/>
    <hyperlink ref="B54" r:id="rId99" display="https://kase.kz/ru/investors/bonds/MFMOb10" xr:uid="{F98662B8-5E27-4A61-95B9-A5C739CF9895}"/>
    <hyperlink ref="E54" r:id="rId100" display="https://kase.kz/ru/listing/issuers/MFMO" xr:uid="{C22B7E03-9807-497D-98FF-4FF7FC6454CE}"/>
    <hyperlink ref="B55" r:id="rId101" display="https://kase.kz/ru/investors/bonds/MFMOb17" xr:uid="{AAC04C6D-D308-49BE-9A52-C3B561F054AF}"/>
    <hyperlink ref="E55" r:id="rId102" display="https://kase.kz/ru/listing/issuers/MFMO" xr:uid="{6960CDBC-D70E-43A1-AAEF-A9FF6915CF6D}"/>
    <hyperlink ref="B56" r:id="rId103" display="https://kase.kz/ru/investors/bonds/MFMOb23" xr:uid="{DF33C4C2-223E-4EB0-BEE8-5EBBEA6C744F}"/>
    <hyperlink ref="E56" r:id="rId104" display="https://kase.kz/ru/listing/issuers/MFMO" xr:uid="{6870F672-4B5B-4AE9-877F-B2A5DDC6AE90}"/>
    <hyperlink ref="B57" r:id="rId105" display="https://kase.kz/ru/investors/bonds/MFMOb25" xr:uid="{18620629-E443-49B4-89CD-9878026873D9}"/>
    <hyperlink ref="E57" r:id="rId106" display="https://kase.kz/ru/listing/issuers/MFMO" xr:uid="{F5407C77-B28C-4C4F-9C28-453AB52EFE68}"/>
    <hyperlink ref="B58" r:id="rId107" display="https://kase.kz/ru/investors/bonds/MFMOb26" xr:uid="{4C76FFC2-4642-4CD7-80FB-E2245568743B}"/>
    <hyperlink ref="E58" r:id="rId108" display="https://kase.kz/ru/listing/issuers/MFMO" xr:uid="{A3C26BD4-15B5-4774-95A1-6E87D7892F36}"/>
    <hyperlink ref="B59" r:id="rId109" display="https://kase.kz/ru/investors/bonds/MFMOb27" xr:uid="{D970609E-C698-4884-BA64-79FE36E38532}"/>
    <hyperlink ref="E59" r:id="rId110" display="https://kase.kz/ru/listing/issuers/MFMO" xr:uid="{9FA900CB-E836-4461-AB12-BFF9FD004D4B}"/>
    <hyperlink ref="B60" r:id="rId111" display="https://kase.kz/ru/investors/bonds/MFMOb28" xr:uid="{C33B7138-A92B-4931-86CC-C681D6743EE2}"/>
    <hyperlink ref="E60" r:id="rId112" display="https://kase.kz/ru/listing/issuers/MFMO" xr:uid="{445EC4C0-0400-42DB-BCCA-F583CD687F55}"/>
    <hyperlink ref="B61" r:id="rId113" display="https://kase.kz/ru/investors/bonds/MFOKb16" xr:uid="{22A636BF-F443-4560-8492-7F6FA032DAF5}"/>
    <hyperlink ref="E61" r:id="rId114" display="https://kase.kz/ru/listing/issuers/MFOK" xr:uid="{52498EA5-A7D5-479B-993D-C05D810AAE2B}"/>
    <hyperlink ref="B62" r:id="rId115" display="https://kase.kz/ru/investors/bonds/MFOKb18" xr:uid="{3859A8E7-C486-4E2A-B57B-98E06FE9E8C8}"/>
    <hyperlink ref="E62" r:id="rId116" display="https://kase.kz/ru/listing/issuers/MFOK" xr:uid="{0E92B893-69D6-4D3A-8D5E-319D38697D44}"/>
    <hyperlink ref="B63" r:id="rId117" display="https://kase.kz/ru/investors/bonds/MFOKb19" xr:uid="{7F4B2E24-E3E9-4EF3-BA15-E5B9CC5F6955}"/>
    <hyperlink ref="E63" r:id="rId118" display="https://kase.kz/ru/listing/issuers/MFOK" xr:uid="{98D98A5B-1543-433F-8B09-03BDF2492B10}"/>
    <hyperlink ref="B64" r:id="rId119" display="https://kase.kz/ru/investors/bonds/MFOKb20" xr:uid="{4D85B90A-479F-4EED-9C0F-70D7480E1FF9}"/>
    <hyperlink ref="E64" r:id="rId120" display="https://kase.kz/ru/listing/issuers/MFOK" xr:uid="{A2AE448C-103C-40A9-AEEC-E925EA26D48A}"/>
    <hyperlink ref="B65" r:id="rId121" display="https://kase.kz/ru/investors/bonds/MFOKb21" xr:uid="{C58A5306-5DCA-4106-9F75-AEDA6E6F3378}"/>
    <hyperlink ref="E65" r:id="rId122" display="https://kase.kz/ru/listing/issuers/MFOK" xr:uid="{352942D0-0052-43F2-B2C8-E4EA1E211D08}"/>
    <hyperlink ref="B66" r:id="rId123" display="https://kase.kz/ru/investors/bonds/MFOKb22" xr:uid="{FA1DC777-4532-4B1C-AFF7-5B9426043960}"/>
    <hyperlink ref="E66" r:id="rId124" display="https://kase.kz/ru/listing/issuers/MFOK" xr:uid="{0C1DEAE8-153D-4C07-B25E-E4D5A92FF5E2}"/>
    <hyperlink ref="B67" r:id="rId125" display="https://kase.kz/ru/investors/bonds/MFOKb24" xr:uid="{4E076D9F-4861-4FE2-B09D-8BD06387E931}"/>
    <hyperlink ref="E67" r:id="rId126" display="https://kase.kz/ru/listing/issuers/MFOK" xr:uid="{D7DBE1B0-31A8-466D-911F-F2E5932F86F3}"/>
    <hyperlink ref="B68" r:id="rId127" display="https://kase.kz/ru/investors/bonds/MFOKb25" xr:uid="{FF21BA87-3758-4E86-B9D7-A2A1DF81AA75}"/>
    <hyperlink ref="E68" r:id="rId128" display="https://kase.kz/ru/listing/issuers/MFOK" xr:uid="{104370AB-22D3-4B83-9439-D4A5494464C4}"/>
    <hyperlink ref="B69" r:id="rId129" display="https://kase.kz/ru/investors/bonds/MFOKb26" xr:uid="{ED5AD78E-9F54-4006-873C-CF406F06DECD}"/>
    <hyperlink ref="E69" r:id="rId130" display="https://kase.kz/ru/listing/issuers/MFOK" xr:uid="{6D7F5529-0F00-4AB1-AF68-7745BCF8A63A}"/>
    <hyperlink ref="B70" r:id="rId131" display="https://kase.kz/ru/investors/bonds/MFRFb12" xr:uid="{BBBE2191-0439-4F27-B867-41355DED048A}"/>
    <hyperlink ref="E70" r:id="rId132" display="https://kase.kz/ru/listing/issuers/MFRF" xr:uid="{628130B5-E58B-47C8-B027-F8075B72FA03}"/>
    <hyperlink ref="B71" r:id="rId133" display="https://kase.kz/ru/investors/bonds/MFRFb13" xr:uid="{F66410F1-9CF2-4578-9D1B-F285131A9EAE}"/>
    <hyperlink ref="E71" r:id="rId134" display="https://kase.kz/ru/listing/issuers/MFRF" xr:uid="{1B87931B-4047-43BB-BB9A-58F75B2AA1CD}"/>
    <hyperlink ref="B72" r:id="rId135" display="https://kase.kz/ru/investors/bonds/MFRFb14" xr:uid="{EFD1CCCA-046C-436E-8364-27E2B7B9CA71}"/>
    <hyperlink ref="E72" r:id="rId136" display="https://kase.kz/ru/listing/issuers/MFRF" xr:uid="{64F9FC0A-653A-472F-BEE7-89989D05E5AF}"/>
    <hyperlink ref="B73" r:id="rId137" display="https://kase.kz/ru/investors/bonds/MFRFb16" xr:uid="{2822879E-F10F-4805-B64C-BA47D0839DE9}"/>
    <hyperlink ref="E73" r:id="rId138" display="https://kase.kz/ru/listing/issuers/MFRF" xr:uid="{0DFAFCCA-8C4A-4322-A65F-C4F467894D20}"/>
    <hyperlink ref="B74" r:id="rId139" display="https://kase.kz/ru/investors/bonds/MFRFb18" xr:uid="{376A2D65-B1E0-47E0-9C3D-3A738BDA3ACB}"/>
    <hyperlink ref="E74" r:id="rId140" display="https://kase.kz/ru/listing/issuers/MFRF" xr:uid="{E6A50EE1-433B-4F6D-AC5F-E06C086C589B}"/>
    <hyperlink ref="B75" r:id="rId141" display="https://kase.kz/ru/investors/bonds/MFRFb19" xr:uid="{15271064-CB5C-4758-98EA-D46A1965A04C}"/>
    <hyperlink ref="E75" r:id="rId142" display="https://kase.kz/ru/listing/issuers/MFRF" xr:uid="{C3A78E2D-301B-45E9-A418-E2E58CF28024}"/>
    <hyperlink ref="B76" r:id="rId143" display="https://kase.kz/ru/investors/bonds/MFRFb21" xr:uid="{90B42BC3-8462-4E5F-9CE4-FBFF3FAE6070}"/>
    <hyperlink ref="E76" r:id="rId144" display="https://kase.kz/ru/listing/issuers/MFRF" xr:uid="{9844A1A1-A2A6-4222-B67E-D900A7DAAF72}"/>
    <hyperlink ref="B77" r:id="rId145" display="https://kase.kz/ru/investors/bonds/MFSLb11" xr:uid="{08900F10-2A62-45A3-870E-0B1A89759E21}"/>
    <hyperlink ref="E77" r:id="rId146" display="https://kase.kz/ru/listing/issuers/MFSL" xr:uid="{83BE3C84-E362-47F3-B36B-65D19029435B}"/>
    <hyperlink ref="B78" r:id="rId147" display="https://kase.kz/ru/investors/gsecs/MKM012_0159" xr:uid="{7B681185-13B5-4E43-82F4-0C0644DBF15A}"/>
    <hyperlink ref="E78" r:id="rId148" display="https://kase.kz/ru/listing/issuers/MFRK" xr:uid="{5264283F-FB46-46D9-89AD-15D013C0B7C3}"/>
    <hyperlink ref="B79" r:id="rId149" display="https://kase.kz/ru/investors/gsecs/MKM012_0160" xr:uid="{066DE5BB-A43E-4DCD-B916-1B292951EF16}"/>
    <hyperlink ref="E79" r:id="rId150" display="https://kase.kz/ru/listing/issuers/MFRK" xr:uid="{18851E47-6754-4994-88EA-3D91969C8985}"/>
    <hyperlink ref="B80" r:id="rId151" display="https://kase.kz/ru/investors/gsecs/MKM012_0161" xr:uid="{D893B64C-57DE-463D-9947-0284ABE00AE6}"/>
    <hyperlink ref="E80" r:id="rId152" display="https://kase.kz/ru/listing/issuers/MFRK" xr:uid="{11DCB7C7-35D3-41AB-913C-6CFA54C70E3F}"/>
    <hyperlink ref="B81" r:id="rId153" display="https://kase.kz/ru/investors/gsecs/MOM048_0052" xr:uid="{CAC8ABB7-A501-4B37-AF6C-12E1A961515A}"/>
    <hyperlink ref="E81" r:id="rId154" display="https://kase.kz/ru/listing/issuers/MFRK" xr:uid="{13925994-1801-439E-9F81-0E952985864F}"/>
    <hyperlink ref="B82" r:id="rId155" display="https://kase.kz/ru/investors/gsecs/MOM048_0053" xr:uid="{A39A6D73-A0F2-41CC-868B-DA7A835BDE26}"/>
    <hyperlink ref="E82" r:id="rId156" display="https://kase.kz/ru/listing/issuers/MFRK" xr:uid="{30D80609-EC4D-42E7-BE0C-2DAA688A1B6A}"/>
    <hyperlink ref="B83" r:id="rId157" display="https://kase.kz/ru/investors/gsecs/MOM048_0054" xr:uid="{224F9C29-59CE-475D-A976-D0F4DE3C3901}"/>
    <hyperlink ref="E83" r:id="rId158" display="https://kase.kz/ru/listing/issuers/MFRK" xr:uid="{16A88D63-4ADD-4853-B4C8-EC7890B896DC}"/>
    <hyperlink ref="B84" r:id="rId159" display="https://kase.kz/ru/investors/gsecs/MOM048_0056" xr:uid="{E3EF9070-B7BC-4BFD-A383-FF1FA85B85BA}"/>
    <hyperlink ref="E84" r:id="rId160" display="https://kase.kz/ru/listing/issuers/MFRK" xr:uid="{312660CD-2146-4C3D-AC30-6EDB21A437B6}"/>
    <hyperlink ref="B85" r:id="rId161" display="https://kase.kz/ru/investors/gsecs/MOM060_0052" xr:uid="{4B426240-6AFA-414E-807D-045A75D2B2BA}"/>
    <hyperlink ref="E85" r:id="rId162" display="https://kase.kz/ru/listing/issuers/MFRK" xr:uid="{EB466528-B4FC-424D-B66B-222F2ADCF69D}"/>
    <hyperlink ref="B86" r:id="rId163" display="https://kase.kz/ru/investors/gsecs/MOM060_0054" xr:uid="{C511F728-98DF-42D8-837B-66683136C23C}"/>
    <hyperlink ref="E86" r:id="rId164" display="https://kase.kz/ru/listing/issuers/MFRK" xr:uid="{95C66E90-564D-4CA1-9C56-38E1D23D5736}"/>
    <hyperlink ref="B87" r:id="rId165" display="https://kase.kz/ru/investors/gsecs/MTC048_0001" xr:uid="{8771A0B5-3A06-4BE6-B881-B2D448DE7B46}"/>
    <hyperlink ref="E87" r:id="rId166" display="https://kase.kz/ru/listing/issuers/MFRK" xr:uid="{93BE2B2D-99D1-435D-9201-255892DED5DC}"/>
    <hyperlink ref="B88" r:id="rId167" display="https://kase.kz/ru/investors/gsecs/MTM048_0001" xr:uid="{CCADA599-C8E3-4DED-831B-67F9E684514A}"/>
    <hyperlink ref="E88" r:id="rId168" display="https://kase.kz/ru/listing/issuers/MFRK" xr:uid="{AF88C68A-47CE-4122-9797-9C63BE42D729}"/>
    <hyperlink ref="B89" r:id="rId169" display="https://kase.kz/ru/investors/gsecs/MTM060_0001" xr:uid="{06CA0D5C-9B87-4A1A-8616-2FF23D478EBC}"/>
    <hyperlink ref="E89" r:id="rId170" display="https://kase.kz/ru/listing/issuers/MFRK" xr:uid="{5DDCB001-4A65-4080-B4AC-BF1A90539026}"/>
    <hyperlink ref="B90" r:id="rId171" display="https://kase.kz/ru/investors/gsecs/MTM072_0001" xr:uid="{51DCB27E-4428-4C61-B33B-A9F8402C0F6B}"/>
    <hyperlink ref="E90" r:id="rId172" display="https://kase.kz/ru/listing/issuers/MFRK" xr:uid="{3F76922F-7968-4214-9529-714FB40F2ADF}"/>
    <hyperlink ref="B91" r:id="rId173" display="https://kase.kz/ru/investors/gsecs/MTM084_0001" xr:uid="{A9800D19-C1FB-49A2-9433-2E7D14CDA28B}"/>
    <hyperlink ref="E91" r:id="rId174" display="https://kase.kz/ru/listing/issuers/MFRK" xr:uid="{64A933C4-B61B-46BD-A97D-023704278F0C}"/>
    <hyperlink ref="B92" r:id="rId175" display="https://kase.kz/ru/investors/gsecs/MTM096_0001" xr:uid="{D9D3C6E4-8630-4BD5-91FD-C2C5AB0EAFDA}"/>
    <hyperlink ref="E92" r:id="rId176" display="https://kase.kz/ru/listing/issuers/MFRK" xr:uid="{8BFAEEAB-FA5D-40D4-8D48-B8E0641DB93B}"/>
    <hyperlink ref="B93" r:id="rId177" display="https://kase.kz/ru/investors/gsecs/MUJ144_0005" xr:uid="{DD9B5760-0BA5-44BE-B66E-BA174C130A3A}"/>
    <hyperlink ref="E93" r:id="rId178" display="https://kase.kz/ru/listing/issuers/MFRK" xr:uid="{586B8177-58B8-4E06-BB87-EE7EBBF6165D}"/>
    <hyperlink ref="B94" r:id="rId179" display="https://kase.kz/ru/investors/gsecs/MUJ156_0004" xr:uid="{4D61BC95-DB69-4D94-9D09-EFE093E0C203}"/>
    <hyperlink ref="E94" r:id="rId180" display="https://kase.kz/ru/listing/issuers/MFRK" xr:uid="{34908B28-0E57-4746-A380-6473B4F6B975}"/>
    <hyperlink ref="B95" r:id="rId181" display="https://kase.kz/ru/investors/gsecs/MUJ168_0004" xr:uid="{20491693-F177-4340-A097-32B1D4B7B6EB}"/>
    <hyperlink ref="E95" r:id="rId182" display="https://kase.kz/ru/listing/issuers/MFRK" xr:uid="{D777EBFA-89D1-4A70-B221-9CDBEBDE9AA6}"/>
    <hyperlink ref="B96" r:id="rId183" display="https://kase.kz/ru/investors/gsecs/MUJ168_0005" xr:uid="{E2830493-418B-462B-A9AA-85A56663E174}"/>
    <hyperlink ref="E96" r:id="rId184" display="https://kase.kz/ru/listing/issuers/MFRK" xr:uid="{075B68A2-AB25-4295-B453-032301962293}"/>
    <hyperlink ref="B97" r:id="rId185" display="https://kase.kz/ru/investors/gsecs/MUJ180_0007" xr:uid="{C3916236-B164-42B9-A762-CCC95AD1CC0D}"/>
    <hyperlink ref="E97" r:id="rId186" display="https://kase.kz/ru/listing/issuers/MFRK" xr:uid="{CE470CE8-1C24-46B5-8111-D74FE8C15BCB}"/>
    <hyperlink ref="B98" r:id="rId187" display="https://kase.kz/ru/investors/gsecs/MUJ180_0008" xr:uid="{DF46EEDC-9AB2-4A70-B249-16AED3A1B599}"/>
    <hyperlink ref="E98" r:id="rId188" display="https://kase.kz/ru/listing/issuers/MFRK" xr:uid="{644532BD-3FE2-45B6-A667-AAB94AE6B243}"/>
    <hyperlink ref="B99" r:id="rId189" display="https://kase.kz/ru/investors/gsecs/MUJ192_0002" xr:uid="{E8F86F97-2C30-487B-9586-376AC6D0799D}"/>
    <hyperlink ref="E99" r:id="rId190" display="https://kase.kz/ru/listing/issuers/MFRK" xr:uid="{FDD894EC-D66E-4D71-8510-9D6F68D08DD7}"/>
    <hyperlink ref="B100" r:id="rId191" display="https://kase.kz/ru/investors/gsecs/MUJ192_0003" xr:uid="{EAD3B0A0-F354-46BA-88ED-0ABB98CD2FED}"/>
    <hyperlink ref="E100" r:id="rId192" display="https://kase.kz/ru/listing/issuers/MFRK" xr:uid="{3F9633E9-6E6F-44A3-9850-9A9B12D8952F}"/>
    <hyperlink ref="B101" r:id="rId193" display="https://kase.kz/ru/investors/gsecs/MUJ192_0004" xr:uid="{59BD0C45-C2A2-4450-BE82-954128328C2E}"/>
    <hyperlink ref="E101" r:id="rId194" display="https://kase.kz/ru/listing/issuers/MFRK" xr:uid="{443CB40B-3B4F-44BC-8CE0-19C9A817156B}"/>
    <hyperlink ref="B102" r:id="rId195" display="https://kase.kz/ru/investors/gsecs/MUJ204_0001" xr:uid="{C83565AD-07FA-41E0-AF97-89131A5BC057}"/>
    <hyperlink ref="E102" r:id="rId196" display="https://kase.kz/ru/listing/issuers/MFRK" xr:uid="{F4239B1B-2BCE-4C8F-BE5A-79DCA0D4494F}"/>
    <hyperlink ref="B103" r:id="rId197" display="https://kase.kz/ru/investors/gsecs/MUJ204_0002" xr:uid="{3E4CBF1C-2378-4156-B688-22E1A23F502A}"/>
    <hyperlink ref="E103" r:id="rId198" display="https://kase.kz/ru/listing/issuers/MFRK" xr:uid="{0D05DEC5-7FE4-4094-99A5-BA7160E36DC8}"/>
    <hyperlink ref="B104" r:id="rId199" display="https://kase.kz/ru/investors/gsecs/MUJ204_0003" xr:uid="{3FE633D4-BDD4-47BB-9E31-040CC254EED8}"/>
    <hyperlink ref="E104" r:id="rId200" display="https://kase.kz/ru/listing/issuers/MFRK" xr:uid="{B7DC933F-CE63-4402-8100-C8DB16131416}"/>
    <hyperlink ref="B105" r:id="rId201" display="https://kase.kz/ru/investors/gsecs/MUJ204_0004" xr:uid="{307C8C4A-ABFC-4CE1-807D-B7CE3CC7342E}"/>
    <hyperlink ref="E105" r:id="rId202" display="https://kase.kz/ru/listing/issuers/MFRK" xr:uid="{FFB54C33-6B9B-4844-8803-3A98D4B51F45}"/>
    <hyperlink ref="B106" r:id="rId203" display="https://kase.kz/ru/investors/gsecs/MUJ204_0005" xr:uid="{944DD44E-120A-45F9-9E71-C83CEE30A6B9}"/>
    <hyperlink ref="E106" r:id="rId204" display="https://kase.kz/ru/listing/issuers/MFRK" xr:uid="{09D25754-5D51-418C-8E93-A5C207E46FBA}"/>
    <hyperlink ref="B107" r:id="rId205" display="https://kase.kz/ru/investors/gsecs/MUJ204_0006" xr:uid="{D25D4939-5517-4C65-BB02-2909497434C2}"/>
    <hyperlink ref="E107" r:id="rId206" display="https://kase.kz/ru/listing/issuers/MFRK" xr:uid="{DF4CA8B3-1CFD-46AB-A1D6-DE451E80E4D7}"/>
    <hyperlink ref="B108" r:id="rId207" display="https://kase.kz/ru/investors/gsecs/MUJ216_0001" xr:uid="{7F743533-34EC-4735-820B-C2693BD5C4A8}"/>
    <hyperlink ref="E108" r:id="rId208" display="https://kase.kz/ru/listing/issuers/MFRK" xr:uid="{7D5BBDE8-4047-4724-9243-52BA9BF339DC}"/>
    <hyperlink ref="B109" r:id="rId209" display="https://kase.kz/ru/investors/gsecs/MUJ216_0002" xr:uid="{3851D822-1235-4135-B5F9-9028669A523C}"/>
    <hyperlink ref="E109" r:id="rId210" display="https://kase.kz/ru/listing/issuers/MFRK" xr:uid="{22F04CE7-A3D6-414C-B94A-F290FF618759}"/>
    <hyperlink ref="B110" r:id="rId211" display="https://kase.kz/ru/investors/gsecs/MUJ216_0003" xr:uid="{30758D57-74EA-4F50-AF37-84EE44CA0FF1}"/>
    <hyperlink ref="E110" r:id="rId212" display="https://kase.kz/ru/listing/issuers/MFRK" xr:uid="{4D1A8A0A-DD9E-4BF5-BB36-7A6AEF2182BF}"/>
    <hyperlink ref="B111" r:id="rId213" display="https://kase.kz/ru/investors/gsecs/MUJ216_0004" xr:uid="{DE1CE339-CC33-443D-A2C3-92DF76599AC9}"/>
    <hyperlink ref="E111" r:id="rId214" display="https://kase.kz/ru/listing/issuers/MFRK" xr:uid="{19FFFBC9-8228-4E1F-B56B-B71E1A5E8ED2}"/>
    <hyperlink ref="B112" r:id="rId215" display="https://kase.kz/ru/investors/gsecs/MUJ216_0005" xr:uid="{7A8637D0-2431-426F-A7CA-624850A740A4}"/>
    <hyperlink ref="E112" r:id="rId216" display="https://kase.kz/ru/listing/issuers/MFRK" xr:uid="{7871D961-8F7F-4CEB-82A3-45786C6A61BF}"/>
    <hyperlink ref="B113" r:id="rId217" display="https://kase.kz/ru/investors/gsecs/MUJ228_0001" xr:uid="{70516698-F50A-42BB-8527-3144E96EA618}"/>
    <hyperlink ref="E113" r:id="rId218" display="https://kase.kz/ru/listing/issuers/MFRK" xr:uid="{B714F1F3-33B5-49B4-9B80-925D51BF5421}"/>
    <hyperlink ref="B114" r:id="rId219" display="https://kase.kz/ru/investors/gsecs/MUJ228_0002" xr:uid="{DAA33613-4EC6-4D6B-B0E4-9FF4E86C4A37}"/>
    <hyperlink ref="E114" r:id="rId220" display="https://kase.kz/ru/listing/issuers/MFRK" xr:uid="{D5056D0A-EB07-4018-BB91-20968672BA23}"/>
    <hyperlink ref="B115" r:id="rId221" display="https://kase.kz/ru/investors/gsecs/MUJ228_0003" xr:uid="{A28B5A8C-317D-4E23-B206-A75DF6802923}"/>
    <hyperlink ref="E115" r:id="rId222" display="https://kase.kz/ru/listing/issuers/MFRK" xr:uid="{C070CB5C-1309-4CC9-9B4D-668595FC6D10}"/>
    <hyperlink ref="B116" r:id="rId223" display="https://kase.kz/ru/investors/gsecs/MUJ228_0004" xr:uid="{CF35603E-1C0D-4A1C-8750-95F44978E82A}"/>
    <hyperlink ref="E116" r:id="rId224" display="https://kase.kz/ru/listing/issuers/MFRK" xr:uid="{274E3E8C-0862-44F0-BBB3-E312538C92F9}"/>
    <hyperlink ref="B117" r:id="rId225" display="https://kase.kz/ru/investors/gsecs/MUJ228_0005" xr:uid="{5B09EF78-5B2C-44BC-B079-EB9FA37CDFBB}"/>
    <hyperlink ref="E117" r:id="rId226" display="https://kase.kz/ru/listing/issuers/MFRK" xr:uid="{DFAB6499-55C9-4238-ABD7-7BA59F1883FF}"/>
    <hyperlink ref="B118" r:id="rId227" display="https://kase.kz/ru/investors/gsecs/MUJ228_0006" xr:uid="{4380204B-197D-42D4-A739-278E4281CC9B}"/>
    <hyperlink ref="E118" r:id="rId228" display="https://kase.kz/ru/listing/issuers/MFRK" xr:uid="{21D049B3-501D-4F7D-A347-DDCF037A2EC9}"/>
    <hyperlink ref="B119" r:id="rId229" display="https://kase.kz/ru/investors/gsecs/MUJ240_0001" xr:uid="{DBF689CF-C7EE-49CB-B6BC-97F90B3CF14F}"/>
    <hyperlink ref="E119" r:id="rId230" display="https://kase.kz/ru/listing/issuers/MFRK" xr:uid="{CAB5F52E-439F-4C2D-B8F0-554B7FC6E3E9}"/>
    <hyperlink ref="B120" r:id="rId231" display="https://kase.kz/ru/investors/gsecs/MUM072_0013" xr:uid="{F2022E12-3027-4A67-A9A9-6DC1E40F5C4C}"/>
    <hyperlink ref="E120" r:id="rId232" display="https://kase.kz/ru/listing/issuers/MFRK" xr:uid="{CF1A44A6-880D-4B44-8426-EEC27FFACADD}"/>
    <hyperlink ref="B121" r:id="rId233" display="https://kase.kz/ru/investors/gsecs/MUM072_0014" xr:uid="{E9912B3F-D618-4CFE-BDEC-E49A66A01150}"/>
    <hyperlink ref="E121" r:id="rId234" display="https://kase.kz/ru/listing/issuers/MFRK" xr:uid="{52A337F6-E69A-4F11-8596-B483D05006B5}"/>
    <hyperlink ref="B122" r:id="rId235" display="https://kase.kz/ru/investors/gsecs/MUM072_0015" xr:uid="{1469673C-6A17-4A42-BFB5-7FCDF3B5A9D8}"/>
    <hyperlink ref="E122" r:id="rId236" display="https://kase.kz/ru/listing/issuers/MFRK" xr:uid="{25411047-C694-4030-8371-5D246E040EC9}"/>
    <hyperlink ref="B123" r:id="rId237" display="https://kase.kz/ru/investors/gsecs/MUM084_0018" xr:uid="{9CE20185-2EDC-4593-99EB-6F3D28CD1A49}"/>
    <hyperlink ref="E123" r:id="rId238" display="https://kase.kz/ru/listing/issuers/MFRK" xr:uid="{39ED3978-8D5F-492B-8DA6-6790AA5219EB}"/>
    <hyperlink ref="B124" r:id="rId239" display="https://kase.kz/ru/investors/gsecs/MUM084_0019" xr:uid="{EE391E01-AFFC-463D-9790-6C4D4BE8EE65}"/>
    <hyperlink ref="E124" r:id="rId240" display="https://kase.kz/ru/listing/issuers/MFRK" xr:uid="{479643F1-6713-4E23-8A38-614CEEF36D09}"/>
    <hyperlink ref="B125" r:id="rId241" display="https://kase.kz/ru/investors/gsecs/MUM084_0020" xr:uid="{F5CFD118-F32B-4A8A-9AA4-17D406805EEE}"/>
    <hyperlink ref="E125" r:id="rId242" display="https://kase.kz/ru/listing/issuers/MFRK" xr:uid="{12057052-F3A2-4E50-A4CC-2F1141511D24}"/>
    <hyperlink ref="B126" r:id="rId243" display="https://kase.kz/ru/investors/gsecs/MUM096_0011" xr:uid="{31F45E4C-A716-441F-ABB2-9002D423184E}"/>
    <hyperlink ref="E126" r:id="rId244" display="https://kase.kz/ru/listing/issuers/MFRK" xr:uid="{D05D6594-66D3-43BE-9126-AC371D315B5B}"/>
    <hyperlink ref="B127" r:id="rId245" display="https://kase.kz/ru/investors/gsecs/MUM096_0012" xr:uid="{2DC4023F-D290-455E-91BA-3806599090F4}"/>
    <hyperlink ref="E127" r:id="rId246" display="https://kase.kz/ru/listing/issuers/MFRK" xr:uid="{0213400D-BF95-4574-AA66-4DB485E09774}"/>
    <hyperlink ref="B128" r:id="rId247" display="https://kase.kz/ru/investors/gsecs/MUM096_0013" xr:uid="{90B8ED0C-855A-4AB8-9720-4386A5542EFC}"/>
    <hyperlink ref="E128" r:id="rId248" display="https://kase.kz/ru/listing/issuers/MFRK" xr:uid="{D3CA0148-E10E-4639-983B-C1E6BCC0EBB4}"/>
    <hyperlink ref="B129" r:id="rId249" display="https://kase.kz/ru/investors/gsecs/MUM096_0014" xr:uid="{6B3AF6B1-E77D-4715-B727-E25E71858676}"/>
    <hyperlink ref="E129" r:id="rId250" display="https://kase.kz/ru/listing/issuers/MFRK" xr:uid="{39C6B6C8-6136-414E-A120-8ED0985E7777}"/>
    <hyperlink ref="B130" r:id="rId251" display="https://kase.kz/ru/investors/gsecs/MUM096_0015" xr:uid="{CE161F7C-3811-4043-9861-20CD056D7CC3}"/>
    <hyperlink ref="E130" r:id="rId252" display="https://kase.kz/ru/listing/issuers/MFRK" xr:uid="{CF2C68A0-F2D8-403C-B945-828FEA2E6DF5}"/>
    <hyperlink ref="B131" r:id="rId253" display="https://kase.kz/ru/investors/gsecs/MUM108_0012" xr:uid="{B470B065-7D5F-4146-B11F-78D3FAFABCFE}"/>
    <hyperlink ref="E131" r:id="rId254" display="https://kase.kz/ru/listing/issuers/MFRK" xr:uid="{E1FB7E1D-C6FC-4449-A481-8B58D0611A9C}"/>
    <hyperlink ref="B132" r:id="rId255" display="https://kase.kz/ru/investors/gsecs/MUM108_0013" xr:uid="{1FD14F00-8A8F-4BA6-A4B6-1ED112C35615}"/>
    <hyperlink ref="E132" r:id="rId256" display="https://kase.kz/ru/listing/issuers/MFRK" xr:uid="{0190C592-5DA3-4C46-908E-6563A7F2FE60}"/>
    <hyperlink ref="B133" r:id="rId257" display="https://kase.kz/ru/investors/gsecs/MUM108_0014" xr:uid="{17EF96E6-6229-42DA-85A0-126DF1D77D3E}"/>
    <hyperlink ref="E133" r:id="rId258" display="https://kase.kz/ru/listing/issuers/MFRK" xr:uid="{CC268EBE-20B4-47CE-A430-70F5BA850E9A}"/>
    <hyperlink ref="B134" r:id="rId259" display="https://kase.kz/ru/investors/gsecs/MUM108_0015" xr:uid="{C09F2096-4CFD-41C0-976A-17169FCF7954}"/>
    <hyperlink ref="E134" r:id="rId260" display="https://kase.kz/ru/listing/issuers/MFRK" xr:uid="{3B9AC742-4F11-4D3E-8D81-E3C94D3DB6F0}"/>
    <hyperlink ref="B135" r:id="rId261" display="https://kase.kz/ru/investors/gsecs/MUM120_0017" xr:uid="{61750CAF-9540-4FF8-BB73-826CC1F19D97}"/>
    <hyperlink ref="E135" r:id="rId262" display="https://kase.kz/ru/listing/issuers/MFRK" xr:uid="{FF96671D-8D6F-415B-96FE-1FC6E9747A05}"/>
    <hyperlink ref="B136" r:id="rId263" display="https://kase.kz/ru/investors/gsecs/MUM120_0018" xr:uid="{B3E64E2D-9D9F-41B0-8D34-15AC467523AB}"/>
    <hyperlink ref="E136" r:id="rId264" display="https://kase.kz/ru/listing/issuers/MFRK" xr:uid="{B8CF8C90-7A44-4EB5-925B-61960AEA8DD0}"/>
    <hyperlink ref="B137" r:id="rId265" display="https://kase.kz/ru/investors/gsecs/MUM120_0019" xr:uid="{A4ED69BE-F2DE-4BF4-8A3B-BB7F2D443F82}"/>
    <hyperlink ref="E137" r:id="rId266" display="https://kase.kz/ru/listing/issuers/MFRK" xr:uid="{861EAE03-69E2-4667-B9AF-28B36EA7C19A}"/>
    <hyperlink ref="B138" r:id="rId267" display="https://kase.kz/ru/investors/gsecs/MUM120_0020" xr:uid="{6B61B2E5-E716-4322-A99A-7A8CAEA93A74}"/>
    <hyperlink ref="E138" r:id="rId268" display="https://kase.kz/ru/listing/issuers/MFRK" xr:uid="{3269EA07-1E32-4F91-A519-1D8436F3B574}"/>
    <hyperlink ref="B139" r:id="rId269" display="https://kase.kz/ru/investors/gsecs/MUM132_0007" xr:uid="{20CD84A7-2AF6-4453-86E0-2DF31E4961B5}"/>
    <hyperlink ref="E139" r:id="rId270" display="https://kase.kz/ru/listing/issuers/MFRK" xr:uid="{2F5ECF6C-3826-4007-9597-C835C0B94EBA}"/>
    <hyperlink ref="B140" r:id="rId271" display="https://kase.kz/ru/investors/gsecs/MUM144_0009" xr:uid="{93E4A9CD-3B86-430D-8ECF-400A4A8EA0D7}"/>
    <hyperlink ref="E140" r:id="rId272" display="https://kase.kz/ru/listing/issuers/MFRK" xr:uid="{84FB9520-A30F-4381-9B54-1FB6E04B9475}"/>
    <hyperlink ref="B141" r:id="rId273" display="https://kase.kz/ru/investors/gsecs/MUM156_0005" xr:uid="{5CF738FF-066D-4553-9803-B9F3955EC01E}"/>
    <hyperlink ref="E141" r:id="rId274" display="https://kase.kz/ru/listing/issuers/MFRK" xr:uid="{AEBDB29D-E549-402E-AE40-71F9A24029CC}"/>
    <hyperlink ref="B142" r:id="rId275" display="https://kase.kz/ru/investors/gsecs/MUM156_0006" xr:uid="{4CD6BE84-EAA9-4A11-980F-0BCCCDD2C3A5}"/>
    <hyperlink ref="E142" r:id="rId276" display="https://kase.kz/ru/listing/issuers/MFRK" xr:uid="{B792EB1E-E7C4-4E43-BC7A-E89676459646}"/>
    <hyperlink ref="B143" r:id="rId277" display="https://kase.kz/ru/investors/gsecs/MUM156_0007" xr:uid="{730473BE-88CE-4DB5-8BC5-11C342308180}"/>
    <hyperlink ref="E143" r:id="rId278" display="https://kase.kz/ru/listing/issuers/MFRK" xr:uid="{96EED886-B8E3-4311-96A2-A34B29A9B98A}"/>
    <hyperlink ref="B144" r:id="rId279" display="https://kase.kz/ru/investors/gsecs/MUM156_0008" xr:uid="{4E0BE395-E870-476A-80AC-3D56567BD192}"/>
    <hyperlink ref="E144" r:id="rId280" display="https://kase.kz/ru/listing/issuers/MFRK" xr:uid="{ED48B065-6EFA-4411-9533-47B1D35CF2E0}"/>
    <hyperlink ref="B145" r:id="rId281" display="https://kase.kz/ru/investors/gsecs/MUM168_0001" xr:uid="{27066FE5-AEDF-4C8C-A64A-510B2384ECD0}"/>
    <hyperlink ref="E145" r:id="rId282" display="https://kase.kz/ru/listing/issuers/MFRK" xr:uid="{5CB9DD0A-329E-475E-B056-1E5C3A809AA5}"/>
    <hyperlink ref="B146" r:id="rId283" display="https://kase.kz/ru/investors/gsecs/MUM168_0002" xr:uid="{90EA8662-9313-464E-953D-572092D01191}"/>
    <hyperlink ref="E146" r:id="rId284" display="https://kase.kz/ru/listing/issuers/MFRK" xr:uid="{B9648476-04D1-459D-8636-DB712017413F}"/>
    <hyperlink ref="B147" r:id="rId285" display="https://kase.kz/ru/investors/gsecs/MUM168_0003" xr:uid="{91DAB72B-D324-40EF-9712-32128D0321F1}"/>
    <hyperlink ref="E147" r:id="rId286" display="https://kase.kz/ru/listing/issuers/MFRK" xr:uid="{20DD581C-D82E-4CFD-B227-4FBF741E3E29}"/>
    <hyperlink ref="B148" r:id="rId287" display="https://kase.kz/ru/investors/gsecs/MUM168_0005" xr:uid="{79782719-DC7D-4085-8BCA-EDE3039A7705}"/>
    <hyperlink ref="E148" r:id="rId288" display="https://kase.kz/ru/listing/issuers/MFRK" xr:uid="{C6089B5E-6F72-40C1-B1AC-A8892B9EE062}"/>
    <hyperlink ref="B149" r:id="rId289" display="https://kase.kz/ru/investors/gsecs/MUM180_0003" xr:uid="{9D2CEDF1-5038-4A17-9699-395CC35574BD}"/>
    <hyperlink ref="E149" r:id="rId290" display="https://kase.kz/ru/listing/issuers/MFRK" xr:uid="{4E0DE664-66A0-4F6D-9856-0A2346719D25}"/>
    <hyperlink ref="B150" r:id="rId291" display="https://kase.kz/ru/investors/gsecs/MUM180_0004" xr:uid="{55CFD0DE-E907-4E88-A350-0608F29333AA}"/>
    <hyperlink ref="E150" r:id="rId292" display="https://kase.kz/ru/listing/issuers/MFRK" xr:uid="{BABCAF36-4123-4DCF-99BC-CFE3C475926F}"/>
    <hyperlink ref="B151" r:id="rId293" display="https://kase.kz/ru/investors/gsecs/MUM180_0005" xr:uid="{8B61EF7C-02C6-4B61-849A-7EFF078F8EED}"/>
    <hyperlink ref="E151" r:id="rId294" display="https://kase.kz/ru/listing/issuers/MFRK" xr:uid="{04513599-834F-4253-9002-23B3418CDF9D}"/>
    <hyperlink ref="B152" r:id="rId295" display="https://kase.kz/ru/investors/gsecs/MUM180_0006" xr:uid="{AA93D72B-03AC-4406-8A79-8932E14CFAB3}"/>
    <hyperlink ref="E152" r:id="rId296" display="https://kase.kz/ru/listing/issuers/MFRK" xr:uid="{E2D70D6C-0281-4C7C-A7A2-51AA7DF1DE03}"/>
    <hyperlink ref="B153" r:id="rId297" display="https://kase.kz/ru/investors/gsecs/MUM180_0007" xr:uid="{066D152B-AC14-432E-BF44-52CADB366895}"/>
    <hyperlink ref="E153" r:id="rId298" display="https://kase.kz/ru/listing/issuers/MFRK" xr:uid="{10DBADAF-5B40-45B9-B07F-13345988A2E1}"/>
    <hyperlink ref="B154" r:id="rId299" display="https://kase.kz/ru/investors/gsecs/MUM180_0008" xr:uid="{DF03391A-8ACA-4602-8FA7-7B6B5AFD2D6B}"/>
    <hyperlink ref="E154" r:id="rId300" display="https://kase.kz/ru/listing/issuers/MFRK" xr:uid="{315C73D7-FAAA-44A4-9547-179AFE373A17}"/>
    <hyperlink ref="B155" r:id="rId301" display="https://kase.kz/ru/investors/gsecs/MUM180_0009" xr:uid="{0A1B73D1-ADDC-4BBE-B0DB-D329E23FE155}"/>
    <hyperlink ref="E155" r:id="rId302" display="https://kase.kz/ru/listing/issuers/MFRK" xr:uid="{CEFF3194-680D-44C9-B7B1-5BB866B07A66}"/>
    <hyperlink ref="B156" r:id="rId303" display="https://kase.kz/ru/investors/gsecs/MUM180_0011" xr:uid="{8876E970-45DB-4670-8FED-F4534017A76F}"/>
    <hyperlink ref="E156" r:id="rId304" display="https://kase.kz/ru/listing/issuers/MFRK" xr:uid="{8F829322-3DAC-4942-A767-CF295EF129EC}"/>
    <hyperlink ref="B157" r:id="rId305" display="https://kase.kz/ru/investors/gsecs/MUM180_0012" xr:uid="{33AE0740-0DF0-45C7-AD3D-59663039A5D9}"/>
    <hyperlink ref="E157" r:id="rId306" display="https://kase.kz/ru/listing/issuers/MFRK" xr:uid="{FB18B834-8FC1-47A8-A74D-A095C2F91305}"/>
    <hyperlink ref="B158" r:id="rId307" display="https://kase.kz/ru/investors/gsecs/MUM180_0013" xr:uid="{C2E34553-52C2-45E6-8558-02DF9F2418B8}"/>
    <hyperlink ref="E158" r:id="rId308" display="https://kase.kz/ru/listing/issuers/MFRK" xr:uid="{FCD1317E-A434-4B79-A641-D07C6428C48C}"/>
    <hyperlink ref="B159" r:id="rId309" display="https://kase.kz/ru/investors/gsecs/MUM180_0014" xr:uid="{1AD35D4C-25FF-4BB2-A4B5-DCC0AB86DBF9}"/>
    <hyperlink ref="E159" r:id="rId310" display="https://kase.kz/ru/listing/issuers/MFRK" xr:uid="{EAE1E55D-79A5-40C6-90C7-E9F069CCD67E}"/>
    <hyperlink ref="B160" r:id="rId311" display="https://kase.kz/ru/investors/gsecs/MUM180_0015" xr:uid="{A07E9B60-52EF-4ED6-B414-5B9BEA381CA4}"/>
    <hyperlink ref="E160" r:id="rId312" display="https://kase.kz/ru/listing/issuers/MFRK" xr:uid="{13651B79-2FBD-495D-8CB9-7B981CF0AE3F}"/>
    <hyperlink ref="B161" r:id="rId313" display="https://kase.kz/ru/investors/gsecs/MUM180_0016" xr:uid="{9CDAB43A-FBB1-48CF-AF47-CC90AE0E2A36}"/>
    <hyperlink ref="E161" r:id="rId314" display="https://kase.kz/ru/listing/issuers/MFRK" xr:uid="{FD3B2CE0-F9E6-46C1-A042-C933DBD67775}"/>
    <hyperlink ref="B162" r:id="rId315" display="https://kase.kz/ru/investors/gsecs/MUM192_0001" xr:uid="{765F9DB3-B4DE-43EB-9C29-3C27F2C53454}"/>
    <hyperlink ref="E162" r:id="rId316" display="https://kase.kz/ru/listing/issuers/MFRK" xr:uid="{1F5F6895-8428-4BD5-978F-44AA48528BC4}"/>
    <hyperlink ref="B163" r:id="rId317" display="https://kase.kz/ru/investors/gsecs/MUM192_0002" xr:uid="{319D0863-ACBF-49B3-9D19-72140174CF7A}"/>
    <hyperlink ref="E163" r:id="rId318" display="https://kase.kz/ru/listing/issuers/MFRK" xr:uid="{1AE5D805-53D6-4A99-B66A-0036EE906BD6}"/>
    <hyperlink ref="B164" r:id="rId319" display="https://kase.kz/ru/investors/gsecs/MUM192_0003" xr:uid="{8929ACF0-A4AD-4274-BD98-DE0384C370C9}"/>
    <hyperlink ref="E164" r:id="rId320" display="https://kase.kz/ru/listing/issuers/MFRK" xr:uid="{ED2D1C40-54D4-4A46-925C-26FEC9D87CE5}"/>
    <hyperlink ref="B165" r:id="rId321" display="https://kase.kz/ru/investors/gsecs/MUM216_0001" xr:uid="{F0FBF22D-6150-4BD8-A687-AAFDC7452951}"/>
    <hyperlink ref="E165" r:id="rId322" display="https://kase.kz/ru/listing/issuers/MFRK" xr:uid="{90AA680D-8F18-4CFB-ABC8-028084FED5E3}"/>
    <hyperlink ref="B166" r:id="rId323" display="https://kase.kz/ru/investors/gsecs/MUM216_0002" xr:uid="{CBA842BF-73CE-4BD4-990C-58A1D9575F3B}"/>
    <hyperlink ref="E166" r:id="rId324" display="https://kase.kz/ru/listing/issuers/MFRK" xr:uid="{5EC82BC6-9F79-4C10-9F39-9D0BB88A7FCB}"/>
    <hyperlink ref="B167" r:id="rId325" display="https://kase.kz/ru/investors/gsecs/MUM240_0001" xr:uid="{32842EA5-BBBF-496A-97AA-A34BFA9EF29A}"/>
    <hyperlink ref="E167" r:id="rId326" display="https://kase.kz/ru/listing/issuers/MFRK" xr:uid="{648CE66C-A88F-4ECB-9F45-03FEDB0F256E}"/>
    <hyperlink ref="B168" r:id="rId327" display="https://kase.kz/ru/investors/gsecs/MUM240_0002" xr:uid="{7491BC19-7C56-4B77-949A-81012C17FAD7}"/>
    <hyperlink ref="E168" r:id="rId328" display="https://kase.kz/ru/listing/issuers/MFRK" xr:uid="{43A651E6-AAD3-488B-BB84-B2E8793FA47C}"/>
    <hyperlink ref="B169" r:id="rId329" display="https://kase.kz/ru/investors/gsecs/MUM240_0004" xr:uid="{A278DDF8-2127-4475-86C0-C85296DEBBF6}"/>
    <hyperlink ref="E169" r:id="rId330" display="https://kase.kz/ru/listing/issuers/MFRK" xr:uid="{6DDC9B26-17B9-4F2D-8EA4-CAD95E818E1B}"/>
    <hyperlink ref="B170" r:id="rId331" display="https://kase.kz/ru/investors/gsecs/MUM300_0001" xr:uid="{4860FFAC-01B3-4331-BB8F-80CA41560B34}"/>
    <hyperlink ref="E170" r:id="rId332" display="https://kase.kz/ru/listing/issuers/MFRK" xr:uid="{FBA82A6A-4E58-4289-8346-4A65F18831B1}"/>
    <hyperlink ref="B171" r:id="rId333" display="https://kase.kz/ru/investors/gsecs/MUM300_0002" xr:uid="{DBCE2E3B-E4A1-4A38-8233-CE13B64C94B4}"/>
    <hyperlink ref="E171" r:id="rId334" display="https://kase.kz/ru/listing/issuers/MFRK" xr:uid="{4566218A-4321-4B96-BB0A-AF01009DCA76}"/>
    <hyperlink ref="B172" r:id="rId335" display="https://kase.kz/ru/investors/gsecs/MUM300_0003" xr:uid="{FF436731-4945-406C-BDD5-16FFB714F82C}"/>
    <hyperlink ref="E172" r:id="rId336" display="https://kase.kz/ru/listing/issuers/MFRK" xr:uid="{84380009-0197-4FFA-8E95-2EF189EDEEA6}"/>
    <hyperlink ref="B173" r:id="rId337" display="https://kase.kz/ru/investors/gsecs/MUM360_0001" xr:uid="{FB3D34EA-5AA4-4FA0-AC8F-9E6FEA2E5567}"/>
    <hyperlink ref="E173" r:id="rId338" display="https://kase.kz/ru/listing/issuers/MFRK" xr:uid="{39A40B95-1AE9-400E-942A-952E7F1AA4F0}"/>
    <hyperlink ref="B174" r:id="rId339" display="https://kase.kz/ru/investors/gsecs/MUX072_0003" xr:uid="{A11624CC-E92F-4908-8324-F9073B2EC59D}"/>
    <hyperlink ref="E174" r:id="rId340" display="https://kase.kz/ru/listing/issuers/MFRK" xr:uid="{B12ACC61-384B-4804-83D9-E4BCA323FDC3}"/>
    <hyperlink ref="B175" r:id="rId341" display="https://kase.kz/ru/investors/bonds/NCOMb3" xr:uid="{13507F53-586B-4F3E-9A66-645E49FE8A19}"/>
    <hyperlink ref="E175" r:id="rId342" display="https://kase.kz/ru/listing/issuers/NCOM" xr:uid="{50A4B3BF-831A-4210-B66B-C8387A4A3AFC}"/>
    <hyperlink ref="B176" r:id="rId343" display="https://kase.kz/ru/investors/bonds/NCOMb6" xr:uid="{A25F7418-20B5-475E-BCC9-98300443B75F}"/>
    <hyperlink ref="E176" r:id="rId344" display="https://kase.kz/ru/listing/issuers/NCOM" xr:uid="{03FE275F-5040-4BBD-95FE-8B4246E1517D}"/>
    <hyperlink ref="B177" r:id="rId345" display="https://kase.kz/ru/investors/gsecs/NTK028_2866" xr:uid="{B3CC28D6-7B74-4FB0-BA7C-81AA7AA06E1F}"/>
    <hyperlink ref="E177" r:id="rId346" display="https://kase.kz/ru/listing/issuers/NBRK" xr:uid="{570477A0-A825-43CA-9EDE-3DBFF19C3C47}"/>
    <hyperlink ref="B178" r:id="rId347" display="https://kase.kz/ru/investors/bonds/PRKRe1" xr:uid="{3A310943-EF3B-4545-9D03-4F95B48491D0}"/>
    <hyperlink ref="E178" r:id="rId348" display="https://kase.kz/ru/listing/issuers/PRKR" xr:uid="{5A3D188F-FB5E-4A30-8E2A-BAD49E982BDF}"/>
    <hyperlink ref="B179" r:id="rId349" display="https://kase.kz/ru/investors/bonds/SKKZe1" xr:uid="{71B2DFD5-EDF5-4CA5-AF28-2D713AB0AD68}"/>
    <hyperlink ref="E179" r:id="rId350" display="https://kase.kz/ru/listing/issuers/SKKZ" xr:uid="{B90EC182-B593-470D-84B6-285E77140A2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45890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6957.42</v>
      </c>
      <c r="G5" s="116">
        <v>6957.42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122613.75750000001</v>
      </c>
      <c r="G6" s="120">
        <v>122613.75750000001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101.1451</v>
      </c>
      <c r="H7" s="116">
        <v>4.2300000000000004</v>
      </c>
      <c r="I7" s="113">
        <v>383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100.08069999999999</v>
      </c>
      <c r="H8" s="116">
        <v>0.35</v>
      </c>
      <c r="I8" s="113">
        <v>277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100.0181</v>
      </c>
      <c r="H9" s="118">
        <v>0.02</v>
      </c>
      <c r="I9" s="121">
        <v>3099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100.94889999999999</v>
      </c>
      <c r="H10" s="118">
        <v>6.08</v>
      </c>
      <c r="I10" s="121">
        <v>1714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105.7983</v>
      </c>
      <c r="H11" s="118">
        <v>7.08</v>
      </c>
      <c r="I11" s="121">
        <v>2196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100.1186</v>
      </c>
      <c r="H12" s="118">
        <v>6.09</v>
      </c>
      <c r="I12" s="121">
        <v>2123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105.0664</v>
      </c>
      <c r="H13" s="118">
        <v>6.08</v>
      </c>
      <c r="I13" s="121">
        <v>2551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105.0664</v>
      </c>
      <c r="H14" s="118">
        <v>6.08</v>
      </c>
      <c r="I14" s="121">
        <v>2551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71598.960000000006</v>
      </c>
      <c r="G15" s="116">
        <v>71598.960000000006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97.672550550350067</v>
      </c>
      <c r="G16" s="116">
        <v>99.839250550350059</v>
      </c>
      <c r="H16" s="116">
        <v>21</v>
      </c>
      <c r="I16" s="113">
        <v>680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61609.785000000003</v>
      </c>
      <c r="G19" s="116">
        <v>61609.785000000003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96.582999999999998</v>
      </c>
      <c r="G20" s="120">
        <v>97.668099999999995</v>
      </c>
      <c r="H20" s="118">
        <v>3.94</v>
      </c>
      <c r="I20" s="121">
        <v>1675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94.399747996542132</v>
      </c>
      <c r="G21" s="120">
        <v>95.378947996542138</v>
      </c>
      <c r="H21" s="118">
        <v>3.99</v>
      </c>
      <c r="I21" s="121">
        <v>1479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95.055180268311091</v>
      </c>
      <c r="G22" s="120">
        <v>97.738480268311093</v>
      </c>
      <c r="H22" s="118">
        <v>18.62</v>
      </c>
      <c r="I22" s="121">
        <v>276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91.972052969613728</v>
      </c>
      <c r="G23" s="120">
        <v>95.883852969613727</v>
      </c>
      <c r="H23" s="118">
        <v>18.88</v>
      </c>
      <c r="I23" s="121">
        <v>409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74.620993366233336</v>
      </c>
      <c r="G24" s="120">
        <v>79.846693366233325</v>
      </c>
      <c r="H24" s="118">
        <v>18.78</v>
      </c>
      <c r="I24" s="121">
        <v>1805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86.433115488490117</v>
      </c>
      <c r="G25" s="120">
        <v>89.391415488490125</v>
      </c>
      <c r="H25" s="118">
        <v>18.73</v>
      </c>
      <c r="I25" s="121">
        <v>2269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57.232903273728745</v>
      </c>
      <c r="G26" s="120">
        <v>63.031203273728742</v>
      </c>
      <c r="H26" s="118">
        <v>19.59</v>
      </c>
      <c r="I26" s="121">
        <v>2226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73.777659461124856</v>
      </c>
      <c r="G27" s="120">
        <v>75.694359461124861</v>
      </c>
      <c r="H27" s="118">
        <v>18.72</v>
      </c>
      <c r="I27" s="121">
        <v>2280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96.439196514895173</v>
      </c>
      <c r="G28" s="120">
        <v>98.733596514895169</v>
      </c>
      <c r="H28" s="118">
        <v>18.7</v>
      </c>
      <c r="I28" s="121">
        <v>301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102.0424</v>
      </c>
      <c r="H30" s="118">
        <v>4.24</v>
      </c>
      <c r="I30" s="121">
        <v>308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100.1118</v>
      </c>
      <c r="H31" s="118">
        <v>0.35</v>
      </c>
      <c r="I31" s="121">
        <v>65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100.0719</v>
      </c>
      <c r="H32" s="118">
        <v>0.35</v>
      </c>
      <c r="I32" s="121">
        <v>286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100.0817</v>
      </c>
      <c r="H33" s="118">
        <v>0.35</v>
      </c>
      <c r="I33" s="121">
        <v>636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100.0136</v>
      </c>
      <c r="H34" s="118">
        <v>0.02</v>
      </c>
      <c r="I34" s="121">
        <v>3099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100.0034</v>
      </c>
      <c r="H35" s="118">
        <v>0.02</v>
      </c>
      <c r="I35" s="121">
        <v>3099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736.32267749108144</v>
      </c>
      <c r="G36" s="120">
        <v>736.32267749108144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3012.9074999999998</v>
      </c>
      <c r="G37" s="120">
        <v>3012.9074999999998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112548.26880000001</v>
      </c>
      <c r="G38" s="120">
        <v>112548.26880000001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102.0424</v>
      </c>
      <c r="H40" s="116">
        <v>4.24</v>
      </c>
      <c r="I40" s="113">
        <v>308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100.0797</v>
      </c>
      <c r="H41" s="116">
        <v>0.35</v>
      </c>
      <c r="I41" s="113">
        <v>98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100.08069999999999</v>
      </c>
      <c r="H42" s="118">
        <v>0.35</v>
      </c>
      <c r="I42" s="121">
        <v>277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100.0496</v>
      </c>
      <c r="H43" s="118">
        <v>0.35</v>
      </c>
      <c r="I43" s="121">
        <v>669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100.0009</v>
      </c>
      <c r="H44" s="118">
        <v>0.02</v>
      </c>
      <c r="I44" s="121">
        <v>3099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100.94889999999999</v>
      </c>
      <c r="H45" s="118">
        <v>6.08</v>
      </c>
      <c r="I45" s="121">
        <v>1714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105.7983</v>
      </c>
      <c r="H46" s="118">
        <v>7.08</v>
      </c>
      <c r="I46" s="121">
        <v>2196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100.1186</v>
      </c>
      <c r="H47" s="116">
        <v>6.09</v>
      </c>
      <c r="I47" s="113">
        <v>2123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105.0664</v>
      </c>
      <c r="H48" s="116">
        <v>6.08</v>
      </c>
      <c r="I48" s="113">
        <v>2551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105.0664</v>
      </c>
      <c r="H49" s="116">
        <v>6.08</v>
      </c>
      <c r="I49" s="113">
        <v>2551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103.9311</v>
      </c>
      <c r="H50" s="116">
        <v>6.08</v>
      </c>
      <c r="I50" s="113">
        <v>2618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2992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1393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98.892794242942173</v>
      </c>
      <c r="G54" s="120">
        <v>100.55389424294216</v>
      </c>
      <c r="H54" s="118">
        <v>26.57</v>
      </c>
      <c r="I54" s="121">
        <v>967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92.64655550657497</v>
      </c>
      <c r="G56" s="120">
        <v>96.110455506574965</v>
      </c>
      <c r="H56" s="118">
        <v>17.899999999999999</v>
      </c>
      <c r="I56" s="121">
        <v>424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101.7118</v>
      </c>
      <c r="H57" s="118">
        <v>4.24</v>
      </c>
      <c r="I57" s="121">
        <v>335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100.0196</v>
      </c>
      <c r="H58" s="118">
        <v>0.02</v>
      </c>
      <c r="I58" s="121">
        <v>3099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104.6742</v>
      </c>
      <c r="H59" s="118">
        <v>7.05</v>
      </c>
      <c r="I59" s="121">
        <v>2196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100.94889999999999</v>
      </c>
      <c r="H60" s="116">
        <v>6.08</v>
      </c>
      <c r="I60" s="113">
        <v>1714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105.7983</v>
      </c>
      <c r="H61" s="116">
        <v>7.08</v>
      </c>
      <c r="I61" s="113">
        <v>2196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100.1186</v>
      </c>
      <c r="H62" s="118">
        <v>6.09</v>
      </c>
      <c r="I62" s="121">
        <v>2123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105.0664</v>
      </c>
      <c r="H63" s="118">
        <v>6.08</v>
      </c>
      <c r="I63" s="121">
        <v>2551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105.0664</v>
      </c>
      <c r="H64" s="118">
        <v>6.08</v>
      </c>
      <c r="I64" s="121">
        <v>2551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103.9311</v>
      </c>
      <c r="H65" s="118">
        <v>6.08</v>
      </c>
      <c r="I65" s="121">
        <v>2618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88.784013255275909</v>
      </c>
      <c r="G66" s="120">
        <v>89.988213255275909</v>
      </c>
      <c r="H66" s="118">
        <v>29.31</v>
      </c>
      <c r="I66" s="121">
        <v>2503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99.995199999999997</v>
      </c>
      <c r="G68" s="120">
        <v>101.2174</v>
      </c>
      <c r="H68" s="118">
        <v>8</v>
      </c>
      <c r="I68" s="121">
        <v>845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86617.725000000006</v>
      </c>
      <c r="G71" s="120">
        <v>86617.725000000006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120026.265</v>
      </c>
      <c r="G75" s="120">
        <v>120026.265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91.471344315463355</v>
      </c>
      <c r="G77" s="120">
        <v>100.46714431546336</v>
      </c>
      <c r="H77" s="118">
        <v>28.36</v>
      </c>
      <c r="I77" s="121">
        <v>2393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92.705883266844623</v>
      </c>
      <c r="G78" s="120">
        <v>97.11148326684463</v>
      </c>
      <c r="H78" s="118">
        <v>28.35</v>
      </c>
      <c r="I78" s="121">
        <v>2639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92.626008923214229</v>
      </c>
      <c r="G79" s="120">
        <v>100.78710892321423</v>
      </c>
      <c r="H79" s="118">
        <v>28.34</v>
      </c>
      <c r="I79" s="121">
        <v>2767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</v>
      </c>
      <c r="H80" s="118">
        <v>0.02</v>
      </c>
      <c r="I80" s="121">
        <v>3099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100.94889999999999</v>
      </c>
      <c r="H81" s="118">
        <v>6.08</v>
      </c>
      <c r="I81" s="121">
        <v>1714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105.7983</v>
      </c>
      <c r="H82" s="116">
        <v>7.08</v>
      </c>
      <c r="I82" s="113">
        <v>2196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100.1186</v>
      </c>
      <c r="H83" s="116">
        <v>6.09</v>
      </c>
      <c r="I83" s="113">
        <v>2123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105.0664</v>
      </c>
      <c r="H84" s="116">
        <v>6.08</v>
      </c>
      <c r="I84" s="113">
        <v>2551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105.0664</v>
      </c>
      <c r="H85" s="118">
        <v>6.08</v>
      </c>
      <c r="I85" s="121">
        <v>2551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103.9311</v>
      </c>
      <c r="H86" s="116">
        <v>6.08</v>
      </c>
      <c r="I86" s="113">
        <v>2618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87.198010620778689</v>
      </c>
      <c r="G87" s="116">
        <v>94.933410620778687</v>
      </c>
      <c r="H87" s="116">
        <v>24.86</v>
      </c>
      <c r="I87" s="113">
        <v>1480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98.022347960023339</v>
      </c>
      <c r="G88" s="116">
        <v>98.16064796002334</v>
      </c>
      <c r="H88" s="116">
        <v>0.75</v>
      </c>
      <c r="I88" s="113">
        <v>4957</v>
      </c>
      <c r="J88" s="115" t="s">
        <v>271</v>
      </c>
    </row>
    <row r="89" spans="1:10" x14ac:dyDescent="0.25">
      <c r="A89" s="117">
        <v>86</v>
      </c>
      <c r="B89" s="114" t="s">
        <v>2320</v>
      </c>
      <c r="C89" s="115" t="s">
        <v>2321</v>
      </c>
      <c r="D89" s="115" t="s">
        <v>461</v>
      </c>
      <c r="E89" s="115" t="s">
        <v>2322</v>
      </c>
      <c r="F89" s="119">
        <v>99.993275198720852</v>
      </c>
      <c r="G89" s="120">
        <v>101.68077519872085</v>
      </c>
      <c r="H89" s="118">
        <v>20.239999999999998</v>
      </c>
      <c r="I89" s="121">
        <v>1050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25.376757910649488</v>
      </c>
      <c r="G90" s="120">
        <v>25.376757910649488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87.580531694895058</v>
      </c>
      <c r="G92" s="120">
        <v>93.612231694895058</v>
      </c>
      <c r="H92" s="118">
        <v>17.55</v>
      </c>
      <c r="I92" s="121">
        <v>1916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100.015</v>
      </c>
      <c r="G93" s="120">
        <v>101.22329999999999</v>
      </c>
      <c r="H93" s="118">
        <v>3.74</v>
      </c>
      <c r="I93" s="121">
        <v>964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101.962</v>
      </c>
      <c r="G94" s="120">
        <v>103.96720000000001</v>
      </c>
      <c r="H94" s="118">
        <v>3.78</v>
      </c>
      <c r="I94" s="121">
        <v>1275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95.749184416520038</v>
      </c>
      <c r="G95" s="120">
        <v>96.910884416520034</v>
      </c>
      <c r="H95" s="118">
        <v>17.329999999999998</v>
      </c>
      <c r="I95" s="121">
        <v>510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98.136532557728344</v>
      </c>
      <c r="G96" s="120">
        <v>98.807332557728344</v>
      </c>
      <c r="H96" s="118">
        <v>15.32</v>
      </c>
      <c r="I96" s="121">
        <v>159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92.406799314752462</v>
      </c>
      <c r="G97" s="120">
        <v>98.973199314752463</v>
      </c>
      <c r="H97" s="118">
        <v>17.829999999999998</v>
      </c>
      <c r="I97" s="121">
        <v>1647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76.81</v>
      </c>
      <c r="G98" s="120">
        <v>81.151899999999998</v>
      </c>
      <c r="H98" s="118">
        <v>16.68</v>
      </c>
      <c r="I98" s="121">
        <v>1916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1.014653888888889</v>
      </c>
      <c r="G99" s="120">
        <v>1.014653888888889</v>
      </c>
      <c r="H99" s="118">
        <v>0</v>
      </c>
      <c r="I99" s="121">
        <v>206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0.88365277777777773</v>
      </c>
      <c r="G100" s="120">
        <v>0.88365277777777773</v>
      </c>
      <c r="H100" s="118">
        <v>0</v>
      </c>
      <c r="I100" s="121">
        <v>1467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79.715999999999994</v>
      </c>
      <c r="G101" s="120">
        <v>84.421599999999998</v>
      </c>
      <c r="H101" s="118">
        <v>16.68</v>
      </c>
      <c r="I101" s="121">
        <v>1916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100.48399999999999</v>
      </c>
      <c r="H102" s="118">
        <v>4.24</v>
      </c>
      <c r="I102" s="121">
        <v>259</v>
      </c>
      <c r="J102" s="115" t="s">
        <v>271</v>
      </c>
    </row>
    <row r="103" spans="1:10" x14ac:dyDescent="0.25">
      <c r="A103" s="117">
        <v>100</v>
      </c>
      <c r="B103" s="114" t="s">
        <v>2316</v>
      </c>
      <c r="C103" s="115" t="s">
        <v>2317</v>
      </c>
      <c r="D103" s="115" t="s">
        <v>461</v>
      </c>
      <c r="E103" s="115" t="s">
        <v>661</v>
      </c>
      <c r="F103" s="119">
        <v>100</v>
      </c>
      <c r="G103" s="120">
        <v>100.43680000000001</v>
      </c>
      <c r="H103" s="118">
        <v>4.24</v>
      </c>
      <c r="I103" s="121">
        <v>623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100.09139999999999</v>
      </c>
      <c r="H104" s="118">
        <v>0.35</v>
      </c>
      <c r="I104" s="121">
        <v>266</v>
      </c>
      <c r="J104" s="115" t="s">
        <v>271</v>
      </c>
    </row>
    <row r="105" spans="1:10" x14ac:dyDescent="0.25">
      <c r="A105" s="117">
        <v>102</v>
      </c>
      <c r="B105" s="114" t="s">
        <v>2392</v>
      </c>
      <c r="C105" s="115" t="s">
        <v>2393</v>
      </c>
      <c r="D105" s="115" t="s">
        <v>461</v>
      </c>
      <c r="E105" s="115" t="s">
        <v>661</v>
      </c>
      <c r="F105" s="119">
        <v>100</v>
      </c>
      <c r="G105" s="120">
        <v>100.0204</v>
      </c>
      <c r="H105" s="118">
        <v>0.35</v>
      </c>
      <c r="I105" s="121">
        <v>699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100.0009</v>
      </c>
      <c r="H106" s="118">
        <v>0.02</v>
      </c>
      <c r="I106" s="121">
        <v>3099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100.94889999999999</v>
      </c>
      <c r="H107" s="118">
        <v>6.08</v>
      </c>
      <c r="I107" s="121">
        <v>1714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93.665326516487113</v>
      </c>
      <c r="G109" s="120">
        <v>95.665326516487113</v>
      </c>
      <c r="H109" s="118">
        <v>14.58</v>
      </c>
      <c r="I109" s="121">
        <v>460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93.294861226921441</v>
      </c>
      <c r="G112" s="120">
        <v>99.217061226921444</v>
      </c>
      <c r="H112" s="118">
        <v>28.19</v>
      </c>
      <c r="I112" s="121">
        <v>2618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89.768550765263981</v>
      </c>
      <c r="G113" s="120">
        <v>91.643550765263981</v>
      </c>
      <c r="H113" s="118">
        <v>28.17</v>
      </c>
      <c r="I113" s="121">
        <v>3123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96.367772258264722</v>
      </c>
      <c r="G116" s="120">
        <v>101.14317225826471</v>
      </c>
      <c r="H116" s="118">
        <v>17.96</v>
      </c>
      <c r="I116" s="121">
        <v>203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7.7348502447638738</v>
      </c>
      <c r="G117" s="120">
        <v>7.8190502447638739</v>
      </c>
      <c r="H117" s="118">
        <v>17.36</v>
      </c>
      <c r="I117" s="121">
        <v>5470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</v>
      </c>
      <c r="H118" s="118">
        <v>4.24</v>
      </c>
      <c r="I118" s="121">
        <v>300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100.0719</v>
      </c>
      <c r="H119" s="118">
        <v>0.35</v>
      </c>
      <c r="I119" s="121">
        <v>286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100.0496</v>
      </c>
      <c r="H120" s="118">
        <v>0.35</v>
      </c>
      <c r="I120" s="121">
        <v>669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100.0181</v>
      </c>
      <c r="H121" s="118">
        <v>0.02</v>
      </c>
      <c r="I121" s="121">
        <v>3099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100.0009</v>
      </c>
      <c r="H122" s="118">
        <v>0.02</v>
      </c>
      <c r="I122" s="121">
        <v>3099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100.94889999999999</v>
      </c>
      <c r="H123" s="118">
        <v>6.08</v>
      </c>
      <c r="I123" s="121">
        <v>1714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105.7983</v>
      </c>
      <c r="H124" s="118">
        <v>7.08</v>
      </c>
      <c r="I124" s="121">
        <v>2196</v>
      </c>
      <c r="J124" s="115" t="s">
        <v>271</v>
      </c>
    </row>
    <row r="125" spans="1:10" x14ac:dyDescent="0.25">
      <c r="A125" s="117">
        <v>122</v>
      </c>
      <c r="B125" s="114" t="s">
        <v>2396</v>
      </c>
      <c r="C125" s="115" t="s">
        <v>2397</v>
      </c>
      <c r="D125" s="115" t="s">
        <v>461</v>
      </c>
      <c r="E125" s="115" t="s">
        <v>698</v>
      </c>
      <c r="F125" s="119">
        <v>90.416042251905154</v>
      </c>
      <c r="G125" s="120">
        <v>91.477742251905156</v>
      </c>
      <c r="H125" s="118">
        <v>20.51</v>
      </c>
      <c r="I125" s="121">
        <v>3579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100.1186</v>
      </c>
      <c r="H126" s="118">
        <v>6.09</v>
      </c>
      <c r="I126" s="121">
        <v>2123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105.0664</v>
      </c>
      <c r="H127" s="118">
        <v>6.08</v>
      </c>
      <c r="I127" s="121">
        <v>2551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105.0664</v>
      </c>
      <c r="H128" s="118">
        <v>6.08</v>
      </c>
      <c r="I128" s="121">
        <v>2551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103.9311</v>
      </c>
      <c r="H129" s="118">
        <v>6.08</v>
      </c>
      <c r="I129" s="121">
        <v>2618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30.84</v>
      </c>
      <c r="G131" s="120">
        <v>30.961099999999998</v>
      </c>
      <c r="H131" s="118">
        <v>3.15</v>
      </c>
      <c r="I131" s="121">
        <v>34646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92.59020055679197</v>
      </c>
      <c r="G132" s="120">
        <v>92.951300556791978</v>
      </c>
      <c r="H132" s="118">
        <v>28.47</v>
      </c>
      <c r="I132" s="121">
        <v>2515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88.978841729955988</v>
      </c>
      <c r="G133" s="120">
        <v>91.339941729955981</v>
      </c>
      <c r="H133" s="118">
        <v>28.44</v>
      </c>
      <c r="I133" s="121">
        <v>3116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25953.0075</v>
      </c>
      <c r="G136" s="120">
        <v>25953.0075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121122.1125</v>
      </c>
      <c r="G138" s="120">
        <v>121122.1125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69155.221577572709</v>
      </c>
      <c r="G139" s="120">
        <v>69155.221577572709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1463.0250000000001</v>
      </c>
      <c r="G140" s="120">
        <v>1463.0250000000001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6.9329950279338268</v>
      </c>
      <c r="G141" s="120">
        <v>6.9329950279338268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28.672539526712917</v>
      </c>
      <c r="G144" s="120">
        <v>28.682539526712915</v>
      </c>
      <c r="H144" s="118">
        <v>17.559999999999999</v>
      </c>
      <c r="I144" s="121">
        <v>2673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98.340852887562136</v>
      </c>
      <c r="G145" s="120">
        <v>106.08405288756214</v>
      </c>
      <c r="H145" s="118">
        <v>17.989999999999998</v>
      </c>
      <c r="I145" s="121">
        <v>371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96.82433337635635</v>
      </c>
      <c r="G146" s="120">
        <v>104.59143337635635</v>
      </c>
      <c r="H146" s="118">
        <v>18.14</v>
      </c>
      <c r="I146" s="121">
        <v>736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99.050747269591881</v>
      </c>
      <c r="G147" s="120">
        <v>104.36954726959188</v>
      </c>
      <c r="H147" s="118">
        <v>18.079999999999998</v>
      </c>
      <c r="I147" s="121">
        <v>429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100.93901243087744</v>
      </c>
      <c r="G148" s="120">
        <v>103.25151243087744</v>
      </c>
      <c r="H148" s="118">
        <v>6.65</v>
      </c>
      <c r="I148" s="121">
        <v>429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100.79309334350683</v>
      </c>
      <c r="G149" s="120">
        <v>105.23479334350682</v>
      </c>
      <c r="H149" s="118">
        <v>18.88</v>
      </c>
      <c r="I149" s="121">
        <v>638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74525.707500000004</v>
      </c>
      <c r="G150" s="120">
        <v>74525.707500000004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49356.217499999999</v>
      </c>
      <c r="G151" s="120">
        <v>49356.217499999999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10993.477500000001</v>
      </c>
      <c r="G152" s="120">
        <v>10993.477500000001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96.399857823800033</v>
      </c>
      <c r="G153" s="120">
        <v>102.01375782380002</v>
      </c>
      <c r="H153" s="118">
        <v>24.9</v>
      </c>
      <c r="I153" s="121">
        <v>446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17735.497500000001</v>
      </c>
      <c r="G154" s="120">
        <v>17735.497500000001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91.528026551487741</v>
      </c>
      <c r="G155" s="120">
        <v>101.55022655148774</v>
      </c>
      <c r="H155" s="118">
        <v>24.64</v>
      </c>
      <c r="I155" s="121">
        <v>1084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71.868028828398536</v>
      </c>
      <c r="G156" s="120">
        <v>77.461828828398538</v>
      </c>
      <c r="H156" s="118">
        <v>18.600000000000001</v>
      </c>
      <c r="I156" s="121">
        <v>2521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76.536199080204838</v>
      </c>
      <c r="G157" s="120">
        <v>82.098699080204838</v>
      </c>
      <c r="H157" s="118">
        <v>18.66</v>
      </c>
      <c r="I157" s="121">
        <v>1802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82.667146064124509</v>
      </c>
      <c r="G158" s="120">
        <v>88.075446064124506</v>
      </c>
      <c r="H158" s="118">
        <v>18.8</v>
      </c>
      <c r="I158" s="121">
        <v>1083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77.895241805070427</v>
      </c>
      <c r="G159" s="120">
        <v>80.278541805070432</v>
      </c>
      <c r="H159" s="118">
        <v>18.71</v>
      </c>
      <c r="I159" s="121">
        <v>1542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79.272828675444117</v>
      </c>
      <c r="G160" s="120">
        <v>81.197828675444114</v>
      </c>
      <c r="H160" s="118">
        <v>17.52</v>
      </c>
      <c r="I160" s="121">
        <v>1737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93.640062614889175</v>
      </c>
      <c r="G161" s="120">
        <v>95.390062614889175</v>
      </c>
      <c r="H161" s="118">
        <v>18.600000000000001</v>
      </c>
      <c r="I161" s="121">
        <v>297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9.0445477317146938</v>
      </c>
      <c r="G162" s="120">
        <v>9.1003477317146935</v>
      </c>
      <c r="H162" s="118">
        <v>18.420000000000002</v>
      </c>
      <c r="I162" s="121">
        <v>5086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8.2205623056425505</v>
      </c>
      <c r="G163" s="120">
        <v>8.2609623056425505</v>
      </c>
      <c r="H163" s="118">
        <v>18.41</v>
      </c>
      <c r="I163" s="121">
        <v>5303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77.485368209601887</v>
      </c>
      <c r="G164" s="120">
        <v>79.845368209601887</v>
      </c>
      <c r="H164" s="118">
        <v>18.649999999999999</v>
      </c>
      <c r="I164" s="121">
        <v>1908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87.264603403711135</v>
      </c>
      <c r="G165" s="120">
        <v>89.624603403711134</v>
      </c>
      <c r="H165" s="118">
        <v>18.84</v>
      </c>
      <c r="I165" s="121">
        <v>828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57.535325817724555</v>
      </c>
      <c r="G166" s="120">
        <v>63.33362581772456</v>
      </c>
      <c r="H166" s="118">
        <v>19.46</v>
      </c>
      <c r="I166" s="121">
        <v>2226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23.056912215350813</v>
      </c>
      <c r="G167" s="120">
        <v>23.377712215350815</v>
      </c>
      <c r="H167" s="118">
        <v>18.46</v>
      </c>
      <c r="I167" s="121">
        <v>3174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20.783257424562816</v>
      </c>
      <c r="G168" s="120">
        <v>21.041557424562814</v>
      </c>
      <c r="H168" s="118">
        <v>19.34</v>
      </c>
      <c r="I168" s="121">
        <v>3414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96.8629425731514</v>
      </c>
      <c r="G169" s="120">
        <v>100.20734257315139</v>
      </c>
      <c r="H169" s="118">
        <v>18.489999999999998</v>
      </c>
      <c r="I169" s="121">
        <v>274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102.9654</v>
      </c>
      <c r="H170" s="118">
        <v>17.41</v>
      </c>
      <c r="I170" s="121">
        <v>220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2979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47.771083994695807</v>
      </c>
      <c r="G172" s="120">
        <v>51.687783994695806</v>
      </c>
      <c r="H172" s="118">
        <v>18.45</v>
      </c>
      <c r="I172" s="121">
        <v>2975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96.081160765690342</v>
      </c>
      <c r="G173" s="120">
        <v>96.858960765690341</v>
      </c>
      <c r="H173" s="118">
        <v>18.68</v>
      </c>
      <c r="I173" s="121">
        <v>340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87.273890045806283</v>
      </c>
      <c r="G174" s="120">
        <v>88.232190045806291</v>
      </c>
      <c r="H174" s="118">
        <v>18.62</v>
      </c>
      <c r="I174" s="121">
        <v>2137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95.803283332877129</v>
      </c>
      <c r="G175" s="120">
        <v>98.996983332877122</v>
      </c>
      <c r="H175" s="118">
        <v>17.41</v>
      </c>
      <c r="I175" s="121">
        <v>255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88.784757840963792</v>
      </c>
      <c r="G176" s="120">
        <v>89.64515784096379</v>
      </c>
      <c r="H176" s="118">
        <v>5.25</v>
      </c>
      <c r="I176" s="121">
        <v>2055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101.282</v>
      </c>
      <c r="G177" s="120">
        <v>103.20699999999999</v>
      </c>
      <c r="H177" s="118">
        <v>4.68</v>
      </c>
      <c r="I177" s="121">
        <v>594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93.649730380751649</v>
      </c>
      <c r="G178" s="120">
        <v>98.199730380751646</v>
      </c>
      <c r="H178" s="118">
        <v>17.559999999999999</v>
      </c>
      <c r="I178" s="121">
        <v>594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101.43899999999999</v>
      </c>
      <c r="G179" s="120">
        <v>103.1598</v>
      </c>
      <c r="H179" s="118">
        <v>4.8600000000000003</v>
      </c>
      <c r="I179" s="121">
        <v>1502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89.728999999999999</v>
      </c>
      <c r="G180" s="120">
        <v>93.026399999999995</v>
      </c>
      <c r="H180" s="118">
        <v>18.37</v>
      </c>
      <c r="I180" s="121">
        <v>992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102.09099999999999</v>
      </c>
      <c r="G181" s="120">
        <v>104.1848</v>
      </c>
      <c r="H181" s="118">
        <v>5.1100000000000003</v>
      </c>
      <c r="I181" s="121">
        <v>1666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100.253</v>
      </c>
      <c r="G182" s="120">
        <v>102.7197</v>
      </c>
      <c r="H182" s="118">
        <v>5.55</v>
      </c>
      <c r="I182" s="121">
        <v>212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103.35640575568672</v>
      </c>
      <c r="G184" s="120">
        <v>104.22450575568672</v>
      </c>
      <c r="H184" s="118">
        <v>5.28</v>
      </c>
      <c r="I184" s="121">
        <v>1390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61.320002120597842</v>
      </c>
      <c r="G186" s="120">
        <v>62.256402120597841</v>
      </c>
      <c r="H186" s="118">
        <v>18.87</v>
      </c>
      <c r="I186" s="121">
        <v>1744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56.2541637032529</v>
      </c>
      <c r="G187" s="120">
        <v>56.3712637032529</v>
      </c>
      <c r="H187" s="118">
        <v>18.809999999999999</v>
      </c>
      <c r="I187" s="121">
        <v>2153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51.788241055842207</v>
      </c>
      <c r="G188" s="120">
        <v>56.78814105584221</v>
      </c>
      <c r="H188" s="118">
        <v>18.77</v>
      </c>
      <c r="I188" s="121">
        <v>2581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51.788241055842207</v>
      </c>
      <c r="G189" s="120">
        <v>56.78814105584221</v>
      </c>
      <c r="H189" s="118">
        <v>18.77</v>
      </c>
      <c r="I189" s="121">
        <v>2581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65.138533671212201</v>
      </c>
      <c r="G190" s="120">
        <v>66.563533671212198</v>
      </c>
      <c r="H190" s="118">
        <v>17.62</v>
      </c>
      <c r="I190" s="121">
        <v>3006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88.426241266165036</v>
      </c>
      <c r="G191" s="120">
        <v>91.716441266165035</v>
      </c>
      <c r="H191" s="118">
        <v>17.79</v>
      </c>
      <c r="I191" s="121">
        <v>1352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99.832800000000006</v>
      </c>
      <c r="G192" s="120">
        <v>106.03579999999999</v>
      </c>
      <c r="H192" s="118">
        <v>16.66</v>
      </c>
      <c r="I192" s="121">
        <v>19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98.061974751665815</v>
      </c>
      <c r="G193" s="120">
        <v>101.26437475166581</v>
      </c>
      <c r="H193" s="118">
        <v>17.149999999999999</v>
      </c>
      <c r="I193" s="121">
        <v>217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98.707743934382648</v>
      </c>
      <c r="G194" s="120">
        <v>100.99944393438264</v>
      </c>
      <c r="H194" s="118">
        <v>17.03</v>
      </c>
      <c r="I194" s="121">
        <v>215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99.50476992642426</v>
      </c>
      <c r="G195" s="120">
        <v>105.83256992642427</v>
      </c>
      <c r="H195" s="118">
        <v>17.3</v>
      </c>
      <c r="I195" s="121">
        <v>316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99.479214973963224</v>
      </c>
      <c r="G196" s="120">
        <v>105.55611497396322</v>
      </c>
      <c r="H196" s="118">
        <v>17.48</v>
      </c>
      <c r="I196" s="121">
        <v>229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97.900499999999994</v>
      </c>
      <c r="G197" s="120">
        <v>102.7358</v>
      </c>
      <c r="H197" s="118">
        <v>17.5</v>
      </c>
      <c r="I197" s="121">
        <v>1697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99.692566994224393</v>
      </c>
      <c r="G198" s="120">
        <v>103.0467669942244</v>
      </c>
      <c r="H198" s="118">
        <v>17.53</v>
      </c>
      <c r="I198" s="121">
        <v>1731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99.692566994224393</v>
      </c>
      <c r="G199" s="120">
        <v>103.0467669942244</v>
      </c>
      <c r="H199" s="118">
        <v>17.53</v>
      </c>
      <c r="I199" s="121">
        <v>1731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99.633720198176988</v>
      </c>
      <c r="G200" s="120">
        <v>104.179320198177</v>
      </c>
      <c r="H200" s="118">
        <v>17.09</v>
      </c>
      <c r="I200" s="121">
        <v>272</v>
      </c>
      <c r="J200" s="115" t="s">
        <v>271</v>
      </c>
    </row>
    <row r="201" spans="1:10" x14ac:dyDescent="0.25">
      <c r="A201" s="117">
        <v>198</v>
      </c>
      <c r="B201" s="114" t="s">
        <v>2342</v>
      </c>
      <c r="C201" s="115" t="s">
        <v>2343</v>
      </c>
      <c r="D201" s="115" t="s">
        <v>461</v>
      </c>
      <c r="E201" s="115" t="s">
        <v>391</v>
      </c>
      <c r="F201" s="119">
        <v>99.942488050969416</v>
      </c>
      <c r="G201" s="120">
        <v>101.44578805096941</v>
      </c>
      <c r="H201" s="118">
        <v>17.71</v>
      </c>
      <c r="I201" s="121">
        <v>339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78.654085650639203</v>
      </c>
      <c r="G202" s="120">
        <v>81.792985650639196</v>
      </c>
      <c r="H202" s="118">
        <v>17.71</v>
      </c>
      <c r="I202" s="121">
        <v>1880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88.618257612771004</v>
      </c>
      <c r="G203" s="120">
        <v>90.878257612771009</v>
      </c>
      <c r="H203" s="118">
        <v>17.489999999999998</v>
      </c>
      <c r="I203" s="121">
        <v>828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78.477136160515286</v>
      </c>
      <c r="G204" s="120">
        <v>80.737136160515277</v>
      </c>
      <c r="H204" s="118">
        <v>17.71</v>
      </c>
      <c r="I204" s="121">
        <v>1908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77.485999022395177</v>
      </c>
      <c r="G205" s="120">
        <v>82.130399022395181</v>
      </c>
      <c r="H205" s="118">
        <v>17.47</v>
      </c>
      <c r="I205" s="121">
        <v>2008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75.739442212815788</v>
      </c>
      <c r="G206" s="120">
        <v>77.572742212815783</v>
      </c>
      <c r="H206" s="118">
        <v>17.47</v>
      </c>
      <c r="I206" s="121">
        <v>2280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77.122787376308921</v>
      </c>
      <c r="G207" s="120">
        <v>84.52558737630892</v>
      </c>
      <c r="H207" s="118">
        <v>17.46</v>
      </c>
      <c r="I207" s="121">
        <v>4835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101.1377584348751</v>
      </c>
      <c r="G208" s="120">
        <v>102.69705843487509</v>
      </c>
      <c r="H208" s="118">
        <v>4.99</v>
      </c>
      <c r="I208" s="121">
        <v>977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97.153795275043137</v>
      </c>
      <c r="G209" s="120">
        <v>101.26629527504313</v>
      </c>
      <c r="H209" s="118">
        <v>21.43</v>
      </c>
      <c r="I209" s="121">
        <v>99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222874.38</v>
      </c>
      <c r="G211" s="116">
        <v>222874.38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4555.2270796563735</v>
      </c>
      <c r="G212" s="116">
        <v>4555.2270796563735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99.015057277074234</v>
      </c>
      <c r="G213" s="116">
        <v>102.95945727707422</v>
      </c>
      <c r="H213" s="116">
        <v>19.48</v>
      </c>
      <c r="I213" s="113">
        <v>38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84.655571089664974</v>
      </c>
      <c r="G214" s="116">
        <v>85.188871089664971</v>
      </c>
      <c r="H214" s="116">
        <v>20.22</v>
      </c>
      <c r="I214" s="113">
        <v>884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97.163653796014501</v>
      </c>
      <c r="G215" s="116">
        <v>98.806153796014513</v>
      </c>
      <c r="H215" s="116">
        <v>19.559999999999999</v>
      </c>
      <c r="I215" s="113">
        <v>126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80.149260628720924</v>
      </c>
      <c r="G216" s="116">
        <v>83.407560628720915</v>
      </c>
      <c r="H216" s="116">
        <v>20.149999999999999</v>
      </c>
      <c r="I216" s="113">
        <v>1158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98.764850979453243</v>
      </c>
      <c r="G217" s="116">
        <v>98.764850979453243</v>
      </c>
      <c r="H217" s="116">
        <v>4.79</v>
      </c>
      <c r="I217" s="113">
        <v>94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6628</v>
      </c>
      <c r="G218" s="116">
        <v>6628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2423</v>
      </c>
      <c r="C219" s="115" t="s">
        <v>2424</v>
      </c>
      <c r="D219" s="115" t="s">
        <v>461</v>
      </c>
      <c r="E219" s="115" t="s">
        <v>2425</v>
      </c>
      <c r="F219" s="116">
        <v>100</v>
      </c>
      <c r="G219" s="116">
        <v>104.6784</v>
      </c>
      <c r="H219" s="116">
        <v>16.100000000000001</v>
      </c>
      <c r="I219" s="113">
        <v>668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84.100506088477189</v>
      </c>
      <c r="G220" s="116">
        <v>85.354706088477187</v>
      </c>
      <c r="H220" s="116">
        <v>38.74</v>
      </c>
      <c r="I220" s="113">
        <v>429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76.365610469158554</v>
      </c>
      <c r="G221" s="116">
        <v>78.700310469158552</v>
      </c>
      <c r="H221" s="116">
        <v>38.68</v>
      </c>
      <c r="I221" s="113">
        <v>679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75.670923538988788</v>
      </c>
      <c r="G222" s="116">
        <v>77.837623538988794</v>
      </c>
      <c r="H222" s="116">
        <v>38.68</v>
      </c>
      <c r="I222" s="113">
        <v>681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98.176744144930353</v>
      </c>
      <c r="G223" s="116">
        <v>103.01844414493036</v>
      </c>
      <c r="H223" s="116">
        <v>39.26</v>
      </c>
      <c r="I223" s="113">
        <v>37</v>
      </c>
      <c r="J223" s="115" t="s">
        <v>271</v>
      </c>
    </row>
    <row r="224" spans="1:10" x14ac:dyDescent="0.25">
      <c r="A224" s="113">
        <v>221</v>
      </c>
      <c r="B224" s="114" t="s">
        <v>2346</v>
      </c>
      <c r="C224" s="115" t="s">
        <v>2347</v>
      </c>
      <c r="D224" s="115" t="s">
        <v>461</v>
      </c>
      <c r="E224" s="115" t="s">
        <v>861</v>
      </c>
      <c r="F224" s="116">
        <v>92.946574596230732</v>
      </c>
      <c r="G224" s="116">
        <v>94.521574596230735</v>
      </c>
      <c r="H224" s="116">
        <v>40.340000000000003</v>
      </c>
      <c r="I224" s="113">
        <v>153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50664.772499999999</v>
      </c>
      <c r="G225" s="116">
        <v>50664.772499999999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132161.36249999999</v>
      </c>
      <c r="G227" s="116">
        <v>132161.36249999999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5890082.4199999999</v>
      </c>
      <c r="G229" s="116">
        <v>5890082.4199999999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1751639.395</v>
      </c>
      <c r="G231" s="116">
        <v>1751639.395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49700.857499999998</v>
      </c>
      <c r="G232" s="116">
        <v>49700.857499999998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62697.555</v>
      </c>
      <c r="G233" s="116">
        <v>62697.555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72.614701756379333</v>
      </c>
      <c r="G234" s="116">
        <v>73.234801756379341</v>
      </c>
      <c r="H234" s="116">
        <v>26.16</v>
      </c>
      <c r="I234" s="113">
        <v>1061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100.3306</v>
      </c>
      <c r="H235" s="116">
        <v>4.24</v>
      </c>
      <c r="I235" s="113">
        <v>272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100.08750000000001</v>
      </c>
      <c r="H236" s="116">
        <v>0.35</v>
      </c>
      <c r="I236" s="113">
        <v>90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100.0797</v>
      </c>
      <c r="H237" s="116">
        <v>0.35</v>
      </c>
      <c r="I237" s="113">
        <v>98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100.0924</v>
      </c>
      <c r="H238" s="116">
        <v>0.35</v>
      </c>
      <c r="I238" s="113">
        <v>265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100.11960000000001</v>
      </c>
      <c r="H239" s="116">
        <v>0.35</v>
      </c>
      <c r="I239" s="113">
        <v>597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100.0034</v>
      </c>
      <c r="H240" s="116">
        <v>0.02</v>
      </c>
      <c r="I240" s="113">
        <v>3099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100.94889999999999</v>
      </c>
      <c r="H241" s="116">
        <v>6.08</v>
      </c>
      <c r="I241" s="113">
        <v>1714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105.7983</v>
      </c>
      <c r="H242" s="116">
        <v>7.08</v>
      </c>
      <c r="I242" s="113">
        <v>2196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100.1186</v>
      </c>
      <c r="H243" s="116">
        <v>6.09</v>
      </c>
      <c r="I243" s="113">
        <v>2123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105.0664</v>
      </c>
      <c r="H244" s="116">
        <v>6.08</v>
      </c>
      <c r="I244" s="113">
        <v>2551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105.0664</v>
      </c>
      <c r="H245" s="116">
        <v>6.08</v>
      </c>
      <c r="I245" s="113">
        <v>2551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103.9311</v>
      </c>
      <c r="H246" s="116">
        <v>6.08</v>
      </c>
      <c r="I246" s="113">
        <v>2618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100.22498562943093</v>
      </c>
      <c r="G247" s="116">
        <v>102.62418562943093</v>
      </c>
      <c r="H247" s="116">
        <v>5.31</v>
      </c>
      <c r="I247" s="113">
        <v>209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97.293581023299978</v>
      </c>
      <c r="G248" s="116">
        <v>105.17368102329998</v>
      </c>
      <c r="H248" s="116">
        <v>17.63</v>
      </c>
      <c r="I248" s="113">
        <v>918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93.790084803447158</v>
      </c>
      <c r="G249" s="116">
        <v>102.98068480344716</v>
      </c>
      <c r="H249" s="116">
        <v>17.72</v>
      </c>
      <c r="I249" s="113">
        <v>667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90.452827679253062</v>
      </c>
      <c r="G250" s="116">
        <v>95.908527679253069</v>
      </c>
      <c r="H250" s="116">
        <v>17.75</v>
      </c>
      <c r="I250" s="113">
        <v>743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93.395032481091121</v>
      </c>
      <c r="G251" s="116">
        <v>107.21833248109112</v>
      </c>
      <c r="H251" s="116">
        <v>18.46</v>
      </c>
      <c r="I251" s="113">
        <v>732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99.710511326710005</v>
      </c>
      <c r="G252" s="116">
        <v>106.75841132671</v>
      </c>
      <c r="H252" s="116">
        <v>17.61</v>
      </c>
      <c r="I252" s="113">
        <v>949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106.26562440175735</v>
      </c>
      <c r="G253" s="116">
        <v>106.72062440175735</v>
      </c>
      <c r="H253" s="116">
        <v>4.8499999999999996</v>
      </c>
      <c r="I253" s="113">
        <v>1774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96.794451481654349</v>
      </c>
      <c r="G254" s="116">
        <v>97.224551481654345</v>
      </c>
      <c r="H254" s="116">
        <v>6.91</v>
      </c>
      <c r="I254" s="113">
        <v>208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97.331897455989662</v>
      </c>
      <c r="G255" s="116">
        <v>100.07939745598965</v>
      </c>
      <c r="H255" s="116">
        <v>16.18</v>
      </c>
      <c r="I255" s="113">
        <v>838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97.664143988422737</v>
      </c>
      <c r="G256" s="116">
        <v>97.748243988422743</v>
      </c>
      <c r="H256" s="116">
        <v>16.14</v>
      </c>
      <c r="I256" s="113">
        <v>1078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97.447101893583906</v>
      </c>
      <c r="G257" s="116">
        <v>100.7771018935839</v>
      </c>
      <c r="H257" s="116">
        <v>16.05</v>
      </c>
      <c r="I257" s="113">
        <v>1547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356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423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98.803394818961664</v>
      </c>
      <c r="G260" s="116">
        <v>107.85759481896166</v>
      </c>
      <c r="H260" s="116">
        <v>16.79</v>
      </c>
      <c r="I260" s="113">
        <v>122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100.55629999999999</v>
      </c>
      <c r="H261" s="116">
        <v>15.61</v>
      </c>
      <c r="I261" s="113">
        <v>536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102.3287</v>
      </c>
      <c r="H262" s="116">
        <v>15.73</v>
      </c>
      <c r="I262" s="113">
        <v>1315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101.465</v>
      </c>
      <c r="G263" s="116">
        <v>103.43380000000001</v>
      </c>
      <c r="H263" s="116">
        <v>3.77</v>
      </c>
      <c r="I263" s="113">
        <v>918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101.111</v>
      </c>
      <c r="G264" s="116">
        <v>101.4089</v>
      </c>
      <c r="H264" s="116">
        <v>3.78</v>
      </c>
      <c r="I264" s="113">
        <v>1234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103.8648</v>
      </c>
      <c r="H265" s="116">
        <v>15.85</v>
      </c>
      <c r="I265" s="113">
        <v>552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104.6315</v>
      </c>
      <c r="H266" s="116">
        <v>16.059999999999999</v>
      </c>
      <c r="I266" s="113">
        <v>991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99.155054201913288</v>
      </c>
      <c r="G267" s="116">
        <v>104.37055420191329</v>
      </c>
      <c r="H267" s="116">
        <v>15.72</v>
      </c>
      <c r="I267" s="113">
        <v>187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98.747814542598618</v>
      </c>
      <c r="G268" s="116">
        <v>101.28111454259863</v>
      </c>
      <c r="H268" s="116">
        <v>16.16</v>
      </c>
      <c r="I268" s="113">
        <v>300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96.987465855544173</v>
      </c>
      <c r="G269" s="116">
        <v>98.402965855544167</v>
      </c>
      <c r="H269" s="116">
        <v>16.190000000000001</v>
      </c>
      <c r="I269" s="113">
        <v>687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98.509862764605401</v>
      </c>
      <c r="G270" s="116">
        <v>101.25736276460539</v>
      </c>
      <c r="H270" s="116">
        <v>16.14</v>
      </c>
      <c r="I270" s="113">
        <v>478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98.926000000000002</v>
      </c>
      <c r="G271" s="116">
        <v>99.792699999999996</v>
      </c>
      <c r="H271" s="116">
        <v>3.75</v>
      </c>
      <c r="I271" s="113">
        <v>804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99.066000000000003</v>
      </c>
      <c r="G272" s="116">
        <v>99.4285</v>
      </c>
      <c r="H272" s="116">
        <v>3.84</v>
      </c>
      <c r="I272" s="113">
        <v>1764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46.343724839057536</v>
      </c>
      <c r="G274" s="116">
        <v>49.710424839057538</v>
      </c>
      <c r="H274" s="116">
        <v>17.84</v>
      </c>
      <c r="I274" s="113">
        <v>2577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94.518877758829092</v>
      </c>
      <c r="G275" s="116">
        <v>94.701377758829096</v>
      </c>
      <c r="H275" s="116">
        <v>17.239999999999998</v>
      </c>
      <c r="I275" s="113">
        <v>354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86.926128103222183</v>
      </c>
      <c r="G276" s="116">
        <v>88.787228103222176</v>
      </c>
      <c r="H276" s="116">
        <v>18.8</v>
      </c>
      <c r="I276" s="113">
        <v>653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23685.922500000001</v>
      </c>
      <c r="G277" s="116">
        <v>23685.922500000001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95.70464521271272</v>
      </c>
      <c r="G281" s="116">
        <v>97.131245212712713</v>
      </c>
      <c r="H281" s="116">
        <v>17.47</v>
      </c>
      <c r="I281" s="113">
        <v>219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95.195705816644761</v>
      </c>
      <c r="G282" s="116">
        <v>98.55240581664475</v>
      </c>
      <c r="H282" s="116">
        <v>17.95</v>
      </c>
      <c r="I282" s="113">
        <v>240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2073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72.56962012746672</v>
      </c>
      <c r="G284" s="116">
        <v>73.394620127466723</v>
      </c>
      <c r="H284" s="116">
        <v>18.100000000000001</v>
      </c>
      <c r="I284" s="113">
        <v>2493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96.577757569712844</v>
      </c>
      <c r="G285" s="116">
        <v>96.606957569712847</v>
      </c>
      <c r="H285" s="116">
        <v>18</v>
      </c>
      <c r="I285" s="113">
        <v>179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22215.817500000001</v>
      </c>
      <c r="G286" s="116">
        <v>22215.817500000001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89501.031259409297</v>
      </c>
      <c r="G288" s="116">
        <v>89501.031259409297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5469.509963594558</v>
      </c>
      <c r="G289" s="116">
        <v>5469.509963594558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2416</v>
      </c>
      <c r="F290" s="116">
        <v>556776.68999999994</v>
      </c>
      <c r="G290" s="116">
        <v>556776.68999999994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2416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2416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2416</v>
      </c>
      <c r="F293" s="116">
        <v>625763.92500000005</v>
      </c>
      <c r="G293" s="116">
        <v>625763.92500000005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101.6611</v>
      </c>
      <c r="H295" s="116">
        <v>11.47</v>
      </c>
      <c r="I295" s="113">
        <v>1028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109.63890000000001</v>
      </c>
      <c r="H296" s="116">
        <v>10</v>
      </c>
      <c r="I296" s="113">
        <v>3253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100.88219034597039</v>
      </c>
      <c r="G297" s="116">
        <v>105.60439034597039</v>
      </c>
      <c r="H297" s="116">
        <v>23.21</v>
      </c>
      <c r="I297" s="113">
        <v>202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17250.8475</v>
      </c>
      <c r="G298" s="116">
        <v>17250.8475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82.555881395472099</v>
      </c>
      <c r="G299" s="116">
        <v>86.422581395472108</v>
      </c>
      <c r="H299" s="116">
        <v>44.27</v>
      </c>
      <c r="I299" s="113">
        <v>244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99.974646041789811</v>
      </c>
      <c r="G300" s="116">
        <v>105.07744604178981</v>
      </c>
      <c r="H300" s="116">
        <v>11.02</v>
      </c>
      <c r="I300" s="113">
        <v>373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84.375246907490165</v>
      </c>
      <c r="G301" s="116">
        <v>88.989146907490166</v>
      </c>
      <c r="H301" s="116">
        <v>44.21</v>
      </c>
      <c r="I301" s="113">
        <v>209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90694.17</v>
      </c>
      <c r="G302" s="116">
        <v>90694.17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93.87329860091036</v>
      </c>
      <c r="G303" s="116">
        <v>99.029998600910361</v>
      </c>
      <c r="H303" s="116">
        <v>18.45</v>
      </c>
      <c r="I303" s="113">
        <v>384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42159.165000000001</v>
      </c>
      <c r="G304" s="116">
        <v>42159.165000000001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6200.8275000000003</v>
      </c>
      <c r="G305" s="116">
        <v>6200.8275000000003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4728.6687000000002</v>
      </c>
      <c r="G306" s="116">
        <v>4728.6687000000002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31044.525000000001</v>
      </c>
      <c r="G307" s="116">
        <v>31044.525000000001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165728.76</v>
      </c>
      <c r="G308" s="116">
        <v>165728.76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107271.8925</v>
      </c>
      <c r="G309" s="116">
        <v>107271.8925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98.506699999999995</v>
      </c>
      <c r="G310" s="116">
        <v>99.469200000000001</v>
      </c>
      <c r="H310" s="116">
        <v>18.25</v>
      </c>
      <c r="I310" s="113">
        <v>339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96.642300000000006</v>
      </c>
      <c r="G311" s="116">
        <v>97.238100000000003</v>
      </c>
      <c r="H311" s="116">
        <v>18</v>
      </c>
      <c r="I311" s="113">
        <v>1067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98.322760078105262</v>
      </c>
      <c r="G312" s="116">
        <v>107.09526007810527</v>
      </c>
      <c r="H312" s="116">
        <v>19.010000000000002</v>
      </c>
      <c r="I312" s="113">
        <v>906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97.306309292341965</v>
      </c>
      <c r="G313" s="116">
        <v>99.989609292341967</v>
      </c>
      <c r="H313" s="116">
        <v>18.989999999999998</v>
      </c>
      <c r="I313" s="113">
        <v>664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97.900800000000004</v>
      </c>
      <c r="G314" s="116">
        <v>100.105</v>
      </c>
      <c r="H314" s="116">
        <v>18</v>
      </c>
      <c r="I314" s="113">
        <v>1394</v>
      </c>
      <c r="J314" s="115" t="s">
        <v>271</v>
      </c>
    </row>
    <row r="315" spans="1:10" x14ac:dyDescent="0.25">
      <c r="A315" s="113">
        <v>312</v>
      </c>
      <c r="B315" s="114" t="s">
        <v>2344</v>
      </c>
      <c r="C315" s="115" t="s">
        <v>2345</v>
      </c>
      <c r="D315" s="115" t="s">
        <v>461</v>
      </c>
      <c r="E315" s="115" t="s">
        <v>52</v>
      </c>
      <c r="F315" s="116">
        <v>100.7281316100088</v>
      </c>
      <c r="G315" s="116">
        <v>102.69123161000881</v>
      </c>
      <c r="H315" s="116">
        <v>18.84</v>
      </c>
      <c r="I315" s="113">
        <v>1763</v>
      </c>
      <c r="J315" s="115" t="s">
        <v>271</v>
      </c>
    </row>
    <row r="316" spans="1:10" x14ac:dyDescent="0.25">
      <c r="A316" s="113">
        <v>313</v>
      </c>
      <c r="B316" s="114" t="s">
        <v>2311</v>
      </c>
      <c r="C316" s="115" t="s">
        <v>2312</v>
      </c>
      <c r="D316" s="115" t="s">
        <v>461</v>
      </c>
      <c r="E316" s="115" t="s">
        <v>52</v>
      </c>
      <c r="F316" s="116">
        <v>100.30953994808701</v>
      </c>
      <c r="G316" s="116">
        <v>102.822739948087</v>
      </c>
      <c r="H316" s="116">
        <v>18.989999999999998</v>
      </c>
      <c r="I316" s="113">
        <v>673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53193.875</v>
      </c>
      <c r="G317" s="116">
        <v>53193.875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73974.52</v>
      </c>
      <c r="G318" s="116">
        <v>73974.52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73026.785000000003</v>
      </c>
      <c r="G319" s="116">
        <v>73026.785000000003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581067.68500000006</v>
      </c>
      <c r="G320" s="116">
        <v>581067.68500000006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533.51618250000001</v>
      </c>
      <c r="G322" s="116">
        <v>533.51618250000001</v>
      </c>
      <c r="H322" s="116">
        <v>0</v>
      </c>
      <c r="I322" s="113">
        <v>547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370.18809276539514</v>
      </c>
      <c r="G323" s="116">
        <v>370.18809276539514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101.79617496241308</v>
      </c>
      <c r="G324" s="116">
        <v>103.14167496241308</v>
      </c>
      <c r="H324" s="116">
        <v>18.11</v>
      </c>
      <c r="I324" s="113">
        <v>2134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103.68810000000001</v>
      </c>
      <c r="H325" s="116">
        <v>16.989999999999998</v>
      </c>
      <c r="I325" s="113">
        <v>834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14076.389991948308</v>
      </c>
      <c r="G326" s="116">
        <v>14076.389991948308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43260.397499999999</v>
      </c>
      <c r="G327" s="116">
        <v>43260.397499999999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130012.7475</v>
      </c>
      <c r="G328" s="116">
        <v>130012.7475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102.396</v>
      </c>
      <c r="G329" s="116">
        <v>102.6529</v>
      </c>
      <c r="H329" s="116">
        <v>3.76</v>
      </c>
      <c r="I329" s="113">
        <v>1060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99.328999999999994</v>
      </c>
      <c r="G330" s="116">
        <v>100.8394</v>
      </c>
      <c r="H330" s="116">
        <v>3.8</v>
      </c>
      <c r="I330" s="113">
        <v>1470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100.434</v>
      </c>
      <c r="G331" s="116">
        <v>100.8896</v>
      </c>
      <c r="H331" s="116">
        <v>3.91</v>
      </c>
      <c r="I331" s="113">
        <v>1939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102.819</v>
      </c>
      <c r="G332" s="116">
        <v>104.45650000000001</v>
      </c>
      <c r="H332" s="116">
        <v>3.94</v>
      </c>
      <c r="I332" s="113">
        <v>2029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1020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7735.5524999999998</v>
      </c>
      <c r="G334" s="116">
        <v>7735.5524999999998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100.15970214040621</v>
      </c>
      <c r="G335" s="116">
        <v>101.02220214040621</v>
      </c>
      <c r="H335" s="116">
        <v>12.89</v>
      </c>
      <c r="I335" s="113">
        <v>97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79.815821669654227</v>
      </c>
      <c r="G336" s="116">
        <v>83.093621669654226</v>
      </c>
      <c r="H336" s="116">
        <v>17.89</v>
      </c>
      <c r="I336" s="113">
        <v>1880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78.075342440003482</v>
      </c>
      <c r="G337" s="116">
        <v>82.930942440003477</v>
      </c>
      <c r="H337" s="116">
        <v>17.86</v>
      </c>
      <c r="I337" s="113">
        <v>2008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87.686821503845835</v>
      </c>
      <c r="G338" s="116">
        <v>91.096821503845831</v>
      </c>
      <c r="H338" s="116">
        <v>17.53</v>
      </c>
      <c r="I338" s="113">
        <v>1161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73.5881841383882</v>
      </c>
      <c r="G339" s="116">
        <v>81.076384138388192</v>
      </c>
      <c r="H339" s="116">
        <v>18.55</v>
      </c>
      <c r="I339" s="113">
        <v>4835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2979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4203.3746886376703</v>
      </c>
      <c r="G341" s="116">
        <v>4203.3746886376703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74935.356254733328</v>
      </c>
      <c r="G342" s="116">
        <v>74935.356254733328</v>
      </c>
      <c r="H342" s="116">
        <v>0</v>
      </c>
      <c r="I342" s="113">
        <v>147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294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1116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102.02500000000001</v>
      </c>
      <c r="G345" s="116">
        <v>102.5</v>
      </c>
      <c r="H345" s="116">
        <v>3.75</v>
      </c>
      <c r="I345" s="113">
        <v>1042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9351</v>
      </c>
      <c r="G346" s="116">
        <v>9351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27019.237499999999</v>
      </c>
      <c r="G347" s="116">
        <v>27019.237499999999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92.718903006625666</v>
      </c>
      <c r="G348" s="116">
        <v>98.746703006625665</v>
      </c>
      <c r="H348" s="116">
        <v>19.399999999999999</v>
      </c>
      <c r="I348" s="113">
        <v>2576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92.641081154770703</v>
      </c>
      <c r="G349" s="116">
        <v>95.849381154770697</v>
      </c>
      <c r="H349" s="116">
        <v>19.399999999999999</v>
      </c>
      <c r="I349" s="113">
        <v>2634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38.505331812298174</v>
      </c>
      <c r="G350" s="116">
        <v>39.08313181229817</v>
      </c>
      <c r="H350" s="116">
        <v>20.28</v>
      </c>
      <c r="I350" s="113">
        <v>2828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38.004638283077142</v>
      </c>
      <c r="G351" s="116">
        <v>41.949038283077144</v>
      </c>
      <c r="H351" s="116">
        <v>20.28</v>
      </c>
      <c r="I351" s="113">
        <v>2885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74.710316299907433</v>
      </c>
      <c r="G352" s="116">
        <v>82.395216299907432</v>
      </c>
      <c r="H352" s="116">
        <v>26</v>
      </c>
      <c r="I352" s="113">
        <v>2182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40.642355480753274</v>
      </c>
      <c r="G353" s="116">
        <v>43.631255480753275</v>
      </c>
      <c r="H353" s="116">
        <v>20.3</v>
      </c>
      <c r="I353" s="113">
        <v>2611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91.850087622442501</v>
      </c>
      <c r="G354" s="116">
        <v>96.321287622442497</v>
      </c>
      <c r="H354" s="116">
        <v>19.559999999999999</v>
      </c>
      <c r="I354" s="113">
        <v>393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72.245865112610446</v>
      </c>
      <c r="G355" s="116">
        <v>74.355565112610435</v>
      </c>
      <c r="H355" s="116">
        <v>19.45</v>
      </c>
      <c r="I355" s="113">
        <v>1910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12711.2925</v>
      </c>
      <c r="G357" s="116">
        <v>12711.2925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95.737422052474102</v>
      </c>
      <c r="G358" s="116">
        <v>99.19572205247411</v>
      </c>
      <c r="H358" s="116">
        <v>24.57</v>
      </c>
      <c r="I358" s="113">
        <v>480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96504.585000000006</v>
      </c>
      <c r="G359" s="116">
        <v>96504.585000000006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156307.70250000001</v>
      </c>
      <c r="G360" s="116">
        <v>156307.70250000001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94.73308730799836</v>
      </c>
      <c r="G362" s="116">
        <v>95.702987307998356</v>
      </c>
      <c r="H362" s="116">
        <v>16.739999999999998</v>
      </c>
      <c r="I362" s="113">
        <v>326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92.748808871890503</v>
      </c>
      <c r="G363" s="116">
        <v>93.81750887189051</v>
      </c>
      <c r="H363" s="116">
        <v>16.84</v>
      </c>
      <c r="I363" s="113">
        <v>1413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92.748808871890503</v>
      </c>
      <c r="G364" s="116">
        <v>93.81750887189051</v>
      </c>
      <c r="H364" s="116">
        <v>16.84</v>
      </c>
      <c r="I364" s="113">
        <v>1413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95.246897372319921</v>
      </c>
      <c r="G365" s="116">
        <v>98.127497372319922</v>
      </c>
      <c r="H365" s="116">
        <v>16.82</v>
      </c>
      <c r="I365" s="113">
        <v>1552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99.003617180543046</v>
      </c>
      <c r="G366" s="116">
        <v>104.36611718054304</v>
      </c>
      <c r="H366" s="116">
        <v>16.79</v>
      </c>
      <c r="I366" s="113">
        <v>1683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99.00274507792318</v>
      </c>
      <c r="G367" s="116">
        <v>103.17354507792318</v>
      </c>
      <c r="H367" s="116">
        <v>16.79</v>
      </c>
      <c r="I367" s="113">
        <v>1709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100.1293</v>
      </c>
      <c r="H368" s="116">
        <v>0.35</v>
      </c>
      <c r="I368" s="113">
        <v>347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101.54649999999999</v>
      </c>
      <c r="H369" s="116">
        <v>4.24</v>
      </c>
      <c r="I369" s="113">
        <v>349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100.1108</v>
      </c>
      <c r="H370" s="116">
        <v>0.35</v>
      </c>
      <c r="I370" s="113">
        <v>66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100.0496</v>
      </c>
      <c r="H371" s="116">
        <v>0.35</v>
      </c>
      <c r="I371" s="113">
        <v>669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</v>
      </c>
      <c r="H372" s="116">
        <v>0.02</v>
      </c>
      <c r="I372" s="113">
        <v>3099</v>
      </c>
      <c r="J372" s="115" t="s">
        <v>271</v>
      </c>
    </row>
    <row r="373" spans="1:10" x14ac:dyDescent="0.25">
      <c r="A373" s="113">
        <v>370</v>
      </c>
      <c r="B373" s="114" t="s">
        <v>2398</v>
      </c>
      <c r="C373" s="115" t="s">
        <v>2399</v>
      </c>
      <c r="D373" s="115" t="s">
        <v>461</v>
      </c>
      <c r="E373" s="115" t="s">
        <v>1120</v>
      </c>
      <c r="F373" s="116">
        <v>90.416042251905154</v>
      </c>
      <c r="G373" s="116">
        <v>91.477742251905156</v>
      </c>
      <c r="H373" s="116">
        <v>20.51</v>
      </c>
      <c r="I373" s="113">
        <v>3579</v>
      </c>
      <c r="J373" s="115" t="s">
        <v>271</v>
      </c>
    </row>
    <row r="374" spans="1:10" x14ac:dyDescent="0.25">
      <c r="A374" s="113">
        <v>371</v>
      </c>
      <c r="B374" s="114" t="s">
        <v>2329</v>
      </c>
      <c r="C374" s="115" t="s">
        <v>2330</v>
      </c>
      <c r="D374" s="115" t="s">
        <v>461</v>
      </c>
      <c r="E374" s="115" t="s">
        <v>1120</v>
      </c>
      <c r="F374" s="116">
        <v>90.418102095566198</v>
      </c>
      <c r="G374" s="116">
        <v>92.0864020955662</v>
      </c>
      <c r="H374" s="116">
        <v>20.5</v>
      </c>
      <c r="I374" s="113">
        <v>3567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105.7983</v>
      </c>
      <c r="H375" s="116">
        <v>7.09</v>
      </c>
      <c r="I375" s="113">
        <v>2226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89.398479800908831</v>
      </c>
      <c r="G376" s="116">
        <v>89.431579800908835</v>
      </c>
      <c r="H376" s="116">
        <v>16.53</v>
      </c>
      <c r="I376" s="113">
        <v>1079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101.11052456249887</v>
      </c>
      <c r="G377" s="116">
        <v>102.18702456249888</v>
      </c>
      <c r="H377" s="116">
        <v>16.440000000000001</v>
      </c>
      <c r="I377" s="113">
        <v>1417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109.29561015365597</v>
      </c>
      <c r="G378" s="116">
        <v>111.38101015365598</v>
      </c>
      <c r="H378" s="116">
        <v>16.39</v>
      </c>
      <c r="I378" s="113">
        <v>1761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100.12402329351185</v>
      </c>
      <c r="G379" s="116">
        <v>101.58652329351186</v>
      </c>
      <c r="H379" s="116">
        <v>6.45</v>
      </c>
      <c r="I379" s="113">
        <v>999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3384.949634576958</v>
      </c>
      <c r="G383" s="116">
        <v>3384.949634576958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1443.853905893794</v>
      </c>
      <c r="G384" s="116">
        <v>1443.853905893794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84.116852415062212</v>
      </c>
      <c r="G385" s="116">
        <v>87.162652415062212</v>
      </c>
      <c r="H385" s="116">
        <v>17.43</v>
      </c>
      <c r="I385" s="113">
        <v>2075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77.063781888085046</v>
      </c>
      <c r="G386" s="116">
        <v>88.308181888085045</v>
      </c>
      <c r="H386" s="116">
        <v>17.399999999999999</v>
      </c>
      <c r="I386" s="113">
        <v>2528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73.131487828990871</v>
      </c>
      <c r="G387" s="116">
        <v>75.667587828990875</v>
      </c>
      <c r="H387" s="116">
        <v>16.649999999999999</v>
      </c>
      <c r="I387" s="113">
        <v>3517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103.1306</v>
      </c>
      <c r="H388" s="116">
        <v>18.71</v>
      </c>
      <c r="I388" s="113">
        <v>4505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75.442492162216254</v>
      </c>
      <c r="G389" s="116">
        <v>85.442492162216254</v>
      </c>
      <c r="H389" s="116">
        <v>18.399999999999999</v>
      </c>
      <c r="I389" s="113">
        <v>2580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82.788800041964734</v>
      </c>
      <c r="G390" s="116">
        <v>87.776300041964745</v>
      </c>
      <c r="H390" s="116">
        <v>18.7</v>
      </c>
      <c r="I390" s="113">
        <v>891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73.711256945775048</v>
      </c>
      <c r="G391" s="116">
        <v>78.091856945775049</v>
      </c>
      <c r="H391" s="116">
        <v>17.170000000000002</v>
      </c>
      <c r="I391" s="113">
        <v>1994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99.524319108750987</v>
      </c>
      <c r="G392" s="116">
        <v>107.55211910875099</v>
      </c>
      <c r="H392" s="116">
        <v>17.11</v>
      </c>
      <c r="I392" s="113">
        <v>20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103.9627</v>
      </c>
      <c r="H393" s="116">
        <v>17.72</v>
      </c>
      <c r="I393" s="113">
        <v>103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106.9242</v>
      </c>
      <c r="H394" s="116">
        <v>16.84</v>
      </c>
      <c r="I394" s="113">
        <v>39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104.3976</v>
      </c>
      <c r="H395" s="116">
        <v>18.190000000000001</v>
      </c>
      <c r="I395" s="113">
        <v>826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101.59820000000001</v>
      </c>
      <c r="H396" s="116">
        <v>18.2</v>
      </c>
      <c r="I396" s="113">
        <v>882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101.61579999999999</v>
      </c>
      <c r="H397" s="116">
        <v>18.41</v>
      </c>
      <c r="I397" s="113">
        <v>1613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104.4217</v>
      </c>
      <c r="H398" s="116">
        <v>18.309999999999999</v>
      </c>
      <c r="I398" s="113">
        <v>1557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97.758515588645878</v>
      </c>
      <c r="G399" s="116">
        <v>104.35571558864588</v>
      </c>
      <c r="H399" s="116">
        <v>17.059999999999999</v>
      </c>
      <c r="I399" s="113">
        <v>110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99.442792817452712</v>
      </c>
      <c r="G400" s="116">
        <v>110.62339281745271</v>
      </c>
      <c r="H400" s="116">
        <v>17.28</v>
      </c>
      <c r="I400" s="113">
        <v>38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107.09910000000001</v>
      </c>
      <c r="H401" s="116">
        <v>18</v>
      </c>
      <c r="I401" s="113">
        <v>222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101.748</v>
      </c>
      <c r="H402" s="116">
        <v>16.72</v>
      </c>
      <c r="I402" s="113">
        <v>327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83.744824517910956</v>
      </c>
      <c r="G403" s="116">
        <v>90.26292451791096</v>
      </c>
      <c r="H403" s="116">
        <v>18.68</v>
      </c>
      <c r="I403" s="113">
        <v>833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97.360469248856603</v>
      </c>
      <c r="G404" s="116">
        <v>104.02716924885661</v>
      </c>
      <c r="H404" s="116">
        <v>18.27</v>
      </c>
      <c r="I404" s="113">
        <v>168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71.240283711040263</v>
      </c>
      <c r="G405" s="116">
        <v>78.391683711040258</v>
      </c>
      <c r="H405" s="116">
        <v>18.47</v>
      </c>
      <c r="I405" s="113">
        <v>1889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94.531189542240412</v>
      </c>
      <c r="G406" s="116">
        <v>106.30198954224041</v>
      </c>
      <c r="H406" s="116">
        <v>18.59</v>
      </c>
      <c r="I406" s="113">
        <v>381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94.316052902658683</v>
      </c>
      <c r="G407" s="116">
        <v>105.60075290265868</v>
      </c>
      <c r="H407" s="116">
        <v>18.59</v>
      </c>
      <c r="I407" s="113">
        <v>395</v>
      </c>
      <c r="J407" s="115" t="s">
        <v>271</v>
      </c>
    </row>
    <row r="408" spans="1:10" x14ac:dyDescent="0.25">
      <c r="A408" s="113">
        <v>405</v>
      </c>
      <c r="B408" s="114" t="s">
        <v>2433</v>
      </c>
      <c r="C408" s="115" t="s">
        <v>2434</v>
      </c>
      <c r="D408" s="115" t="s">
        <v>461</v>
      </c>
      <c r="E408" s="115" t="s">
        <v>25</v>
      </c>
      <c r="F408" s="116">
        <v>95.067350793661149</v>
      </c>
      <c r="G408" s="116">
        <v>95.553450793661156</v>
      </c>
      <c r="H408" s="116">
        <v>18.52</v>
      </c>
      <c r="I408" s="113">
        <v>346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96.667175878309763</v>
      </c>
      <c r="G409" s="116">
        <v>101.45887587830975</v>
      </c>
      <c r="H409" s="116">
        <v>18.239999999999998</v>
      </c>
      <c r="I409" s="113">
        <v>222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96.287828764994785</v>
      </c>
      <c r="G410" s="116">
        <v>100.07252876499479</v>
      </c>
      <c r="H410" s="116">
        <v>18.28</v>
      </c>
      <c r="I410" s="113">
        <v>251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99.339105379798184</v>
      </c>
      <c r="G411" s="116">
        <v>110.38080537979818</v>
      </c>
      <c r="H411" s="116">
        <v>17.7</v>
      </c>
      <c r="I411" s="113">
        <v>42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97.402846609022646</v>
      </c>
      <c r="G412" s="116">
        <v>104.17364660902265</v>
      </c>
      <c r="H412" s="116">
        <v>18.27</v>
      </c>
      <c r="I412" s="113">
        <v>165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95.743346217141976</v>
      </c>
      <c r="G413" s="116">
        <v>98.139146217141985</v>
      </c>
      <c r="H413" s="116">
        <v>18.41</v>
      </c>
      <c r="I413" s="113">
        <v>291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95.828054913374643</v>
      </c>
      <c r="G414" s="116">
        <v>98.46695491337465</v>
      </c>
      <c r="H414" s="116">
        <v>18.399999999999999</v>
      </c>
      <c r="I414" s="113">
        <v>284</v>
      </c>
      <c r="J414" s="115" t="s">
        <v>271</v>
      </c>
    </row>
    <row r="415" spans="1:10" x14ac:dyDescent="0.25">
      <c r="A415" s="113">
        <v>412</v>
      </c>
      <c r="B415" s="114" t="s">
        <v>2309</v>
      </c>
      <c r="C415" s="115" t="s">
        <v>2310</v>
      </c>
      <c r="D415" s="115" t="s">
        <v>461</v>
      </c>
      <c r="E415" s="115" t="s">
        <v>25</v>
      </c>
      <c r="F415" s="116">
        <v>95.495187280503387</v>
      </c>
      <c r="G415" s="116">
        <v>97.161887280503393</v>
      </c>
      <c r="H415" s="116">
        <v>18.43</v>
      </c>
      <c r="I415" s="113">
        <v>312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97.083026304984529</v>
      </c>
      <c r="G416" s="116">
        <v>102.59832630498454</v>
      </c>
      <c r="H416" s="116">
        <v>16.79</v>
      </c>
      <c r="I416" s="113">
        <v>151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92.299001961641821</v>
      </c>
      <c r="G417" s="116">
        <v>98.82680196164182</v>
      </c>
      <c r="H417" s="116">
        <v>18.71</v>
      </c>
      <c r="I417" s="113">
        <v>532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91.960930992851189</v>
      </c>
      <c r="G418" s="116">
        <v>97.204030992851187</v>
      </c>
      <c r="H418" s="116">
        <v>18.63</v>
      </c>
      <c r="I418" s="113">
        <v>569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91.464773002763422</v>
      </c>
      <c r="G419" s="116">
        <v>95.249473002763423</v>
      </c>
      <c r="H419" s="116">
        <v>18.649999999999999</v>
      </c>
      <c r="I419" s="113">
        <v>611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100.0311</v>
      </c>
      <c r="H420" s="116">
        <v>0.35</v>
      </c>
      <c r="I420" s="113">
        <v>328</v>
      </c>
      <c r="J420" s="115" t="s">
        <v>271</v>
      </c>
    </row>
    <row r="421" spans="1:10" x14ac:dyDescent="0.25">
      <c r="A421" s="113">
        <v>418</v>
      </c>
      <c r="B421" s="114" t="s">
        <v>2654</v>
      </c>
      <c r="C421" s="115" t="s">
        <v>2655</v>
      </c>
      <c r="D421" s="115" t="s">
        <v>461</v>
      </c>
      <c r="E421" s="115" t="s">
        <v>1160</v>
      </c>
      <c r="F421" s="116">
        <v>100</v>
      </c>
      <c r="G421" s="116">
        <v>100.001</v>
      </c>
      <c r="H421" s="116">
        <v>0.35</v>
      </c>
      <c r="I421" s="113">
        <v>719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</v>
      </c>
      <c r="H422" s="116">
        <v>0.02</v>
      </c>
      <c r="I422" s="113">
        <v>3099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104.6742</v>
      </c>
      <c r="H423" s="116">
        <v>7.05</v>
      </c>
      <c r="I423" s="113">
        <v>2196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100.94889999999999</v>
      </c>
      <c r="H424" s="116">
        <v>6.08</v>
      </c>
      <c r="I424" s="113">
        <v>1714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105.7983</v>
      </c>
      <c r="H425" s="116">
        <v>7.08</v>
      </c>
      <c r="I425" s="113">
        <v>2196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100.1186</v>
      </c>
      <c r="H426" s="116">
        <v>6.09</v>
      </c>
      <c r="I426" s="113">
        <v>2123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105.0664</v>
      </c>
      <c r="H427" s="116">
        <v>6.08</v>
      </c>
      <c r="I427" s="113">
        <v>2551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105.0664</v>
      </c>
      <c r="H428" s="116">
        <v>6.08</v>
      </c>
      <c r="I428" s="113">
        <v>2551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98.575114617108824</v>
      </c>
      <c r="G429" s="116">
        <v>106.49181461710883</v>
      </c>
      <c r="H429" s="116">
        <v>18.190000000000001</v>
      </c>
      <c r="I429" s="113">
        <v>60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19772.123833246653</v>
      </c>
      <c r="G432" s="116">
        <v>19772.123833246653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100.136</v>
      </c>
      <c r="G433" s="116">
        <v>101.7457</v>
      </c>
      <c r="H433" s="116">
        <v>4.66</v>
      </c>
      <c r="I433" s="113">
        <v>598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89.57</v>
      </c>
      <c r="G434" s="116">
        <v>91.518600000000006</v>
      </c>
      <c r="H434" s="116">
        <v>6.67</v>
      </c>
      <c r="I434" s="113">
        <v>7798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101.551</v>
      </c>
      <c r="G435" s="116">
        <v>103.2979</v>
      </c>
      <c r="H435" s="116">
        <v>5</v>
      </c>
      <c r="I435" s="113">
        <v>1683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95.558999999999997</v>
      </c>
      <c r="G436" s="116">
        <v>97.630899999999997</v>
      </c>
      <c r="H436" s="116">
        <v>6.76</v>
      </c>
      <c r="I436" s="113">
        <v>8343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88.093999999999994</v>
      </c>
      <c r="G437" s="116">
        <v>89.328699999999998</v>
      </c>
      <c r="H437" s="116">
        <v>5.42</v>
      </c>
      <c r="I437" s="113">
        <v>2753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100.0826</v>
      </c>
      <c r="H438" s="116">
        <v>4.24</v>
      </c>
      <c r="I438" s="113">
        <v>293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100.0797</v>
      </c>
      <c r="H439" s="116">
        <v>0.35</v>
      </c>
      <c r="I439" s="113">
        <v>98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100.0399</v>
      </c>
      <c r="H440" s="116">
        <v>0.35</v>
      </c>
      <c r="I440" s="113">
        <v>319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100.0943</v>
      </c>
      <c r="H441" s="116">
        <v>0.35</v>
      </c>
      <c r="I441" s="113">
        <v>623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100.0136</v>
      </c>
      <c r="H442" s="116">
        <v>0.02</v>
      </c>
      <c r="I442" s="113">
        <v>3099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100.0034</v>
      </c>
      <c r="H443" s="116">
        <v>0.02</v>
      </c>
      <c r="I443" s="113">
        <v>3099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100.94889999999999</v>
      </c>
      <c r="H444" s="116">
        <v>6.08</v>
      </c>
      <c r="I444" s="113">
        <v>1714</v>
      </c>
      <c r="J444" s="115" t="s">
        <v>271</v>
      </c>
    </row>
    <row r="445" spans="1:10" x14ac:dyDescent="0.25">
      <c r="A445" s="113">
        <v>442</v>
      </c>
      <c r="B445" s="114" t="s">
        <v>2400</v>
      </c>
      <c r="C445" s="115" t="s">
        <v>2401</v>
      </c>
      <c r="D445" s="115" t="s">
        <v>461</v>
      </c>
      <c r="E445" s="115" t="s">
        <v>1192</v>
      </c>
      <c r="F445" s="116">
        <v>90.416042251905154</v>
      </c>
      <c r="G445" s="116">
        <v>91.477742251905156</v>
      </c>
      <c r="H445" s="116">
        <v>20.51</v>
      </c>
      <c r="I445" s="113">
        <v>3579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100.1186</v>
      </c>
      <c r="H446" s="116">
        <v>6.09</v>
      </c>
      <c r="I446" s="113">
        <v>2123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105.0664</v>
      </c>
      <c r="H447" s="116">
        <v>6.08</v>
      </c>
      <c r="I447" s="113">
        <v>2551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105.0664</v>
      </c>
      <c r="H448" s="116">
        <v>6.08</v>
      </c>
      <c r="I448" s="113">
        <v>2551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103.9311</v>
      </c>
      <c r="H449" s="116">
        <v>6.08</v>
      </c>
      <c r="I449" s="113">
        <v>2618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38246.962500000001</v>
      </c>
      <c r="G451" s="116">
        <v>38246.962500000001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101.1688</v>
      </c>
      <c r="H452" s="116">
        <v>4.2300000000000004</v>
      </c>
      <c r="I452" s="113">
        <v>381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100.0865</v>
      </c>
      <c r="H453" s="116">
        <v>0.35</v>
      </c>
      <c r="I453" s="113">
        <v>91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100.0204</v>
      </c>
      <c r="H454" s="116">
        <v>0.35</v>
      </c>
      <c r="I454" s="113">
        <v>339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100.11960000000001</v>
      </c>
      <c r="H455" s="116">
        <v>0.35</v>
      </c>
      <c r="I455" s="113">
        <v>597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100.0009</v>
      </c>
      <c r="H456" s="116">
        <v>0.02</v>
      </c>
      <c r="I456" s="113">
        <v>3099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100.0038</v>
      </c>
      <c r="H457" s="116">
        <v>0.02</v>
      </c>
      <c r="I457" s="113">
        <v>3099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100.94889999999999</v>
      </c>
      <c r="H458" s="116">
        <v>6.08</v>
      </c>
      <c r="I458" s="113">
        <v>1714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105.7983</v>
      </c>
      <c r="H459" s="116">
        <v>7.08</v>
      </c>
      <c r="I459" s="113">
        <v>2196</v>
      </c>
      <c r="J459" s="115" t="s">
        <v>271</v>
      </c>
    </row>
    <row r="460" spans="1:10" x14ac:dyDescent="0.25">
      <c r="A460" s="113">
        <v>457</v>
      </c>
      <c r="B460" s="114" t="s">
        <v>2331</v>
      </c>
      <c r="C460" s="115" t="s">
        <v>2332</v>
      </c>
      <c r="D460" s="115" t="s">
        <v>461</v>
      </c>
      <c r="E460" s="115" t="s">
        <v>1214</v>
      </c>
      <c r="F460" s="116">
        <v>90.418102095566198</v>
      </c>
      <c r="G460" s="116">
        <v>92.0864020955662</v>
      </c>
      <c r="H460" s="116">
        <v>20.5</v>
      </c>
      <c r="I460" s="113">
        <v>3567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100.1186</v>
      </c>
      <c r="H461" s="116">
        <v>6.09</v>
      </c>
      <c r="I461" s="113">
        <v>2123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105.0664</v>
      </c>
      <c r="H462" s="116">
        <v>6.08</v>
      </c>
      <c r="I462" s="113">
        <v>2551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105.0664</v>
      </c>
      <c r="H463" s="116">
        <v>6.08</v>
      </c>
      <c r="I463" s="113">
        <v>2551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103.9311</v>
      </c>
      <c r="H464" s="116">
        <v>6.08</v>
      </c>
      <c r="I464" s="113">
        <v>2618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50623.583058208314</v>
      </c>
      <c r="G466" s="116">
        <v>50623.583058208314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51054.972275289314</v>
      </c>
      <c r="G467" s="116">
        <v>51054.972275289314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96.567391390878981</v>
      </c>
      <c r="G468" s="116">
        <v>97.879891390878981</v>
      </c>
      <c r="H468" s="116">
        <v>18.75</v>
      </c>
      <c r="I468" s="113">
        <v>117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98.853053283821424</v>
      </c>
      <c r="G469" s="116">
        <v>101.81135328382143</v>
      </c>
      <c r="H469" s="116">
        <v>18.690000000000001</v>
      </c>
      <c r="I469" s="113">
        <v>38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82.532052543655098</v>
      </c>
      <c r="G471" s="116">
        <v>84.94875254365509</v>
      </c>
      <c r="H471" s="116">
        <v>19.95</v>
      </c>
      <c r="I471" s="113">
        <v>2282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93.033921841371622</v>
      </c>
      <c r="G472" s="116">
        <v>95.328321841371618</v>
      </c>
      <c r="H472" s="116">
        <v>20.14</v>
      </c>
      <c r="I472" s="113">
        <v>481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1028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58.514531229458285</v>
      </c>
      <c r="G474" s="116">
        <v>65.792331229458284</v>
      </c>
      <c r="H474" s="116">
        <v>20.9</v>
      </c>
      <c r="I474" s="113">
        <v>2978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23305</v>
      </c>
      <c r="G475" s="116">
        <v>23305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22973.179727917224</v>
      </c>
      <c r="G476" s="116">
        <v>22973.179727917224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78.700046820158335</v>
      </c>
      <c r="G479" s="116">
        <v>83.872246820158338</v>
      </c>
      <c r="H479" s="116">
        <v>20.190000000000001</v>
      </c>
      <c r="I479" s="113">
        <v>2207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87.001541072455041</v>
      </c>
      <c r="G481" s="116">
        <v>88.926541072455038</v>
      </c>
      <c r="H481" s="116">
        <v>17.54</v>
      </c>
      <c r="I481" s="113">
        <v>834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2.295365923003283</v>
      </c>
      <c r="G482" s="116">
        <v>2.3120659230032827</v>
      </c>
      <c r="H482" s="116">
        <v>17.39</v>
      </c>
      <c r="I482" s="113">
        <v>8580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1.9959016140674815</v>
      </c>
      <c r="G483" s="116">
        <v>2.0001016140674812</v>
      </c>
      <c r="H483" s="116">
        <v>17.39</v>
      </c>
      <c r="I483" s="113">
        <v>8985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96.541515889743522</v>
      </c>
      <c r="G484" s="116">
        <v>101.58111588974351</v>
      </c>
      <c r="H484" s="116">
        <v>17.649999999999999</v>
      </c>
      <c r="I484" s="113">
        <v>183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1.368444911121721</v>
      </c>
      <c r="G485" s="116">
        <v>1.380344911121721</v>
      </c>
      <c r="H485" s="116">
        <v>17.39</v>
      </c>
      <c r="I485" s="113">
        <v>10217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1.8469365702413794</v>
      </c>
      <c r="G486" s="116">
        <v>1.8608365702413792</v>
      </c>
      <c r="H486" s="116">
        <v>17.39</v>
      </c>
      <c r="I486" s="113">
        <v>9220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51.133241401239118</v>
      </c>
      <c r="G487" s="116">
        <v>55.012841401239115</v>
      </c>
      <c r="H487" s="116">
        <v>18.760000000000002</v>
      </c>
      <c r="I487" s="113">
        <v>2648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70.754478218127502</v>
      </c>
      <c r="G488" s="116">
        <v>71.8776782181275</v>
      </c>
      <c r="H488" s="116">
        <v>18.05</v>
      </c>
      <c r="I488" s="113">
        <v>1754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1.6764823078656261</v>
      </c>
      <c r="G489" s="116">
        <v>1.6811823078656263</v>
      </c>
      <c r="H489" s="116">
        <v>17.39</v>
      </c>
      <c r="I489" s="113">
        <v>9523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58.842179832317264</v>
      </c>
      <c r="G490" s="116">
        <v>64.575179832317261</v>
      </c>
      <c r="H490" s="116">
        <v>18.8</v>
      </c>
      <c r="I490" s="113">
        <v>2226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1751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34.595274006020595</v>
      </c>
      <c r="G492" s="116">
        <v>35.045274006020598</v>
      </c>
      <c r="H492" s="116">
        <v>17.89</v>
      </c>
      <c r="I492" s="113">
        <v>3920</v>
      </c>
      <c r="J492" s="115" t="s">
        <v>271</v>
      </c>
    </row>
    <row r="493" spans="1:10" x14ac:dyDescent="0.25">
      <c r="A493" s="113">
        <v>490</v>
      </c>
      <c r="B493" s="114" t="s">
        <v>2384</v>
      </c>
      <c r="C493" s="115" t="s">
        <v>2385</v>
      </c>
      <c r="D493" s="115" t="s">
        <v>461</v>
      </c>
      <c r="E493" s="115" t="s">
        <v>824</v>
      </c>
      <c r="F493" s="116">
        <v>97.251230217210193</v>
      </c>
      <c r="G493" s="116">
        <v>98.601230217210201</v>
      </c>
      <c r="H493" s="116">
        <v>18.87</v>
      </c>
      <c r="I493" s="113">
        <v>1773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103.47436009787475</v>
      </c>
      <c r="G494" s="116">
        <v>112.88546009787476</v>
      </c>
      <c r="H494" s="116">
        <v>20.170000000000002</v>
      </c>
      <c r="I494" s="113">
        <v>926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98.897999999999996</v>
      </c>
      <c r="G495" s="116">
        <v>100.6602</v>
      </c>
      <c r="H495" s="116">
        <v>4.93</v>
      </c>
      <c r="I495" s="113">
        <v>755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41055.928834565733</v>
      </c>
      <c r="G496" s="116">
        <v>41055.928834565733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95.2777584649495</v>
      </c>
      <c r="G497" s="116">
        <v>97.258358464949495</v>
      </c>
      <c r="H497" s="116">
        <v>17.809999999999999</v>
      </c>
      <c r="I497" s="113">
        <v>298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33650</v>
      </c>
      <c r="G498" s="116">
        <v>33650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807.20020255659267</v>
      </c>
      <c r="G499" s="116">
        <v>807.20020255659267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92.468383239936614</v>
      </c>
      <c r="G500" s="116">
        <v>99.960083239936623</v>
      </c>
      <c r="H500" s="116">
        <v>25.29</v>
      </c>
      <c r="I500" s="113">
        <v>1136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91.245000000000005</v>
      </c>
      <c r="G501" s="116">
        <v>92.964799999999997</v>
      </c>
      <c r="H501" s="116">
        <v>5.63</v>
      </c>
      <c r="I501" s="113">
        <v>6893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98.292453969974716</v>
      </c>
      <c r="G502" s="116">
        <v>100.14595396997471</v>
      </c>
      <c r="H502" s="116">
        <v>2.94</v>
      </c>
      <c r="I502" s="113">
        <v>1176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97.676724815554266</v>
      </c>
      <c r="G503" s="116">
        <v>98.210524815554265</v>
      </c>
      <c r="H503" s="116">
        <v>2.75</v>
      </c>
      <c r="I503" s="113">
        <v>405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85.658481674126392</v>
      </c>
      <c r="G504" s="116">
        <v>88.4399816741264</v>
      </c>
      <c r="H504" s="116">
        <v>14.85</v>
      </c>
      <c r="I504" s="113">
        <v>755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72.734640841531117</v>
      </c>
      <c r="G505" s="116">
        <v>75.707240841531117</v>
      </c>
      <c r="H505" s="116">
        <v>14.85</v>
      </c>
      <c r="I505" s="113">
        <v>1847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93.973757426371293</v>
      </c>
      <c r="G506" s="116">
        <v>95.182857426371299</v>
      </c>
      <c r="H506" s="116">
        <v>15.4</v>
      </c>
      <c r="I506" s="113">
        <v>305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83.945873162003494</v>
      </c>
      <c r="G507" s="116">
        <v>85.188873162003489</v>
      </c>
      <c r="H507" s="116">
        <v>14.83</v>
      </c>
      <c r="I507" s="113">
        <v>1033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73.560862921186214</v>
      </c>
      <c r="G508" s="116">
        <v>74.841062921186207</v>
      </c>
      <c r="H508" s="116">
        <v>14.85</v>
      </c>
      <c r="I508" s="113">
        <v>2125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73.560862921186214</v>
      </c>
      <c r="G509" s="116">
        <v>74.841062921186207</v>
      </c>
      <c r="H509" s="116">
        <v>14.85</v>
      </c>
      <c r="I509" s="113">
        <v>2125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109.273</v>
      </c>
      <c r="G510" s="116">
        <v>109.8147</v>
      </c>
      <c r="H510" s="116">
        <v>5.71</v>
      </c>
      <c r="I510" s="113">
        <v>7170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97.747</v>
      </c>
      <c r="G511" s="116">
        <v>99.475499999999997</v>
      </c>
      <c r="H511" s="116">
        <v>5.01</v>
      </c>
      <c r="I511" s="113">
        <v>3468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100.745</v>
      </c>
      <c r="G512" s="116">
        <v>101.43940000000001</v>
      </c>
      <c r="H512" s="116">
        <v>4.87</v>
      </c>
      <c r="I512" s="113">
        <v>2470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100.974</v>
      </c>
      <c r="G513" s="116">
        <v>101.7379</v>
      </c>
      <c r="H513" s="116">
        <v>5.39</v>
      </c>
      <c r="I513" s="113">
        <v>4270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100.36878400122983</v>
      </c>
      <c r="G516" s="116">
        <v>109.10768400122983</v>
      </c>
      <c r="H516" s="116">
        <v>21.76</v>
      </c>
      <c r="I516" s="113">
        <v>937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59033.0625</v>
      </c>
      <c r="G517" s="116">
        <v>59033.0625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99.901079861380083</v>
      </c>
      <c r="G519" s="116">
        <v>108.61457986138008</v>
      </c>
      <c r="H519" s="116">
        <v>10.35</v>
      </c>
      <c r="I519" s="113">
        <v>46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317655.76500000001</v>
      </c>
      <c r="G521" s="116">
        <v>317655.76500000001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397539.54749999999</v>
      </c>
      <c r="G522" s="116">
        <v>397539.54749999999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94.911814735494161</v>
      </c>
      <c r="G523" s="116">
        <v>99.40351473549417</v>
      </c>
      <c r="H523" s="116">
        <v>22.29</v>
      </c>
      <c r="I523" s="113">
        <v>3433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98.545996029119792</v>
      </c>
      <c r="G524" s="116">
        <v>102.39879602911979</v>
      </c>
      <c r="H524" s="116">
        <v>24.14</v>
      </c>
      <c r="I524" s="113">
        <v>107</v>
      </c>
      <c r="J524" s="115" t="s">
        <v>271</v>
      </c>
    </row>
    <row r="525" spans="1:10" x14ac:dyDescent="0.25">
      <c r="A525" s="113">
        <v>522</v>
      </c>
      <c r="B525" s="114" t="s">
        <v>2402</v>
      </c>
      <c r="C525" s="115" t="s">
        <v>2403</v>
      </c>
      <c r="D525" s="115" t="s">
        <v>461</v>
      </c>
      <c r="E525" s="115" t="s">
        <v>1347</v>
      </c>
      <c r="F525" s="116">
        <v>99.369000635678319</v>
      </c>
      <c r="G525" s="116">
        <v>100.53570063567831</v>
      </c>
      <c r="H525" s="116">
        <v>20.39</v>
      </c>
      <c r="I525" s="113">
        <v>699</v>
      </c>
      <c r="J525" s="115" t="s">
        <v>271</v>
      </c>
    </row>
    <row r="526" spans="1:10" x14ac:dyDescent="0.25">
      <c r="A526" s="113">
        <v>523</v>
      </c>
      <c r="B526" s="114" t="s">
        <v>1348</v>
      </c>
      <c r="C526" s="115" t="s">
        <v>1349</v>
      </c>
      <c r="D526" s="115" t="s">
        <v>461</v>
      </c>
      <c r="E526" s="115" t="s">
        <v>1350</v>
      </c>
      <c r="F526" s="116">
        <v>100.04304600924208</v>
      </c>
      <c r="G526" s="116">
        <v>103.46524600924208</v>
      </c>
      <c r="H526" s="116">
        <v>21.16</v>
      </c>
      <c r="I526" s="113">
        <v>34</v>
      </c>
      <c r="J526" s="115" t="s">
        <v>271</v>
      </c>
    </row>
    <row r="527" spans="1:10" x14ac:dyDescent="0.25">
      <c r="A527" s="113">
        <v>524</v>
      </c>
      <c r="B527" s="114" t="s">
        <v>1351</v>
      </c>
      <c r="C527" s="115" t="s">
        <v>1352</v>
      </c>
      <c r="D527" s="115" t="s">
        <v>461</v>
      </c>
      <c r="E527" s="115" t="s">
        <v>1350</v>
      </c>
      <c r="F527" s="116">
        <v>99.979665367798006</v>
      </c>
      <c r="G527" s="116">
        <v>101.646365367798</v>
      </c>
      <c r="H527" s="116">
        <v>12.09</v>
      </c>
      <c r="I527" s="113">
        <v>40</v>
      </c>
      <c r="J527" s="115" t="s">
        <v>271</v>
      </c>
    </row>
    <row r="528" spans="1:10" x14ac:dyDescent="0.25">
      <c r="A528" s="113">
        <v>525</v>
      </c>
      <c r="B528" s="114" t="s">
        <v>2263</v>
      </c>
      <c r="C528" s="115" t="s">
        <v>2264</v>
      </c>
      <c r="D528" s="115" t="s">
        <v>461</v>
      </c>
      <c r="E528" s="115" t="s">
        <v>1350</v>
      </c>
      <c r="F528" s="116">
        <v>100.33206033272189</v>
      </c>
      <c r="G528" s="116">
        <v>102.1987603327219</v>
      </c>
      <c r="H528" s="116">
        <v>11.57</v>
      </c>
      <c r="I528" s="113">
        <v>304</v>
      </c>
      <c r="J528" s="115" t="s">
        <v>271</v>
      </c>
    </row>
    <row r="529" spans="1:10" x14ac:dyDescent="0.25">
      <c r="A529" s="113">
        <v>526</v>
      </c>
      <c r="B529" s="114" t="s">
        <v>1354</v>
      </c>
      <c r="C529" s="115" t="s">
        <v>1355</v>
      </c>
      <c r="D529" s="115" t="s">
        <v>461</v>
      </c>
      <c r="E529" s="115" t="s">
        <v>1353</v>
      </c>
      <c r="F529" s="116">
        <v>99.80652884598895</v>
      </c>
      <c r="G529" s="116">
        <v>102.53982884598895</v>
      </c>
      <c r="H529" s="116">
        <v>25.14</v>
      </c>
      <c r="I529" s="113">
        <v>49</v>
      </c>
      <c r="J529" s="115" t="s">
        <v>271</v>
      </c>
    </row>
    <row r="530" spans="1:10" x14ac:dyDescent="0.25">
      <c r="A530" s="113">
        <v>527</v>
      </c>
      <c r="B530" s="114" t="s">
        <v>1356</v>
      </c>
      <c r="C530" s="115" t="s">
        <v>1357</v>
      </c>
      <c r="D530" s="115" t="s">
        <v>461</v>
      </c>
      <c r="E530" s="115" t="s">
        <v>1358</v>
      </c>
      <c r="F530" s="116">
        <v>99.06500154305553</v>
      </c>
      <c r="G530" s="116">
        <v>103.44000154305553</v>
      </c>
      <c r="H530" s="116">
        <v>21.46</v>
      </c>
      <c r="I530" s="113">
        <v>825</v>
      </c>
      <c r="J530" s="115" t="s">
        <v>271</v>
      </c>
    </row>
    <row r="531" spans="1:10" x14ac:dyDescent="0.25">
      <c r="A531" s="113">
        <v>528</v>
      </c>
      <c r="B531" s="114" t="s">
        <v>2296</v>
      </c>
      <c r="C531" s="115" t="s">
        <v>2297</v>
      </c>
      <c r="D531" s="115" t="s">
        <v>461</v>
      </c>
      <c r="E531" s="115" t="s">
        <v>1358</v>
      </c>
      <c r="F531" s="116">
        <v>100.67245560273331</v>
      </c>
      <c r="G531" s="116">
        <v>102.82245560273331</v>
      </c>
      <c r="H531" s="116">
        <v>20.91</v>
      </c>
      <c r="I531" s="113">
        <v>504</v>
      </c>
      <c r="J531" s="115" t="s">
        <v>271</v>
      </c>
    </row>
    <row r="532" spans="1:10" x14ac:dyDescent="0.25">
      <c r="A532" s="113">
        <v>529</v>
      </c>
      <c r="B532" s="114" t="s">
        <v>2298</v>
      </c>
      <c r="C532" s="115" t="s">
        <v>2299</v>
      </c>
      <c r="D532" s="115" t="s">
        <v>451</v>
      </c>
      <c r="E532" s="115" t="s">
        <v>1358</v>
      </c>
      <c r="F532" s="116">
        <v>1000</v>
      </c>
      <c r="G532" s="116">
        <v>1000</v>
      </c>
      <c r="H532" s="116">
        <v>0</v>
      </c>
      <c r="I532" s="113">
        <v>0</v>
      </c>
      <c r="J532" s="115" t="s">
        <v>240</v>
      </c>
    </row>
    <row r="533" spans="1:10" x14ac:dyDescent="0.25">
      <c r="A533" s="113">
        <v>530</v>
      </c>
      <c r="B533" s="114" t="s">
        <v>1359</v>
      </c>
      <c r="C533" s="115" t="s">
        <v>1360</v>
      </c>
      <c r="D533" s="115" t="s">
        <v>461</v>
      </c>
      <c r="E533" s="115" t="s">
        <v>1361</v>
      </c>
      <c r="F533" s="116">
        <v>98.907799999999995</v>
      </c>
      <c r="G533" s="116">
        <v>103.8078</v>
      </c>
      <c r="H533" s="116">
        <v>22</v>
      </c>
      <c r="I533" s="113">
        <v>456</v>
      </c>
      <c r="J533" s="115" t="s">
        <v>271</v>
      </c>
    </row>
    <row r="534" spans="1:10" x14ac:dyDescent="0.25">
      <c r="A534" s="113">
        <v>531</v>
      </c>
      <c r="B534" s="114" t="s">
        <v>2649</v>
      </c>
      <c r="C534" s="115" t="s">
        <v>2650</v>
      </c>
      <c r="D534" s="115" t="s">
        <v>451</v>
      </c>
      <c r="E534" s="115" t="s">
        <v>1361</v>
      </c>
      <c r="F534" s="116">
        <v>1006.24</v>
      </c>
      <c r="G534" s="116">
        <v>1006.24</v>
      </c>
      <c r="H534" s="116">
        <v>0</v>
      </c>
      <c r="I534" s="113">
        <v>0</v>
      </c>
      <c r="J534" s="115" t="s">
        <v>240</v>
      </c>
    </row>
    <row r="535" spans="1:10" x14ac:dyDescent="0.25">
      <c r="A535" s="113">
        <v>532</v>
      </c>
      <c r="B535" s="114" t="s">
        <v>1362</v>
      </c>
      <c r="C535" s="115" t="s">
        <v>1363</v>
      </c>
      <c r="D535" s="115" t="s">
        <v>461</v>
      </c>
      <c r="E535" s="115" t="s">
        <v>2088</v>
      </c>
      <c r="F535" s="116">
        <v>100</v>
      </c>
      <c r="G535" s="116">
        <v>100.4889</v>
      </c>
      <c r="H535" s="116">
        <v>21.99</v>
      </c>
      <c r="I535" s="113">
        <v>622</v>
      </c>
      <c r="J535" s="115" t="s">
        <v>271</v>
      </c>
    </row>
    <row r="536" spans="1:10" x14ac:dyDescent="0.25">
      <c r="A536" s="113">
        <v>533</v>
      </c>
      <c r="B536" s="114" t="s">
        <v>1364</v>
      </c>
      <c r="C536" s="115" t="s">
        <v>1365</v>
      </c>
      <c r="D536" s="115" t="s">
        <v>461</v>
      </c>
      <c r="E536" s="115" t="s">
        <v>1366</v>
      </c>
      <c r="F536" s="116">
        <v>99.991250658687449</v>
      </c>
      <c r="G536" s="116">
        <v>101.66345065868745</v>
      </c>
      <c r="H536" s="116">
        <v>21.45</v>
      </c>
      <c r="I536" s="113">
        <v>152</v>
      </c>
      <c r="J536" s="115" t="s">
        <v>271</v>
      </c>
    </row>
    <row r="537" spans="1:10" x14ac:dyDescent="0.25">
      <c r="A537" s="113">
        <v>534</v>
      </c>
      <c r="B537" s="114" t="s">
        <v>1367</v>
      </c>
      <c r="C537" s="115" t="s">
        <v>1368</v>
      </c>
      <c r="D537" s="115" t="s">
        <v>461</v>
      </c>
      <c r="E537" s="115" t="s">
        <v>1366</v>
      </c>
      <c r="F537" s="116">
        <v>100.45305800735468</v>
      </c>
      <c r="G537" s="116">
        <v>101.43085800735469</v>
      </c>
      <c r="H537" s="116">
        <v>9.84</v>
      </c>
      <c r="I537" s="113">
        <v>148</v>
      </c>
      <c r="J537" s="115" t="s">
        <v>271</v>
      </c>
    </row>
    <row r="538" spans="1:10" x14ac:dyDescent="0.25">
      <c r="A538" s="113">
        <v>535</v>
      </c>
      <c r="B538" s="114" t="s">
        <v>2271</v>
      </c>
      <c r="C538" s="115" t="s">
        <v>2272</v>
      </c>
      <c r="D538" s="115" t="s">
        <v>461</v>
      </c>
      <c r="E538" s="115" t="s">
        <v>1366</v>
      </c>
      <c r="F538" s="116">
        <v>99.997600000000006</v>
      </c>
      <c r="G538" s="116">
        <v>101.4559</v>
      </c>
      <c r="H538" s="116">
        <v>21</v>
      </c>
      <c r="I538" s="113">
        <v>665</v>
      </c>
      <c r="J538" s="115" t="s">
        <v>271</v>
      </c>
    </row>
    <row r="539" spans="1:10" x14ac:dyDescent="0.25">
      <c r="A539" s="113">
        <v>536</v>
      </c>
      <c r="B539" s="114" t="s">
        <v>1369</v>
      </c>
      <c r="C539" s="115" t="s">
        <v>1370</v>
      </c>
      <c r="D539" s="115" t="s">
        <v>461</v>
      </c>
      <c r="E539" s="115" t="s">
        <v>1371</v>
      </c>
      <c r="F539" s="116">
        <v>99.821272473372574</v>
      </c>
      <c r="G539" s="116">
        <v>99.943472473372566</v>
      </c>
      <c r="H539" s="116">
        <v>22.17</v>
      </c>
      <c r="I539" s="113">
        <v>448</v>
      </c>
      <c r="J539" s="115" t="s">
        <v>271</v>
      </c>
    </row>
    <row r="540" spans="1:10" x14ac:dyDescent="0.25">
      <c r="A540" s="113">
        <v>537</v>
      </c>
      <c r="B540" s="114" t="s">
        <v>1372</v>
      </c>
      <c r="C540" s="115" t="s">
        <v>1373</v>
      </c>
      <c r="D540" s="115" t="s">
        <v>461</v>
      </c>
      <c r="E540" s="115" t="s">
        <v>1374</v>
      </c>
      <c r="F540" s="116">
        <v>100.37834613074645</v>
      </c>
      <c r="G540" s="116">
        <v>101.84504613074645</v>
      </c>
      <c r="H540" s="116">
        <v>22.99</v>
      </c>
      <c r="I540" s="113">
        <v>158</v>
      </c>
      <c r="J540" s="115" t="s">
        <v>271</v>
      </c>
    </row>
    <row r="541" spans="1:10" x14ac:dyDescent="0.25">
      <c r="A541" s="113">
        <v>538</v>
      </c>
      <c r="B541" s="114" t="s">
        <v>1375</v>
      </c>
      <c r="C541" s="115" t="s">
        <v>1376</v>
      </c>
      <c r="D541" s="115" t="s">
        <v>461</v>
      </c>
      <c r="E541" s="115" t="s">
        <v>1374</v>
      </c>
      <c r="F541" s="116">
        <v>98.965330903414952</v>
      </c>
      <c r="G541" s="116">
        <v>100.49313090341495</v>
      </c>
      <c r="H541" s="116">
        <v>23.23</v>
      </c>
      <c r="I541" s="113">
        <v>335</v>
      </c>
      <c r="J541" s="115" t="s">
        <v>271</v>
      </c>
    </row>
    <row r="542" spans="1:10" x14ac:dyDescent="0.25">
      <c r="A542" s="113">
        <v>539</v>
      </c>
      <c r="B542" s="114" t="s">
        <v>2180</v>
      </c>
      <c r="C542" s="115" t="s">
        <v>2181</v>
      </c>
      <c r="D542" s="115" t="s">
        <v>461</v>
      </c>
      <c r="E542" s="115" t="s">
        <v>2451</v>
      </c>
      <c r="F542" s="116">
        <v>99.103360997120944</v>
      </c>
      <c r="G542" s="116">
        <v>104.35756099712094</v>
      </c>
      <c r="H542" s="116">
        <v>20.38</v>
      </c>
      <c r="I542" s="113">
        <v>263</v>
      </c>
      <c r="J542" s="115" t="s">
        <v>271</v>
      </c>
    </row>
    <row r="543" spans="1:10" x14ac:dyDescent="0.25">
      <c r="A543" s="113">
        <v>540</v>
      </c>
      <c r="B543" s="114" t="s">
        <v>2229</v>
      </c>
      <c r="C543" s="115" t="s">
        <v>2230</v>
      </c>
      <c r="D543" s="115" t="s">
        <v>461</v>
      </c>
      <c r="E543" s="115" t="s">
        <v>2451</v>
      </c>
      <c r="F543" s="116">
        <v>99.099172049459298</v>
      </c>
      <c r="G543" s="116">
        <v>103.5408720494593</v>
      </c>
      <c r="H543" s="116">
        <v>20.399999999999999</v>
      </c>
      <c r="I543" s="113">
        <v>278</v>
      </c>
      <c r="J543" s="115" t="s">
        <v>271</v>
      </c>
    </row>
    <row r="544" spans="1:10" x14ac:dyDescent="0.25">
      <c r="A544" s="113">
        <v>541</v>
      </c>
      <c r="B544" s="114" t="s">
        <v>2231</v>
      </c>
      <c r="C544" s="115" t="s">
        <v>2232</v>
      </c>
      <c r="D544" s="115" t="s">
        <v>461</v>
      </c>
      <c r="E544" s="115" t="s">
        <v>2451</v>
      </c>
      <c r="F544" s="116">
        <v>99.099110371717643</v>
      </c>
      <c r="G544" s="116">
        <v>103.48661037171765</v>
      </c>
      <c r="H544" s="116">
        <v>20.399999999999999</v>
      </c>
      <c r="I544" s="113">
        <v>279</v>
      </c>
      <c r="J544" s="115" t="s">
        <v>271</v>
      </c>
    </row>
    <row r="545" spans="1:10" x14ac:dyDescent="0.25">
      <c r="A545" s="113">
        <v>542</v>
      </c>
      <c r="B545" s="114" t="s">
        <v>1377</v>
      </c>
      <c r="C545" s="115" t="s">
        <v>1378</v>
      </c>
      <c r="D545" s="115" t="s">
        <v>461</v>
      </c>
      <c r="E545" s="115" t="s">
        <v>2175</v>
      </c>
      <c r="F545" s="116">
        <v>99.99</v>
      </c>
      <c r="G545" s="116">
        <v>101.54559999999999</v>
      </c>
      <c r="H545" s="116">
        <v>19.989999999999998</v>
      </c>
      <c r="I545" s="113">
        <v>872</v>
      </c>
      <c r="J545" s="115" t="s">
        <v>271</v>
      </c>
    </row>
    <row r="546" spans="1:10" x14ac:dyDescent="0.25">
      <c r="A546" s="113">
        <v>543</v>
      </c>
      <c r="B546" s="114" t="s">
        <v>1379</v>
      </c>
      <c r="C546" s="115" t="s">
        <v>1380</v>
      </c>
      <c r="D546" s="115" t="s">
        <v>461</v>
      </c>
      <c r="E546" s="115" t="s">
        <v>2175</v>
      </c>
      <c r="F546" s="116">
        <v>100.4410744439917</v>
      </c>
      <c r="G546" s="116">
        <v>103.8299744439917</v>
      </c>
      <c r="H546" s="116">
        <v>19.79</v>
      </c>
      <c r="I546" s="113">
        <v>1109</v>
      </c>
      <c r="J546" s="115" t="s">
        <v>271</v>
      </c>
    </row>
    <row r="547" spans="1:10" x14ac:dyDescent="0.25">
      <c r="A547" s="113">
        <v>544</v>
      </c>
      <c r="B547" s="114" t="s">
        <v>1381</v>
      </c>
      <c r="C547" s="115" t="s">
        <v>1382</v>
      </c>
      <c r="D547" s="115" t="s">
        <v>461</v>
      </c>
      <c r="E547" s="115" t="s">
        <v>1383</v>
      </c>
      <c r="F547" s="116">
        <v>100.54842036454218</v>
      </c>
      <c r="G547" s="116">
        <v>100.79282036454218</v>
      </c>
      <c r="H547" s="116">
        <v>20.97</v>
      </c>
      <c r="I547" s="113">
        <v>206</v>
      </c>
      <c r="J547" s="115" t="s">
        <v>271</v>
      </c>
    </row>
    <row r="548" spans="1:10" x14ac:dyDescent="0.25">
      <c r="A548" s="113">
        <v>545</v>
      </c>
      <c r="B548" s="114" t="s">
        <v>2131</v>
      </c>
      <c r="C548" s="115" t="s">
        <v>2132</v>
      </c>
      <c r="D548" s="115" t="s">
        <v>461</v>
      </c>
      <c r="E548" s="115" t="s">
        <v>1383</v>
      </c>
      <c r="F548" s="116">
        <v>99.327522824933581</v>
      </c>
      <c r="G548" s="116">
        <v>107.76082282493358</v>
      </c>
      <c r="H548" s="116">
        <v>22.44</v>
      </c>
      <c r="I548" s="113">
        <v>582</v>
      </c>
      <c r="J548" s="115" t="s">
        <v>271</v>
      </c>
    </row>
    <row r="549" spans="1:10" x14ac:dyDescent="0.25">
      <c r="A549" s="113">
        <v>546</v>
      </c>
      <c r="B549" s="114" t="s">
        <v>2233</v>
      </c>
      <c r="C549" s="115" t="s">
        <v>2234</v>
      </c>
      <c r="D549" s="115" t="s">
        <v>461</v>
      </c>
      <c r="E549" s="115" t="s">
        <v>1383</v>
      </c>
      <c r="F549" s="116">
        <v>101.27143892605473</v>
      </c>
      <c r="G549" s="116">
        <v>102.42143892605473</v>
      </c>
      <c r="H549" s="116">
        <v>21.22</v>
      </c>
      <c r="I549" s="113">
        <v>282</v>
      </c>
      <c r="J549" s="115" t="s">
        <v>271</v>
      </c>
    </row>
    <row r="550" spans="1:10" x14ac:dyDescent="0.25">
      <c r="A550" s="113">
        <v>547</v>
      </c>
      <c r="B550" s="114" t="s">
        <v>2170</v>
      </c>
      <c r="C550" s="115" t="s">
        <v>2171</v>
      </c>
      <c r="D550" s="115" t="s">
        <v>461</v>
      </c>
      <c r="E550" s="115" t="s">
        <v>1383</v>
      </c>
      <c r="F550" s="116">
        <v>101.24669075666692</v>
      </c>
      <c r="G550" s="116">
        <v>101.82169075666692</v>
      </c>
      <c r="H550" s="116">
        <v>21.13</v>
      </c>
      <c r="I550" s="113">
        <v>261</v>
      </c>
      <c r="J550" s="115" t="s">
        <v>271</v>
      </c>
    </row>
    <row r="551" spans="1:10" x14ac:dyDescent="0.25">
      <c r="A551" s="113">
        <v>548</v>
      </c>
      <c r="B551" s="114" t="s">
        <v>1384</v>
      </c>
      <c r="C551" s="115" t="s">
        <v>1385</v>
      </c>
      <c r="D551" s="115" t="s">
        <v>461</v>
      </c>
      <c r="E551" s="115" t="s">
        <v>1383</v>
      </c>
      <c r="F551" s="116">
        <v>99.915789149958798</v>
      </c>
      <c r="G551" s="116">
        <v>100.4713891499588</v>
      </c>
      <c r="H551" s="116">
        <v>20.6</v>
      </c>
      <c r="I551" s="113">
        <v>50</v>
      </c>
      <c r="J551" s="115" t="s">
        <v>271</v>
      </c>
    </row>
    <row r="552" spans="1:10" x14ac:dyDescent="0.25">
      <c r="A552" s="113">
        <v>549</v>
      </c>
      <c r="B552" s="114" t="s">
        <v>1386</v>
      </c>
      <c r="C552" s="115" t="s">
        <v>1387</v>
      </c>
      <c r="D552" s="115" t="s">
        <v>461</v>
      </c>
      <c r="E552" s="115" t="s">
        <v>1383</v>
      </c>
      <c r="F552" s="116">
        <v>99.832396840517177</v>
      </c>
      <c r="G552" s="116">
        <v>100.99909684051718</v>
      </c>
      <c r="H552" s="116">
        <v>20.88</v>
      </c>
      <c r="I552" s="113">
        <v>69</v>
      </c>
      <c r="J552" s="115" t="s">
        <v>271</v>
      </c>
    </row>
    <row r="553" spans="1:10" x14ac:dyDescent="0.25">
      <c r="A553" s="113">
        <v>550</v>
      </c>
      <c r="B553" s="114" t="s">
        <v>1388</v>
      </c>
      <c r="C553" s="115" t="s">
        <v>1389</v>
      </c>
      <c r="D553" s="115" t="s">
        <v>461</v>
      </c>
      <c r="E553" s="115" t="s">
        <v>1383</v>
      </c>
      <c r="F553" s="116">
        <v>99.308850467454903</v>
      </c>
      <c r="G553" s="116">
        <v>99.808850467454903</v>
      </c>
      <c r="H553" s="116">
        <v>21.54</v>
      </c>
      <c r="I553" s="113">
        <v>171</v>
      </c>
      <c r="J553" s="115" t="s">
        <v>271</v>
      </c>
    </row>
    <row r="554" spans="1:10" x14ac:dyDescent="0.25">
      <c r="A554" s="113">
        <v>551</v>
      </c>
      <c r="B554" s="114" t="s">
        <v>1390</v>
      </c>
      <c r="C554" s="115" t="s">
        <v>1391</v>
      </c>
      <c r="D554" s="115" t="s">
        <v>461</v>
      </c>
      <c r="E554" s="115" t="s">
        <v>1383</v>
      </c>
      <c r="F554" s="116">
        <v>99.686249624073426</v>
      </c>
      <c r="G554" s="116">
        <v>104.35294962407343</v>
      </c>
      <c r="H554" s="116">
        <v>21.21</v>
      </c>
      <c r="I554" s="113">
        <v>96</v>
      </c>
      <c r="J554" s="115" t="s">
        <v>271</v>
      </c>
    </row>
    <row r="555" spans="1:10" x14ac:dyDescent="0.25">
      <c r="A555" s="113">
        <v>552</v>
      </c>
      <c r="B555" s="114" t="s">
        <v>1392</v>
      </c>
      <c r="C555" s="115" t="s">
        <v>1393</v>
      </c>
      <c r="D555" s="115" t="s">
        <v>461</v>
      </c>
      <c r="E555" s="115" t="s">
        <v>1383</v>
      </c>
      <c r="F555" s="116">
        <v>99.646738653799289</v>
      </c>
      <c r="G555" s="116">
        <v>103.81343865379928</v>
      </c>
      <c r="H555" s="116">
        <v>21.22</v>
      </c>
      <c r="I555" s="113">
        <v>105</v>
      </c>
      <c r="J555" s="115" t="s">
        <v>271</v>
      </c>
    </row>
    <row r="556" spans="1:10" x14ac:dyDescent="0.25">
      <c r="A556" s="113">
        <v>553</v>
      </c>
      <c r="B556" s="114" t="s">
        <v>2011</v>
      </c>
      <c r="C556" s="115" t="s">
        <v>2012</v>
      </c>
      <c r="D556" s="115" t="s">
        <v>461</v>
      </c>
      <c r="E556" s="115" t="s">
        <v>1383</v>
      </c>
      <c r="F556" s="116">
        <v>97.753318581533435</v>
      </c>
      <c r="G556" s="116">
        <v>99.308918581533433</v>
      </c>
      <c r="H556" s="116">
        <v>21.86</v>
      </c>
      <c r="I556" s="113">
        <v>512</v>
      </c>
      <c r="J556" s="115" t="s">
        <v>271</v>
      </c>
    </row>
    <row r="557" spans="1:10" x14ac:dyDescent="0.25">
      <c r="A557" s="113">
        <v>554</v>
      </c>
      <c r="B557" s="114" t="s">
        <v>2047</v>
      </c>
      <c r="C557" s="115" t="s">
        <v>2048</v>
      </c>
      <c r="D557" s="115" t="s">
        <v>461</v>
      </c>
      <c r="E557" s="115" t="s">
        <v>1383</v>
      </c>
      <c r="F557" s="116">
        <v>97.470399999999998</v>
      </c>
      <c r="G557" s="116">
        <v>102.1926</v>
      </c>
      <c r="H557" s="116">
        <v>22</v>
      </c>
      <c r="I557" s="113">
        <v>545</v>
      </c>
      <c r="J557" s="115" t="s">
        <v>271</v>
      </c>
    </row>
    <row r="558" spans="1:10" x14ac:dyDescent="0.25">
      <c r="A558" s="113">
        <v>555</v>
      </c>
      <c r="B558" s="114" t="s">
        <v>2092</v>
      </c>
      <c r="C558" s="115" t="s">
        <v>2093</v>
      </c>
      <c r="D558" s="115" t="s">
        <v>461</v>
      </c>
      <c r="E558" s="115" t="s">
        <v>1383</v>
      </c>
      <c r="F558" s="116">
        <v>100.32048362893306</v>
      </c>
      <c r="G558" s="116">
        <v>103.68158362893307</v>
      </c>
      <c r="H558" s="116">
        <v>21.35</v>
      </c>
      <c r="I558" s="113">
        <v>215</v>
      </c>
      <c r="J558" s="115" t="s">
        <v>271</v>
      </c>
    </row>
    <row r="559" spans="1:10" x14ac:dyDescent="0.25">
      <c r="A559" s="113">
        <v>556</v>
      </c>
      <c r="B559" s="114" t="s">
        <v>1394</v>
      </c>
      <c r="C559" s="115" t="s">
        <v>1395</v>
      </c>
      <c r="D559" s="115" t="s">
        <v>461</v>
      </c>
      <c r="E559" s="115" t="s">
        <v>1396</v>
      </c>
      <c r="F559" s="116">
        <v>99.959800000000001</v>
      </c>
      <c r="G559" s="116">
        <v>103.8931</v>
      </c>
      <c r="H559" s="116">
        <v>24</v>
      </c>
      <c r="I559" s="113">
        <v>121</v>
      </c>
      <c r="J559" s="115" t="s">
        <v>271</v>
      </c>
    </row>
    <row r="560" spans="1:10" x14ac:dyDescent="0.25">
      <c r="A560" s="113">
        <v>557</v>
      </c>
      <c r="B560" s="114" t="s">
        <v>2003</v>
      </c>
      <c r="C560" s="115" t="s">
        <v>2004</v>
      </c>
      <c r="D560" s="115" t="s">
        <v>461</v>
      </c>
      <c r="E560" s="115" t="s">
        <v>1396</v>
      </c>
      <c r="F560" s="116">
        <v>95.931337767417887</v>
      </c>
      <c r="G560" s="116">
        <v>98.209137767417886</v>
      </c>
      <c r="H560" s="116">
        <v>23.49</v>
      </c>
      <c r="I560" s="113">
        <v>499</v>
      </c>
      <c r="J560" s="115" t="s">
        <v>271</v>
      </c>
    </row>
    <row r="561" spans="1:10" x14ac:dyDescent="0.25">
      <c r="A561" s="113">
        <v>558</v>
      </c>
      <c r="B561" s="114" t="s">
        <v>1397</v>
      </c>
      <c r="C561" s="115" t="s">
        <v>1398</v>
      </c>
      <c r="D561" s="115" t="s">
        <v>461</v>
      </c>
      <c r="E561" s="115" t="s">
        <v>371</v>
      </c>
      <c r="F561" s="116">
        <v>97.795500000000004</v>
      </c>
      <c r="G561" s="116">
        <v>102.5108</v>
      </c>
      <c r="H561" s="116">
        <v>19.5</v>
      </c>
      <c r="I561" s="113">
        <v>443</v>
      </c>
      <c r="J561" s="115" t="s">
        <v>271</v>
      </c>
    </row>
    <row r="562" spans="1:10" x14ac:dyDescent="0.25">
      <c r="A562" s="113">
        <v>559</v>
      </c>
      <c r="B562" s="114" t="s">
        <v>426</v>
      </c>
      <c r="C562" s="115" t="s">
        <v>427</v>
      </c>
      <c r="D562" s="115" t="s">
        <v>461</v>
      </c>
      <c r="E562" s="115" t="s">
        <v>403</v>
      </c>
      <c r="F562" s="116">
        <v>95.436019793808271</v>
      </c>
      <c r="G562" s="116">
        <v>95.736019793808268</v>
      </c>
      <c r="H562" s="116">
        <v>16.18</v>
      </c>
      <c r="I562" s="113">
        <v>441</v>
      </c>
      <c r="J562" s="115" t="s">
        <v>271</v>
      </c>
    </row>
    <row r="563" spans="1:10" x14ac:dyDescent="0.25">
      <c r="A563" s="113">
        <v>560</v>
      </c>
      <c r="B563" s="114" t="s">
        <v>1986</v>
      </c>
      <c r="C563" s="115" t="s">
        <v>1987</v>
      </c>
      <c r="D563" s="115" t="s">
        <v>461</v>
      </c>
      <c r="E563" s="115" t="s">
        <v>403</v>
      </c>
      <c r="F563" s="116">
        <v>100.44379089657106</v>
      </c>
      <c r="G563" s="116">
        <v>100.93269089657106</v>
      </c>
      <c r="H563" s="116">
        <v>20.81</v>
      </c>
      <c r="I563" s="113">
        <v>142</v>
      </c>
      <c r="J563" s="115" t="s">
        <v>271</v>
      </c>
    </row>
    <row r="564" spans="1:10" x14ac:dyDescent="0.25">
      <c r="A564" s="113">
        <v>561</v>
      </c>
      <c r="B564" s="114" t="s">
        <v>1988</v>
      </c>
      <c r="C564" s="115" t="s">
        <v>1989</v>
      </c>
      <c r="D564" s="115" t="s">
        <v>461</v>
      </c>
      <c r="E564" s="115" t="s">
        <v>403</v>
      </c>
      <c r="F564" s="116">
        <v>100.48791477664346</v>
      </c>
      <c r="G564" s="116">
        <v>101.83231477664347</v>
      </c>
      <c r="H564" s="116">
        <v>20.83</v>
      </c>
      <c r="I564" s="113">
        <v>158</v>
      </c>
      <c r="J564" s="115" t="s">
        <v>271</v>
      </c>
    </row>
    <row r="565" spans="1:10" x14ac:dyDescent="0.25">
      <c r="A565" s="113">
        <v>562</v>
      </c>
      <c r="B565" s="114" t="s">
        <v>2034</v>
      </c>
      <c r="C565" s="115" t="s">
        <v>2035</v>
      </c>
      <c r="D565" s="115" t="s">
        <v>461</v>
      </c>
      <c r="E565" s="115" t="s">
        <v>403</v>
      </c>
      <c r="F565" s="116">
        <v>100.48614061618542</v>
      </c>
      <c r="G565" s="116">
        <v>100.60834061618543</v>
      </c>
      <c r="H565" s="116">
        <v>20.95</v>
      </c>
      <c r="I565" s="113">
        <v>178</v>
      </c>
      <c r="J565" s="115" t="s">
        <v>271</v>
      </c>
    </row>
    <row r="566" spans="1:10" x14ac:dyDescent="0.25">
      <c r="A566" s="113">
        <v>563</v>
      </c>
      <c r="B566" s="114" t="s">
        <v>2061</v>
      </c>
      <c r="C566" s="115" t="s">
        <v>2062</v>
      </c>
      <c r="D566" s="115" t="s">
        <v>461</v>
      </c>
      <c r="E566" s="115" t="s">
        <v>403</v>
      </c>
      <c r="F566" s="116">
        <v>100.62360619986222</v>
      </c>
      <c r="G566" s="116">
        <v>101.60140619986223</v>
      </c>
      <c r="H566" s="116">
        <v>20.76</v>
      </c>
      <c r="I566" s="113">
        <v>194</v>
      </c>
      <c r="J566" s="115" t="s">
        <v>271</v>
      </c>
    </row>
    <row r="567" spans="1:10" x14ac:dyDescent="0.25">
      <c r="A567" s="113">
        <v>564</v>
      </c>
      <c r="B567" s="114" t="s">
        <v>2162</v>
      </c>
      <c r="C567" s="115" t="s">
        <v>2163</v>
      </c>
      <c r="D567" s="115" t="s">
        <v>451</v>
      </c>
      <c r="E567" s="115" t="s">
        <v>403</v>
      </c>
      <c r="F567" s="116">
        <v>1000</v>
      </c>
      <c r="G567" s="116">
        <v>1000</v>
      </c>
      <c r="H567" s="116">
        <v>0</v>
      </c>
      <c r="I567" s="113">
        <v>0</v>
      </c>
      <c r="J567" s="115" t="s">
        <v>240</v>
      </c>
    </row>
    <row r="568" spans="1:10" x14ac:dyDescent="0.25">
      <c r="A568" s="113">
        <v>565</v>
      </c>
      <c r="B568" s="114" t="s">
        <v>2036</v>
      </c>
      <c r="C568" s="115" t="s">
        <v>2037</v>
      </c>
      <c r="D568" s="115" t="s">
        <v>461</v>
      </c>
      <c r="E568" s="115" t="s">
        <v>403</v>
      </c>
      <c r="F568" s="116">
        <v>98.037042717250614</v>
      </c>
      <c r="G568" s="116">
        <v>98.403742717250623</v>
      </c>
      <c r="H568" s="116">
        <v>16.37</v>
      </c>
      <c r="I568" s="113">
        <v>169</v>
      </c>
      <c r="J568" s="115" t="s">
        <v>271</v>
      </c>
    </row>
    <row r="569" spans="1:10" x14ac:dyDescent="0.25">
      <c r="A569" s="113">
        <v>566</v>
      </c>
      <c r="B569" s="114" t="s">
        <v>2043</v>
      </c>
      <c r="C569" s="115" t="s">
        <v>2044</v>
      </c>
      <c r="D569" s="115" t="s">
        <v>461</v>
      </c>
      <c r="E569" s="115" t="s">
        <v>403</v>
      </c>
      <c r="F569" s="116">
        <v>98.901225066067568</v>
      </c>
      <c r="G569" s="116">
        <v>98.901225066067568</v>
      </c>
      <c r="H569" s="116">
        <v>14.29</v>
      </c>
      <c r="I569" s="113">
        <v>180</v>
      </c>
      <c r="J569" s="115" t="s">
        <v>271</v>
      </c>
    </row>
    <row r="570" spans="1:10" x14ac:dyDescent="0.25">
      <c r="A570" s="113">
        <v>567</v>
      </c>
      <c r="B570" s="114" t="s">
        <v>2049</v>
      </c>
      <c r="C570" s="115" t="s">
        <v>2050</v>
      </c>
      <c r="D570" s="115" t="s">
        <v>461</v>
      </c>
      <c r="E570" s="115" t="s">
        <v>403</v>
      </c>
      <c r="F570" s="116">
        <v>100.501538525425</v>
      </c>
      <c r="G570" s="116">
        <v>102.02933852542502</v>
      </c>
      <c r="H570" s="116">
        <v>20.96</v>
      </c>
      <c r="I570" s="113">
        <v>185</v>
      </c>
      <c r="J570" s="115" t="s">
        <v>271</v>
      </c>
    </row>
    <row r="571" spans="1:10" x14ac:dyDescent="0.25">
      <c r="A571" s="113">
        <v>568</v>
      </c>
      <c r="B571" s="114" t="s">
        <v>2055</v>
      </c>
      <c r="C571" s="115" t="s">
        <v>2056</v>
      </c>
      <c r="D571" s="115" t="s">
        <v>461</v>
      </c>
      <c r="E571" s="115" t="s">
        <v>403</v>
      </c>
      <c r="F571" s="116">
        <v>97.87744186297563</v>
      </c>
      <c r="G571" s="116">
        <v>98.677441862975641</v>
      </c>
      <c r="H571" s="116">
        <v>16.309999999999999</v>
      </c>
      <c r="I571" s="113">
        <v>186</v>
      </c>
      <c r="J571" s="115" t="s">
        <v>271</v>
      </c>
    </row>
    <row r="572" spans="1:10" x14ac:dyDescent="0.25">
      <c r="A572" s="113">
        <v>569</v>
      </c>
      <c r="B572" s="114" t="s">
        <v>2057</v>
      </c>
      <c r="C572" s="115" t="s">
        <v>2058</v>
      </c>
      <c r="D572" s="115" t="s">
        <v>461</v>
      </c>
      <c r="E572" s="115" t="s">
        <v>403</v>
      </c>
      <c r="F572" s="116">
        <v>100.1</v>
      </c>
      <c r="G572" s="116">
        <v>100.9</v>
      </c>
      <c r="H572" s="116">
        <v>11.8</v>
      </c>
      <c r="I572" s="113">
        <v>186</v>
      </c>
      <c r="J572" s="115" t="s">
        <v>271</v>
      </c>
    </row>
    <row r="573" spans="1:10" x14ac:dyDescent="0.25">
      <c r="A573" s="113">
        <v>570</v>
      </c>
      <c r="B573" s="114" t="s">
        <v>2126</v>
      </c>
      <c r="C573" s="115" t="s">
        <v>2127</v>
      </c>
      <c r="D573" s="115" t="s">
        <v>461</v>
      </c>
      <c r="E573" s="115" t="s">
        <v>403</v>
      </c>
      <c r="F573" s="116">
        <v>97.592976489928546</v>
      </c>
      <c r="G573" s="116">
        <v>98.226276489928551</v>
      </c>
      <c r="H573" s="116">
        <v>16.14</v>
      </c>
      <c r="I573" s="113">
        <v>221</v>
      </c>
      <c r="J573" s="115" t="s">
        <v>271</v>
      </c>
    </row>
    <row r="574" spans="1:10" x14ac:dyDescent="0.25">
      <c r="A574" s="113">
        <v>571</v>
      </c>
      <c r="B574" s="114" t="s">
        <v>2133</v>
      </c>
      <c r="C574" s="115" t="s">
        <v>2134</v>
      </c>
      <c r="D574" s="115" t="s">
        <v>461</v>
      </c>
      <c r="E574" s="115" t="s">
        <v>403</v>
      </c>
      <c r="F574" s="116">
        <v>97.141897355224359</v>
      </c>
      <c r="G574" s="116">
        <v>98.075197355224361</v>
      </c>
      <c r="H574" s="116">
        <v>16.04</v>
      </c>
      <c r="I574" s="113">
        <v>272</v>
      </c>
      <c r="J574" s="115" t="s">
        <v>271</v>
      </c>
    </row>
    <row r="575" spans="1:10" x14ac:dyDescent="0.25">
      <c r="A575" s="113">
        <v>572</v>
      </c>
      <c r="B575" s="114" t="s">
        <v>2186</v>
      </c>
      <c r="C575" s="115" t="s">
        <v>2187</v>
      </c>
      <c r="D575" s="115" t="s">
        <v>461</v>
      </c>
      <c r="E575" s="115" t="s">
        <v>403</v>
      </c>
      <c r="F575" s="116">
        <v>101.07969337195902</v>
      </c>
      <c r="G575" s="116">
        <v>101.38529337195902</v>
      </c>
      <c r="H575" s="116">
        <v>21.25</v>
      </c>
      <c r="I575" s="113">
        <v>625</v>
      </c>
      <c r="J575" s="115" t="s">
        <v>271</v>
      </c>
    </row>
    <row r="576" spans="1:10" x14ac:dyDescent="0.25">
      <c r="A576" s="113">
        <v>573</v>
      </c>
      <c r="B576" s="114" t="s">
        <v>2247</v>
      </c>
      <c r="C576" s="115" t="s">
        <v>2248</v>
      </c>
      <c r="D576" s="115" t="s">
        <v>461</v>
      </c>
      <c r="E576" s="115" t="s">
        <v>403</v>
      </c>
      <c r="F576" s="116">
        <v>101.11640571468909</v>
      </c>
      <c r="G576" s="116">
        <v>102.2775057146891</v>
      </c>
      <c r="H576" s="116">
        <v>21.27</v>
      </c>
      <c r="I576" s="113">
        <v>671</v>
      </c>
      <c r="J576" s="115" t="s">
        <v>271</v>
      </c>
    </row>
    <row r="577" spans="1:10" x14ac:dyDescent="0.25">
      <c r="A577" s="113">
        <v>574</v>
      </c>
      <c r="B577" s="114" t="s">
        <v>2249</v>
      </c>
      <c r="C577" s="115" t="s">
        <v>2250</v>
      </c>
      <c r="D577" s="115" t="s">
        <v>461</v>
      </c>
      <c r="E577" s="115" t="s">
        <v>403</v>
      </c>
      <c r="F577" s="116">
        <v>99.998999999999995</v>
      </c>
      <c r="G577" s="116">
        <v>100.6101</v>
      </c>
      <c r="H577" s="116">
        <v>22</v>
      </c>
      <c r="I577" s="113">
        <v>710</v>
      </c>
      <c r="J577" s="115" t="s">
        <v>271</v>
      </c>
    </row>
    <row r="578" spans="1:10" x14ac:dyDescent="0.25">
      <c r="A578" s="113">
        <v>575</v>
      </c>
      <c r="B578" s="114" t="s">
        <v>2188</v>
      </c>
      <c r="C578" s="115" t="s">
        <v>2189</v>
      </c>
      <c r="D578" s="115" t="s">
        <v>461</v>
      </c>
      <c r="E578" s="115" t="s">
        <v>403</v>
      </c>
      <c r="F578" s="116">
        <v>99</v>
      </c>
      <c r="G578" s="116">
        <v>99.166700000000006</v>
      </c>
      <c r="H578" s="116">
        <v>12.64</v>
      </c>
      <c r="I578" s="113">
        <v>625</v>
      </c>
      <c r="J578" s="115" t="s">
        <v>271</v>
      </c>
    </row>
    <row r="579" spans="1:10" x14ac:dyDescent="0.25">
      <c r="A579" s="113">
        <v>576</v>
      </c>
      <c r="B579" s="114" t="s">
        <v>2251</v>
      </c>
      <c r="C579" s="115" t="s">
        <v>2252</v>
      </c>
      <c r="D579" s="115" t="s">
        <v>461</v>
      </c>
      <c r="E579" s="115" t="s">
        <v>403</v>
      </c>
      <c r="F579" s="116">
        <v>99.998800000000003</v>
      </c>
      <c r="G579" s="116">
        <v>100.5988</v>
      </c>
      <c r="H579" s="116">
        <v>12</v>
      </c>
      <c r="I579" s="113">
        <v>672</v>
      </c>
      <c r="J579" s="115" t="s">
        <v>271</v>
      </c>
    </row>
    <row r="580" spans="1:10" x14ac:dyDescent="0.25">
      <c r="A580" s="113">
        <v>577</v>
      </c>
      <c r="B580" s="114" t="s">
        <v>2253</v>
      </c>
      <c r="C580" s="115" t="s">
        <v>2254</v>
      </c>
      <c r="D580" s="115" t="s">
        <v>461</v>
      </c>
      <c r="E580" s="115" t="s">
        <v>403</v>
      </c>
      <c r="F580" s="116">
        <v>99.989145417254718</v>
      </c>
      <c r="G580" s="116">
        <v>100.02244541725472</v>
      </c>
      <c r="H580" s="116">
        <v>12.01</v>
      </c>
      <c r="I580" s="113">
        <v>659</v>
      </c>
      <c r="J580" s="115" t="s">
        <v>271</v>
      </c>
    </row>
    <row r="581" spans="1:10" x14ac:dyDescent="0.25">
      <c r="A581" s="113">
        <v>578</v>
      </c>
      <c r="B581" s="114" t="s">
        <v>2452</v>
      </c>
      <c r="C581" s="115" t="s">
        <v>2453</v>
      </c>
      <c r="D581" s="115" t="s">
        <v>451</v>
      </c>
      <c r="E581" s="115" t="s">
        <v>403</v>
      </c>
      <c r="F581" s="116">
        <v>53850</v>
      </c>
      <c r="G581" s="116">
        <v>53850</v>
      </c>
      <c r="H581" s="116">
        <v>0</v>
      </c>
      <c r="I581" s="113">
        <v>0</v>
      </c>
      <c r="J581" s="115" t="s">
        <v>240</v>
      </c>
    </row>
    <row r="582" spans="1:10" x14ac:dyDescent="0.25">
      <c r="A582" s="113">
        <v>579</v>
      </c>
      <c r="B582" s="114" t="s">
        <v>1399</v>
      </c>
      <c r="C582" s="115" t="s">
        <v>1400</v>
      </c>
      <c r="D582" s="115" t="s">
        <v>461</v>
      </c>
      <c r="E582" s="115" t="s">
        <v>403</v>
      </c>
      <c r="F582" s="116">
        <v>99.802596187813464</v>
      </c>
      <c r="G582" s="116">
        <v>100.40259618781346</v>
      </c>
      <c r="H582" s="116">
        <v>17.93</v>
      </c>
      <c r="I582" s="113">
        <v>12</v>
      </c>
      <c r="J582" s="115" t="s">
        <v>271</v>
      </c>
    </row>
    <row r="583" spans="1:10" x14ac:dyDescent="0.25">
      <c r="A583" s="113">
        <v>580</v>
      </c>
      <c r="B583" s="114" t="s">
        <v>1401</v>
      </c>
      <c r="C583" s="115" t="s">
        <v>1402</v>
      </c>
      <c r="D583" s="115" t="s">
        <v>461</v>
      </c>
      <c r="E583" s="115" t="s">
        <v>403</v>
      </c>
      <c r="F583" s="116">
        <v>100.37389898712016</v>
      </c>
      <c r="G583" s="116">
        <v>101.29059898712016</v>
      </c>
      <c r="H583" s="116">
        <v>21.62</v>
      </c>
      <c r="I583" s="113">
        <v>435</v>
      </c>
      <c r="J583" s="115" t="s">
        <v>271</v>
      </c>
    </row>
    <row r="584" spans="1:10" x14ac:dyDescent="0.25">
      <c r="A584" s="113">
        <v>581</v>
      </c>
      <c r="B584" s="114" t="s">
        <v>1403</v>
      </c>
      <c r="C584" s="115" t="s">
        <v>1404</v>
      </c>
      <c r="D584" s="115" t="s">
        <v>461</v>
      </c>
      <c r="E584" s="115" t="s">
        <v>403</v>
      </c>
      <c r="F584" s="116">
        <v>100.06727709214172</v>
      </c>
      <c r="G584" s="116">
        <v>100.94227709214172</v>
      </c>
      <c r="H584" s="116">
        <v>20.65</v>
      </c>
      <c r="I584" s="113">
        <v>75</v>
      </c>
      <c r="J584" s="115" t="s">
        <v>271</v>
      </c>
    </row>
    <row r="585" spans="1:10" x14ac:dyDescent="0.25">
      <c r="A585" s="113">
        <v>582</v>
      </c>
      <c r="B585" s="114" t="s">
        <v>1405</v>
      </c>
      <c r="C585" s="115" t="s">
        <v>1406</v>
      </c>
      <c r="D585" s="115" t="s">
        <v>461</v>
      </c>
      <c r="E585" s="115" t="s">
        <v>403</v>
      </c>
      <c r="F585" s="116">
        <v>98.858061913761716</v>
      </c>
      <c r="G585" s="116">
        <v>99.31636191376171</v>
      </c>
      <c r="H585" s="116">
        <v>16.61</v>
      </c>
      <c r="I585" s="113">
        <v>75</v>
      </c>
      <c r="J585" s="115" t="s">
        <v>271</v>
      </c>
    </row>
    <row r="586" spans="1:10" x14ac:dyDescent="0.25">
      <c r="A586" s="113">
        <v>583</v>
      </c>
      <c r="B586" s="114" t="s">
        <v>1407</v>
      </c>
      <c r="C586" s="115" t="s">
        <v>1408</v>
      </c>
      <c r="D586" s="115" t="s">
        <v>461</v>
      </c>
      <c r="E586" s="115" t="s">
        <v>1409</v>
      </c>
      <c r="F586" s="116">
        <v>100</v>
      </c>
      <c r="G586" s="116">
        <v>102.45</v>
      </c>
      <c r="H586" s="116">
        <v>13.98</v>
      </c>
      <c r="I586" s="113">
        <v>297</v>
      </c>
      <c r="J586" s="115" t="s">
        <v>271</v>
      </c>
    </row>
    <row r="587" spans="1:10" x14ac:dyDescent="0.25">
      <c r="A587" s="113">
        <v>584</v>
      </c>
      <c r="B587" s="114" t="s">
        <v>113</v>
      </c>
      <c r="C587" s="115" t="s">
        <v>114</v>
      </c>
      <c r="D587" s="115" t="s">
        <v>461</v>
      </c>
      <c r="E587" s="115" t="s">
        <v>112</v>
      </c>
      <c r="F587" s="116">
        <v>100.43330807030357</v>
      </c>
      <c r="G587" s="116">
        <v>100.88620807030357</v>
      </c>
      <c r="H587" s="116">
        <v>21.33</v>
      </c>
      <c r="I587" s="113">
        <v>83</v>
      </c>
      <c r="J587" s="115" t="s">
        <v>271</v>
      </c>
    </row>
    <row r="588" spans="1:10" x14ac:dyDescent="0.25">
      <c r="A588" s="113">
        <v>585</v>
      </c>
      <c r="B588" s="114" t="s">
        <v>115</v>
      </c>
      <c r="C588" s="115" t="s">
        <v>116</v>
      </c>
      <c r="D588" s="115" t="s">
        <v>461</v>
      </c>
      <c r="E588" s="115" t="s">
        <v>112</v>
      </c>
      <c r="F588" s="116">
        <v>99.712020741536904</v>
      </c>
      <c r="G588" s="116">
        <v>101.1009207415369</v>
      </c>
      <c r="H588" s="116">
        <v>20.45</v>
      </c>
      <c r="I588" s="113">
        <v>245</v>
      </c>
      <c r="J588" s="115" t="s">
        <v>271</v>
      </c>
    </row>
    <row r="589" spans="1:10" x14ac:dyDescent="0.25">
      <c r="A589" s="113">
        <v>586</v>
      </c>
      <c r="B589" s="114" t="s">
        <v>1410</v>
      </c>
      <c r="C589" s="115" t="s">
        <v>1411</v>
      </c>
      <c r="D589" s="115" t="s">
        <v>461</v>
      </c>
      <c r="E589" s="115" t="s">
        <v>112</v>
      </c>
      <c r="F589" s="116">
        <v>100.56418154282999</v>
      </c>
      <c r="G589" s="116">
        <v>100.64748154282999</v>
      </c>
      <c r="H589" s="116">
        <v>9.61</v>
      </c>
      <c r="I589" s="113">
        <v>567</v>
      </c>
      <c r="J589" s="115" t="s">
        <v>271</v>
      </c>
    </row>
    <row r="590" spans="1:10" x14ac:dyDescent="0.25">
      <c r="A590" s="113">
        <v>587</v>
      </c>
      <c r="B590" s="114" t="s">
        <v>356</v>
      </c>
      <c r="C590" s="115" t="s">
        <v>357</v>
      </c>
      <c r="D590" s="115" t="s">
        <v>461</v>
      </c>
      <c r="E590" s="115" t="s">
        <v>112</v>
      </c>
      <c r="F590" s="116">
        <v>101.15207101088134</v>
      </c>
      <c r="G590" s="116">
        <v>101.53007101088134</v>
      </c>
      <c r="H590" s="116">
        <v>21.92</v>
      </c>
      <c r="I590" s="113">
        <v>714</v>
      </c>
      <c r="J590" s="115" t="s">
        <v>271</v>
      </c>
    </row>
    <row r="591" spans="1:10" x14ac:dyDescent="0.25">
      <c r="A591" s="113">
        <v>588</v>
      </c>
      <c r="B591" s="114" t="s">
        <v>1412</v>
      </c>
      <c r="C591" s="115" t="s">
        <v>1413</v>
      </c>
      <c r="D591" s="115" t="s">
        <v>461</v>
      </c>
      <c r="E591" s="115" t="s">
        <v>112</v>
      </c>
      <c r="F591" s="116">
        <v>96.557400052317163</v>
      </c>
      <c r="G591" s="116">
        <v>97.771300052317159</v>
      </c>
      <c r="H591" s="116">
        <v>20.81</v>
      </c>
      <c r="I591" s="113">
        <v>877</v>
      </c>
      <c r="J591" s="115" t="s">
        <v>271</v>
      </c>
    </row>
    <row r="592" spans="1:10" x14ac:dyDescent="0.25">
      <c r="A592" s="113">
        <v>589</v>
      </c>
      <c r="B592" s="114" t="s">
        <v>389</v>
      </c>
      <c r="C592" s="115" t="s">
        <v>390</v>
      </c>
      <c r="D592" s="115" t="s">
        <v>461</v>
      </c>
      <c r="E592" s="115" t="s">
        <v>112</v>
      </c>
      <c r="F592" s="116">
        <v>97.21</v>
      </c>
      <c r="G592" s="116">
        <v>97.21</v>
      </c>
      <c r="H592" s="116">
        <v>21.73</v>
      </c>
      <c r="I592" s="113">
        <v>420</v>
      </c>
      <c r="J592" s="115" t="s">
        <v>271</v>
      </c>
    </row>
    <row r="593" spans="1:10" x14ac:dyDescent="0.25">
      <c r="A593" s="113">
        <v>590</v>
      </c>
      <c r="B593" s="114" t="s">
        <v>2045</v>
      </c>
      <c r="C593" s="115" t="s">
        <v>2046</v>
      </c>
      <c r="D593" s="115" t="s">
        <v>461</v>
      </c>
      <c r="E593" s="115" t="s">
        <v>112</v>
      </c>
      <c r="F593" s="116">
        <v>100.34784961370349</v>
      </c>
      <c r="G593" s="116">
        <v>100.46454961370348</v>
      </c>
      <c r="H593" s="116">
        <v>20.82</v>
      </c>
      <c r="I593" s="113">
        <v>898</v>
      </c>
      <c r="J593" s="115" t="s">
        <v>271</v>
      </c>
    </row>
    <row r="594" spans="1:10" x14ac:dyDescent="0.25">
      <c r="A594" s="113">
        <v>591</v>
      </c>
      <c r="B594" s="114" t="s">
        <v>2073</v>
      </c>
      <c r="C594" s="115" t="s">
        <v>2074</v>
      </c>
      <c r="D594" s="115" t="s">
        <v>461</v>
      </c>
      <c r="E594" s="115" t="s">
        <v>112</v>
      </c>
      <c r="F594" s="116">
        <v>100.40145948603197</v>
      </c>
      <c r="G594" s="116">
        <v>100.92645948603196</v>
      </c>
      <c r="H594" s="116">
        <v>20.79</v>
      </c>
      <c r="I594" s="113">
        <v>921</v>
      </c>
      <c r="J594" s="115" t="s">
        <v>271</v>
      </c>
    </row>
    <row r="595" spans="1:10" x14ac:dyDescent="0.25">
      <c r="A595" s="113">
        <v>592</v>
      </c>
      <c r="B595" s="114" t="s">
        <v>2118</v>
      </c>
      <c r="C595" s="115" t="s">
        <v>2119</v>
      </c>
      <c r="D595" s="115" t="s">
        <v>461</v>
      </c>
      <c r="E595" s="115" t="s">
        <v>112</v>
      </c>
      <c r="F595" s="116">
        <v>100.9922</v>
      </c>
      <c r="G595" s="116">
        <v>102.3047</v>
      </c>
      <c r="H595" s="116">
        <v>22</v>
      </c>
      <c r="I595" s="113">
        <v>939</v>
      </c>
      <c r="J595" s="115" t="s">
        <v>271</v>
      </c>
    </row>
    <row r="596" spans="1:10" x14ac:dyDescent="0.25">
      <c r="A596" s="113">
        <v>593</v>
      </c>
      <c r="B596" s="114" t="s">
        <v>2120</v>
      </c>
      <c r="C596" s="115" t="s">
        <v>2121</v>
      </c>
      <c r="D596" s="115" t="s">
        <v>461</v>
      </c>
      <c r="E596" s="115" t="s">
        <v>112</v>
      </c>
      <c r="F596" s="116">
        <v>101.21</v>
      </c>
      <c r="G596" s="116">
        <v>101.2701</v>
      </c>
      <c r="H596" s="116">
        <v>21.08</v>
      </c>
      <c r="I596" s="113">
        <v>1019</v>
      </c>
      <c r="J596" s="115" t="s">
        <v>271</v>
      </c>
    </row>
    <row r="597" spans="1:10" x14ac:dyDescent="0.25">
      <c r="A597" s="113">
        <v>594</v>
      </c>
      <c r="B597" s="114" t="s">
        <v>2190</v>
      </c>
      <c r="C597" s="115" t="s">
        <v>2191</v>
      </c>
      <c r="D597" s="115" t="s">
        <v>461</v>
      </c>
      <c r="E597" s="115" t="s">
        <v>2192</v>
      </c>
      <c r="F597" s="116">
        <v>100.46768664034686</v>
      </c>
      <c r="G597" s="116">
        <v>100.63438664034685</v>
      </c>
      <c r="H597" s="116">
        <v>9.6999999999999993</v>
      </c>
      <c r="I597" s="113">
        <v>624</v>
      </c>
      <c r="J597" s="115" t="s">
        <v>271</v>
      </c>
    </row>
    <row r="598" spans="1:10" x14ac:dyDescent="0.25">
      <c r="A598" s="113">
        <v>595</v>
      </c>
      <c r="B598" s="114" t="s">
        <v>1414</v>
      </c>
      <c r="C598" s="115" t="s">
        <v>1415</v>
      </c>
      <c r="D598" s="115" t="s">
        <v>461</v>
      </c>
      <c r="E598" s="115" t="s">
        <v>386</v>
      </c>
      <c r="F598" s="116">
        <v>91.506569907841182</v>
      </c>
      <c r="G598" s="116">
        <v>92.464869907841191</v>
      </c>
      <c r="H598" s="116">
        <v>43.77</v>
      </c>
      <c r="I598" s="113">
        <v>165</v>
      </c>
      <c r="J598" s="115" t="s">
        <v>271</v>
      </c>
    </row>
    <row r="599" spans="1:10" x14ac:dyDescent="0.25">
      <c r="A599" s="113">
        <v>596</v>
      </c>
      <c r="B599" s="114" t="s">
        <v>384</v>
      </c>
      <c r="C599" s="115" t="s">
        <v>385</v>
      </c>
      <c r="D599" s="115" t="s">
        <v>461</v>
      </c>
      <c r="E599" s="115" t="s">
        <v>386</v>
      </c>
      <c r="F599" s="116">
        <v>96.578617437153369</v>
      </c>
      <c r="G599" s="116">
        <v>96.695317437153363</v>
      </c>
      <c r="H599" s="116">
        <v>43.36</v>
      </c>
      <c r="I599" s="113">
        <v>58</v>
      </c>
      <c r="J599" s="115" t="s">
        <v>271</v>
      </c>
    </row>
    <row r="600" spans="1:10" x14ac:dyDescent="0.25">
      <c r="A600" s="113">
        <v>597</v>
      </c>
      <c r="B600" s="114" t="s">
        <v>401</v>
      </c>
      <c r="C600" s="115" t="s">
        <v>402</v>
      </c>
      <c r="D600" s="115" t="s">
        <v>461</v>
      </c>
      <c r="E600" s="115" t="s">
        <v>386</v>
      </c>
      <c r="F600" s="116">
        <v>72.624618048192829</v>
      </c>
      <c r="G600" s="116">
        <v>73.602418048192831</v>
      </c>
      <c r="H600" s="116">
        <v>43.64</v>
      </c>
      <c r="I600" s="113">
        <v>674</v>
      </c>
      <c r="J600" s="115" t="s">
        <v>271</v>
      </c>
    </row>
    <row r="601" spans="1:10" x14ac:dyDescent="0.25">
      <c r="A601" s="113">
        <v>598</v>
      </c>
      <c r="B601" s="114" t="s">
        <v>393</v>
      </c>
      <c r="C601" s="115" t="s">
        <v>394</v>
      </c>
      <c r="D601" s="115" t="s">
        <v>461</v>
      </c>
      <c r="E601" s="115" t="s">
        <v>386</v>
      </c>
      <c r="F601" s="116">
        <v>79.26298660768613</v>
      </c>
      <c r="G601" s="116">
        <v>80.487986607686139</v>
      </c>
      <c r="H601" s="116">
        <v>43.61</v>
      </c>
      <c r="I601" s="113">
        <v>429</v>
      </c>
      <c r="J601" s="115" t="s">
        <v>271</v>
      </c>
    </row>
    <row r="602" spans="1:10" x14ac:dyDescent="0.25">
      <c r="A602" s="113">
        <v>599</v>
      </c>
      <c r="B602" s="114" t="s">
        <v>2104</v>
      </c>
      <c r="C602" s="115" t="s">
        <v>2105</v>
      </c>
      <c r="D602" s="115" t="s">
        <v>461</v>
      </c>
      <c r="E602" s="115" t="s">
        <v>386</v>
      </c>
      <c r="F602" s="116">
        <v>99.98</v>
      </c>
      <c r="G602" s="116">
        <v>101.32170000000001</v>
      </c>
      <c r="H602" s="116">
        <v>21.01</v>
      </c>
      <c r="I602" s="113">
        <v>937</v>
      </c>
      <c r="J602" s="115" t="s">
        <v>271</v>
      </c>
    </row>
    <row r="603" spans="1:10" x14ac:dyDescent="0.25">
      <c r="A603" s="113">
        <v>600</v>
      </c>
      <c r="B603" s="114" t="s">
        <v>2212</v>
      </c>
      <c r="C603" s="115" t="s">
        <v>2213</v>
      </c>
      <c r="D603" s="115" t="s">
        <v>461</v>
      </c>
      <c r="E603" s="115" t="s">
        <v>386</v>
      </c>
      <c r="F603" s="116">
        <v>86.151584379883772</v>
      </c>
      <c r="G603" s="116">
        <v>86.151584379883772</v>
      </c>
      <c r="H603" s="116">
        <v>40.74</v>
      </c>
      <c r="I603" s="113">
        <v>270</v>
      </c>
      <c r="J603" s="115" t="s">
        <v>271</v>
      </c>
    </row>
    <row r="604" spans="1:10" x14ac:dyDescent="0.25">
      <c r="A604" s="113">
        <v>601</v>
      </c>
      <c r="B604" s="114" t="s">
        <v>2348</v>
      </c>
      <c r="C604" s="115" t="s">
        <v>2349</v>
      </c>
      <c r="D604" s="115" t="s">
        <v>461</v>
      </c>
      <c r="E604" s="115" t="s">
        <v>386</v>
      </c>
      <c r="F604" s="116">
        <v>72.205409520677932</v>
      </c>
      <c r="G604" s="116">
        <v>73.97760952067793</v>
      </c>
      <c r="H604" s="116">
        <v>43.63</v>
      </c>
      <c r="I604" s="113">
        <v>691</v>
      </c>
      <c r="J604" s="115" t="s">
        <v>271</v>
      </c>
    </row>
    <row r="605" spans="1:10" x14ac:dyDescent="0.25">
      <c r="A605" s="113">
        <v>602</v>
      </c>
      <c r="B605" s="114" t="s">
        <v>2276</v>
      </c>
      <c r="C605" s="115" t="s">
        <v>2277</v>
      </c>
      <c r="D605" s="115" t="s">
        <v>461</v>
      </c>
      <c r="E605" s="115" t="s">
        <v>386</v>
      </c>
      <c r="F605" s="116">
        <v>81.580714281456935</v>
      </c>
      <c r="G605" s="116">
        <v>83.039014281456929</v>
      </c>
      <c r="H605" s="116">
        <v>30.79</v>
      </c>
      <c r="I605" s="113">
        <v>1025</v>
      </c>
      <c r="J605" s="115" t="s">
        <v>271</v>
      </c>
    </row>
    <row r="606" spans="1:10" x14ac:dyDescent="0.25">
      <c r="A606" s="113">
        <v>603</v>
      </c>
      <c r="B606" s="114" t="s">
        <v>2435</v>
      </c>
      <c r="C606" s="115" t="s">
        <v>2436</v>
      </c>
      <c r="D606" s="115" t="s">
        <v>461</v>
      </c>
      <c r="E606" s="115" t="s">
        <v>386</v>
      </c>
      <c r="F606" s="116">
        <v>99.995999999999995</v>
      </c>
      <c r="G606" s="116">
        <v>100.79040000000001</v>
      </c>
      <c r="H606" s="116">
        <v>22</v>
      </c>
      <c r="I606" s="113">
        <v>707</v>
      </c>
      <c r="J606" s="115" t="s">
        <v>271</v>
      </c>
    </row>
    <row r="607" spans="1:10" x14ac:dyDescent="0.25">
      <c r="A607" s="113">
        <v>604</v>
      </c>
      <c r="B607" s="114" t="s">
        <v>1416</v>
      </c>
      <c r="C607" s="115" t="s">
        <v>1417</v>
      </c>
      <c r="D607" s="115" t="s">
        <v>461</v>
      </c>
      <c r="E607" s="115" t="s">
        <v>386</v>
      </c>
      <c r="F607" s="116">
        <v>90.476654385694161</v>
      </c>
      <c r="G607" s="116">
        <v>92.073854385694162</v>
      </c>
      <c r="H607" s="116">
        <v>43.21</v>
      </c>
      <c r="I607" s="113">
        <v>217</v>
      </c>
      <c r="J607" s="115" t="s">
        <v>271</v>
      </c>
    </row>
    <row r="608" spans="1:10" x14ac:dyDescent="0.25">
      <c r="A608" s="113">
        <v>605</v>
      </c>
      <c r="B608" s="114" t="s">
        <v>1418</v>
      </c>
      <c r="C608" s="115" t="s">
        <v>1419</v>
      </c>
      <c r="D608" s="115" t="s">
        <v>461</v>
      </c>
      <c r="E608" s="115" t="s">
        <v>386</v>
      </c>
      <c r="F608" s="116">
        <v>81.586021537298549</v>
      </c>
      <c r="G608" s="116">
        <v>82.072121537298557</v>
      </c>
      <c r="H608" s="116">
        <v>43.66</v>
      </c>
      <c r="I608" s="113">
        <v>473</v>
      </c>
      <c r="J608" s="115" t="s">
        <v>271</v>
      </c>
    </row>
    <row r="609" spans="1:10" x14ac:dyDescent="0.25">
      <c r="A609" s="113">
        <v>606</v>
      </c>
      <c r="B609" s="114" t="s">
        <v>1420</v>
      </c>
      <c r="C609" s="115" t="s">
        <v>1421</v>
      </c>
      <c r="D609" s="115" t="s">
        <v>451</v>
      </c>
      <c r="E609" s="115" t="s">
        <v>1422</v>
      </c>
      <c r="F609" s="116">
        <v>1000</v>
      </c>
      <c r="G609" s="116">
        <v>1000</v>
      </c>
      <c r="H609" s="116">
        <v>0</v>
      </c>
      <c r="I609" s="113">
        <v>0</v>
      </c>
      <c r="J609" s="115" t="s">
        <v>240</v>
      </c>
    </row>
    <row r="610" spans="1:10" x14ac:dyDescent="0.25">
      <c r="A610" s="113">
        <v>607</v>
      </c>
      <c r="B610" s="114" t="s">
        <v>1424</v>
      </c>
      <c r="C610" s="115" t="s">
        <v>1425</v>
      </c>
      <c r="D610" s="115" t="s">
        <v>461</v>
      </c>
      <c r="E610" s="115" t="s">
        <v>1423</v>
      </c>
      <c r="F610" s="116">
        <v>100.74106946805313</v>
      </c>
      <c r="G610" s="116">
        <v>102.25776946805313</v>
      </c>
      <c r="H610" s="116">
        <v>20.04</v>
      </c>
      <c r="I610" s="113">
        <v>304</v>
      </c>
      <c r="J610" s="115" t="s">
        <v>271</v>
      </c>
    </row>
    <row r="611" spans="1:10" x14ac:dyDescent="0.25">
      <c r="A611" s="113">
        <v>608</v>
      </c>
      <c r="B611" s="114" t="s">
        <v>2153</v>
      </c>
      <c r="C611" s="115" t="s">
        <v>2154</v>
      </c>
      <c r="D611" s="115" t="s">
        <v>461</v>
      </c>
      <c r="E611" s="115" t="s">
        <v>1423</v>
      </c>
      <c r="F611" s="116">
        <v>100.5215921215154</v>
      </c>
      <c r="G611" s="116">
        <v>101.27989212151539</v>
      </c>
      <c r="H611" s="116">
        <v>10.16</v>
      </c>
      <c r="I611" s="113">
        <v>604</v>
      </c>
      <c r="J611" s="115" t="s">
        <v>271</v>
      </c>
    </row>
    <row r="612" spans="1:10" x14ac:dyDescent="0.25">
      <c r="A612" s="113">
        <v>609</v>
      </c>
      <c r="B612" s="114" t="s">
        <v>2176</v>
      </c>
      <c r="C612" s="115" t="s">
        <v>2177</v>
      </c>
      <c r="D612" s="115" t="s">
        <v>461</v>
      </c>
      <c r="E612" s="115" t="s">
        <v>1428</v>
      </c>
      <c r="F612" s="116">
        <v>99.361042860221758</v>
      </c>
      <c r="G612" s="116">
        <v>102.80544286022176</v>
      </c>
      <c r="H612" s="116">
        <v>20.82</v>
      </c>
      <c r="I612" s="113">
        <v>298</v>
      </c>
      <c r="J612" s="115" t="s">
        <v>271</v>
      </c>
    </row>
    <row r="613" spans="1:10" x14ac:dyDescent="0.25">
      <c r="A613" s="113">
        <v>610</v>
      </c>
      <c r="B613" s="114" t="s">
        <v>2439</v>
      </c>
      <c r="C613" s="115" t="s">
        <v>2440</v>
      </c>
      <c r="D613" s="115" t="s">
        <v>461</v>
      </c>
      <c r="E613" s="115" t="s">
        <v>1428</v>
      </c>
      <c r="F613" s="116">
        <v>99.370500000000007</v>
      </c>
      <c r="G613" s="116">
        <v>99.778800000000004</v>
      </c>
      <c r="H613" s="116">
        <v>21.5</v>
      </c>
      <c r="I613" s="113">
        <v>533</v>
      </c>
      <c r="J613" s="115" t="s">
        <v>271</v>
      </c>
    </row>
    <row r="614" spans="1:10" x14ac:dyDescent="0.25">
      <c r="A614" s="113">
        <v>611</v>
      </c>
      <c r="B614" s="114" t="s">
        <v>1426</v>
      </c>
      <c r="C614" s="115" t="s">
        <v>1427</v>
      </c>
      <c r="D614" s="115" t="s">
        <v>461</v>
      </c>
      <c r="E614" s="115" t="s">
        <v>1428</v>
      </c>
      <c r="F614" s="116">
        <v>99.878413421467584</v>
      </c>
      <c r="G614" s="116">
        <v>103.77841342146758</v>
      </c>
      <c r="H614" s="116">
        <v>21.34</v>
      </c>
      <c r="I614" s="113">
        <v>12</v>
      </c>
      <c r="J614" s="115" t="s">
        <v>271</v>
      </c>
    </row>
    <row r="615" spans="1:10" x14ac:dyDescent="0.25">
      <c r="A615" s="113">
        <v>612</v>
      </c>
      <c r="B615" s="114" t="s">
        <v>1429</v>
      </c>
      <c r="C615" s="115" t="s">
        <v>1430</v>
      </c>
      <c r="D615" s="115" t="s">
        <v>461</v>
      </c>
      <c r="E615" s="115" t="s">
        <v>1428</v>
      </c>
      <c r="F615" s="116">
        <v>99.98469785185371</v>
      </c>
      <c r="G615" s="116">
        <v>102.84299785185371</v>
      </c>
      <c r="H615" s="116">
        <v>20.98</v>
      </c>
      <c r="I615" s="113">
        <v>401</v>
      </c>
      <c r="J615" s="115" t="s">
        <v>271</v>
      </c>
    </row>
    <row r="616" spans="1:10" x14ac:dyDescent="0.25">
      <c r="A616" s="113">
        <v>613</v>
      </c>
      <c r="B616" s="114" t="s">
        <v>1431</v>
      </c>
      <c r="C616" s="115" t="s">
        <v>1432</v>
      </c>
      <c r="D616" s="115" t="s">
        <v>461</v>
      </c>
      <c r="E616" s="115" t="s">
        <v>1428</v>
      </c>
      <c r="F616" s="116">
        <v>100.15508966852047</v>
      </c>
      <c r="G616" s="116">
        <v>102.25508966852047</v>
      </c>
      <c r="H616" s="116">
        <v>20.69</v>
      </c>
      <c r="I616" s="113">
        <v>234</v>
      </c>
      <c r="J616" s="115" t="s">
        <v>271</v>
      </c>
    </row>
    <row r="617" spans="1:10" x14ac:dyDescent="0.25">
      <c r="A617" s="113">
        <v>614</v>
      </c>
      <c r="B617" s="114" t="s">
        <v>1433</v>
      </c>
      <c r="C617" s="115" t="s">
        <v>1434</v>
      </c>
      <c r="D617" s="115" t="s">
        <v>461</v>
      </c>
      <c r="E617" s="115" t="s">
        <v>1428</v>
      </c>
      <c r="F617" s="116">
        <v>99.900617361088237</v>
      </c>
      <c r="G617" s="116">
        <v>102.00061736108825</v>
      </c>
      <c r="H617" s="116">
        <v>21.05</v>
      </c>
      <c r="I617" s="113">
        <v>594</v>
      </c>
      <c r="J617" s="115" t="s">
        <v>271</v>
      </c>
    </row>
    <row r="618" spans="1:10" x14ac:dyDescent="0.25">
      <c r="A618" s="113">
        <v>615</v>
      </c>
      <c r="B618" s="114" t="s">
        <v>1435</v>
      </c>
      <c r="C618" s="115" t="s">
        <v>1436</v>
      </c>
      <c r="D618" s="115" t="s">
        <v>451</v>
      </c>
      <c r="E618" s="115" t="s">
        <v>1428</v>
      </c>
      <c r="F618" s="116">
        <v>1000</v>
      </c>
      <c r="G618" s="116">
        <v>1000</v>
      </c>
      <c r="H618" s="116">
        <v>0</v>
      </c>
      <c r="I618" s="113">
        <v>0</v>
      </c>
      <c r="J618" s="115" t="s">
        <v>240</v>
      </c>
    </row>
    <row r="619" spans="1:10" x14ac:dyDescent="0.25">
      <c r="A619" s="113">
        <v>616</v>
      </c>
      <c r="B619" s="114" t="s">
        <v>2005</v>
      </c>
      <c r="C619" s="115" t="s">
        <v>2006</v>
      </c>
      <c r="D619" s="115" t="s">
        <v>461</v>
      </c>
      <c r="E619" s="115" t="s">
        <v>1428</v>
      </c>
      <c r="F619" s="116">
        <v>92.177350628810856</v>
      </c>
      <c r="G619" s="116">
        <v>92.177350628810856</v>
      </c>
      <c r="H619" s="116">
        <v>21.07</v>
      </c>
      <c r="I619" s="113">
        <v>145</v>
      </c>
      <c r="J619" s="115" t="s">
        <v>271</v>
      </c>
    </row>
    <row r="620" spans="1:10" x14ac:dyDescent="0.25">
      <c r="A620" s="113">
        <v>617</v>
      </c>
      <c r="B620" s="114" t="s">
        <v>1437</v>
      </c>
      <c r="C620" s="115" t="s">
        <v>1438</v>
      </c>
      <c r="D620" s="115" t="s">
        <v>461</v>
      </c>
      <c r="E620" s="115" t="s">
        <v>1439</v>
      </c>
      <c r="F620" s="116">
        <v>94.632000000000005</v>
      </c>
      <c r="G620" s="116">
        <v>95.4876</v>
      </c>
      <c r="H620" s="116">
        <v>17.52</v>
      </c>
      <c r="I620" s="113">
        <v>332</v>
      </c>
      <c r="J620" s="115" t="s">
        <v>271</v>
      </c>
    </row>
    <row r="621" spans="1:10" x14ac:dyDescent="0.25">
      <c r="A621" s="113">
        <v>618</v>
      </c>
      <c r="B621" s="114" t="s">
        <v>1440</v>
      </c>
      <c r="C621" s="115" t="s">
        <v>1441</v>
      </c>
      <c r="D621" s="115" t="s">
        <v>461</v>
      </c>
      <c r="E621" s="115" t="s">
        <v>1439</v>
      </c>
      <c r="F621" s="116">
        <v>90.911473485592467</v>
      </c>
      <c r="G621" s="116">
        <v>91.922573485592466</v>
      </c>
      <c r="H621" s="116">
        <v>18.12</v>
      </c>
      <c r="I621" s="113">
        <v>1054</v>
      </c>
      <c r="J621" s="115" t="s">
        <v>271</v>
      </c>
    </row>
    <row r="622" spans="1:10" x14ac:dyDescent="0.25">
      <c r="A622" s="113">
        <v>619</v>
      </c>
      <c r="B622" s="114" t="s">
        <v>1442</v>
      </c>
      <c r="C622" s="115" t="s">
        <v>1443</v>
      </c>
      <c r="D622" s="115" t="s">
        <v>451</v>
      </c>
      <c r="E622" s="115" t="s">
        <v>1439</v>
      </c>
      <c r="F622" s="116">
        <v>1003</v>
      </c>
      <c r="G622" s="116">
        <v>1003</v>
      </c>
      <c r="H622" s="116">
        <v>0</v>
      </c>
      <c r="I622" s="113">
        <v>1474</v>
      </c>
      <c r="J622" s="115" t="s">
        <v>240</v>
      </c>
    </row>
    <row r="623" spans="1:10" x14ac:dyDescent="0.25">
      <c r="A623" s="113">
        <v>620</v>
      </c>
      <c r="B623" s="114" t="s">
        <v>2164</v>
      </c>
      <c r="C623" s="115" t="s">
        <v>2165</v>
      </c>
      <c r="D623" s="115" t="s">
        <v>451</v>
      </c>
      <c r="E623" s="115" t="s">
        <v>1439</v>
      </c>
      <c r="F623" s="116">
        <v>100.62</v>
      </c>
      <c r="G623" s="116">
        <v>100.62</v>
      </c>
      <c r="H623" s="116">
        <v>0</v>
      </c>
      <c r="I623" s="113">
        <v>1353</v>
      </c>
      <c r="J623" s="115" t="s">
        <v>240</v>
      </c>
    </row>
    <row r="624" spans="1:10" x14ac:dyDescent="0.25">
      <c r="A624" s="113">
        <v>621</v>
      </c>
      <c r="B624" s="114" t="s">
        <v>1444</v>
      </c>
      <c r="C624" s="115" t="s">
        <v>1445</v>
      </c>
      <c r="D624" s="115" t="s">
        <v>461</v>
      </c>
      <c r="E624" s="115" t="s">
        <v>1446</v>
      </c>
      <c r="F624" s="116">
        <v>100.22762294724764</v>
      </c>
      <c r="G624" s="116">
        <v>104.32202294724765</v>
      </c>
      <c r="H624" s="116">
        <v>21.14</v>
      </c>
      <c r="I624" s="113">
        <v>113</v>
      </c>
      <c r="J624" s="115" t="s">
        <v>271</v>
      </c>
    </row>
    <row r="625" spans="1:10" x14ac:dyDescent="0.25">
      <c r="A625" s="113">
        <v>622</v>
      </c>
      <c r="B625" s="114" t="s">
        <v>1447</v>
      </c>
      <c r="C625" s="115" t="s">
        <v>1448</v>
      </c>
      <c r="D625" s="115" t="s">
        <v>461</v>
      </c>
      <c r="E625" s="115" t="s">
        <v>1446</v>
      </c>
      <c r="F625" s="116">
        <v>99.100370528765993</v>
      </c>
      <c r="G625" s="116">
        <v>100.922570528766</v>
      </c>
      <c r="H625" s="116">
        <v>21.58</v>
      </c>
      <c r="I625" s="113">
        <v>328</v>
      </c>
      <c r="J625" s="115" t="s">
        <v>271</v>
      </c>
    </row>
    <row r="626" spans="1:10" x14ac:dyDescent="0.25">
      <c r="A626" s="113">
        <v>623</v>
      </c>
      <c r="B626" s="114" t="s">
        <v>2323</v>
      </c>
      <c r="C626" s="115" t="s">
        <v>2324</v>
      </c>
      <c r="D626" s="115" t="s">
        <v>461</v>
      </c>
      <c r="E626" s="115" t="s">
        <v>1446</v>
      </c>
      <c r="F626" s="116">
        <v>98.772716129320401</v>
      </c>
      <c r="G626" s="116">
        <v>100.87271612932041</v>
      </c>
      <c r="H626" s="116">
        <v>21.78</v>
      </c>
      <c r="I626" s="113">
        <v>684</v>
      </c>
      <c r="J626" s="115" t="s">
        <v>271</v>
      </c>
    </row>
    <row r="627" spans="1:10" x14ac:dyDescent="0.25">
      <c r="A627" s="113">
        <v>624</v>
      </c>
      <c r="B627" s="114" t="s">
        <v>1450</v>
      </c>
      <c r="C627" s="115" t="s">
        <v>1451</v>
      </c>
      <c r="D627" s="115" t="s">
        <v>461</v>
      </c>
      <c r="E627" s="115" t="s">
        <v>1449</v>
      </c>
      <c r="F627" s="116">
        <v>99.645649671230899</v>
      </c>
      <c r="G627" s="116">
        <v>101.00674967123089</v>
      </c>
      <c r="H627" s="116">
        <v>13.1</v>
      </c>
      <c r="I627" s="113">
        <v>41</v>
      </c>
      <c r="J627" s="115" t="s">
        <v>271</v>
      </c>
    </row>
    <row r="628" spans="1:10" x14ac:dyDescent="0.25">
      <c r="A628" s="113">
        <v>625</v>
      </c>
      <c r="B628" s="114" t="s">
        <v>1452</v>
      </c>
      <c r="C628" s="115" t="s">
        <v>1453</v>
      </c>
      <c r="D628" s="115" t="s">
        <v>461</v>
      </c>
      <c r="E628" s="115" t="s">
        <v>1449</v>
      </c>
      <c r="F628" s="116">
        <v>99.652778558192082</v>
      </c>
      <c r="G628" s="116">
        <v>101.04167855819207</v>
      </c>
      <c r="H628" s="116">
        <v>13.11</v>
      </c>
      <c r="I628" s="113">
        <v>40</v>
      </c>
      <c r="J628" s="115" t="s">
        <v>271</v>
      </c>
    </row>
    <row r="629" spans="1:10" x14ac:dyDescent="0.25">
      <c r="A629" s="113">
        <v>626</v>
      </c>
      <c r="B629" s="114" t="s">
        <v>1454</v>
      </c>
      <c r="C629" s="115" t="s">
        <v>1455</v>
      </c>
      <c r="D629" s="115" t="s">
        <v>461</v>
      </c>
      <c r="E629" s="115" t="s">
        <v>1449</v>
      </c>
      <c r="F629" s="116">
        <v>97.84455096598704</v>
      </c>
      <c r="G629" s="116">
        <v>99.84455096598704</v>
      </c>
      <c r="H629" s="116">
        <v>22.67</v>
      </c>
      <c r="I629" s="113">
        <v>324</v>
      </c>
      <c r="J629" s="115" t="s">
        <v>271</v>
      </c>
    </row>
    <row r="630" spans="1:10" x14ac:dyDescent="0.25">
      <c r="A630" s="113">
        <v>627</v>
      </c>
      <c r="B630" s="114" t="s">
        <v>2027</v>
      </c>
      <c r="C630" s="115" t="s">
        <v>2028</v>
      </c>
      <c r="D630" s="115" t="s">
        <v>461</v>
      </c>
      <c r="E630" s="115" t="s">
        <v>1449</v>
      </c>
      <c r="F630" s="116">
        <v>100.96506999968426</v>
      </c>
      <c r="G630" s="116">
        <v>103.20396999968426</v>
      </c>
      <c r="H630" s="116">
        <v>12.31</v>
      </c>
      <c r="I630" s="113">
        <v>568</v>
      </c>
      <c r="J630" s="115" t="s">
        <v>271</v>
      </c>
    </row>
    <row r="631" spans="1:10" x14ac:dyDescent="0.25">
      <c r="A631" s="113">
        <v>628</v>
      </c>
      <c r="B631" s="114" t="s">
        <v>2257</v>
      </c>
      <c r="C631" s="115" t="s">
        <v>2258</v>
      </c>
      <c r="D631" s="115" t="s">
        <v>461</v>
      </c>
      <c r="E631" s="115" t="s">
        <v>1449</v>
      </c>
      <c r="F631" s="116">
        <v>94.106702019746976</v>
      </c>
      <c r="G631" s="116">
        <v>97.606702019746976</v>
      </c>
      <c r="H631" s="116">
        <v>22.88</v>
      </c>
      <c r="I631" s="113">
        <v>1017</v>
      </c>
      <c r="J631" s="115" t="s">
        <v>271</v>
      </c>
    </row>
    <row r="632" spans="1:10" x14ac:dyDescent="0.25">
      <c r="A632" s="113">
        <v>629</v>
      </c>
      <c r="B632" s="114" t="s">
        <v>1456</v>
      </c>
      <c r="C632" s="115" t="s">
        <v>1457</v>
      </c>
      <c r="D632" s="115" t="s">
        <v>461</v>
      </c>
      <c r="E632" s="115" t="s">
        <v>1458</v>
      </c>
      <c r="F632" s="116">
        <v>100</v>
      </c>
      <c r="G632" s="116">
        <v>100.0009</v>
      </c>
      <c r="H632" s="116">
        <v>0.02</v>
      </c>
      <c r="I632" s="113">
        <v>3099</v>
      </c>
      <c r="J632" s="115" t="s">
        <v>271</v>
      </c>
    </row>
    <row r="633" spans="1:10" x14ac:dyDescent="0.25">
      <c r="A633" s="113">
        <v>630</v>
      </c>
      <c r="B633" s="114" t="s">
        <v>1459</v>
      </c>
      <c r="C633" s="115" t="s">
        <v>1460</v>
      </c>
      <c r="D633" s="115" t="s">
        <v>461</v>
      </c>
      <c r="E633" s="115" t="s">
        <v>1458</v>
      </c>
      <c r="F633" s="116">
        <v>100</v>
      </c>
      <c r="G633" s="116">
        <v>105.14749999999999</v>
      </c>
      <c r="H633" s="116">
        <v>7.06</v>
      </c>
      <c r="I633" s="113">
        <v>2196</v>
      </c>
      <c r="J633" s="115" t="s">
        <v>271</v>
      </c>
    </row>
    <row r="634" spans="1:10" x14ac:dyDescent="0.25">
      <c r="A634" s="113">
        <v>631</v>
      </c>
      <c r="B634" s="114" t="s">
        <v>1461</v>
      </c>
      <c r="C634" s="115" t="s">
        <v>1462</v>
      </c>
      <c r="D634" s="115" t="s">
        <v>461</v>
      </c>
      <c r="E634" s="115" t="s">
        <v>1458</v>
      </c>
      <c r="F634" s="116">
        <v>100</v>
      </c>
      <c r="G634" s="116">
        <v>100.94889999999999</v>
      </c>
      <c r="H634" s="116">
        <v>6.08</v>
      </c>
      <c r="I634" s="113">
        <v>1714</v>
      </c>
      <c r="J634" s="115" t="s">
        <v>271</v>
      </c>
    </row>
    <row r="635" spans="1:10" x14ac:dyDescent="0.25">
      <c r="A635" s="113">
        <v>632</v>
      </c>
      <c r="B635" s="114" t="s">
        <v>1463</v>
      </c>
      <c r="C635" s="115" t="s">
        <v>1464</v>
      </c>
      <c r="D635" s="115" t="s">
        <v>461</v>
      </c>
      <c r="E635" s="115" t="s">
        <v>1458</v>
      </c>
      <c r="F635" s="116">
        <v>100</v>
      </c>
      <c r="G635" s="116">
        <v>105.7983</v>
      </c>
      <c r="H635" s="116">
        <v>7.08</v>
      </c>
      <c r="I635" s="113">
        <v>2196</v>
      </c>
      <c r="J635" s="115" t="s">
        <v>271</v>
      </c>
    </row>
    <row r="636" spans="1:10" x14ac:dyDescent="0.25">
      <c r="A636" s="113">
        <v>633</v>
      </c>
      <c r="B636" s="114" t="s">
        <v>2404</v>
      </c>
      <c r="C636" s="115" t="s">
        <v>2405</v>
      </c>
      <c r="D636" s="115" t="s">
        <v>461</v>
      </c>
      <c r="E636" s="115" t="s">
        <v>1458</v>
      </c>
      <c r="F636" s="116">
        <v>90.416042251905154</v>
      </c>
      <c r="G636" s="116">
        <v>91.477742251905156</v>
      </c>
      <c r="H636" s="116">
        <v>20.51</v>
      </c>
      <c r="I636" s="113">
        <v>3579</v>
      </c>
      <c r="J636" s="115" t="s">
        <v>271</v>
      </c>
    </row>
    <row r="637" spans="1:10" x14ac:dyDescent="0.25">
      <c r="A637" s="113">
        <v>634</v>
      </c>
      <c r="B637" s="114" t="s">
        <v>1465</v>
      </c>
      <c r="C637" s="115" t="s">
        <v>1466</v>
      </c>
      <c r="D637" s="115" t="s">
        <v>461</v>
      </c>
      <c r="E637" s="115" t="s">
        <v>1458</v>
      </c>
      <c r="F637" s="116">
        <v>100</v>
      </c>
      <c r="G637" s="116">
        <v>104.4225</v>
      </c>
      <c r="H637" s="116">
        <v>6.07</v>
      </c>
      <c r="I637" s="113">
        <v>2551</v>
      </c>
      <c r="J637" s="115" t="s">
        <v>271</v>
      </c>
    </row>
    <row r="638" spans="1:10" x14ac:dyDescent="0.25">
      <c r="A638" s="113">
        <v>635</v>
      </c>
      <c r="B638" s="114" t="s">
        <v>1467</v>
      </c>
      <c r="C638" s="115" t="s">
        <v>1468</v>
      </c>
      <c r="D638" s="115" t="s">
        <v>461</v>
      </c>
      <c r="E638" s="115" t="s">
        <v>1458</v>
      </c>
      <c r="F638" s="116">
        <v>100</v>
      </c>
      <c r="G638" s="116">
        <v>100.1186</v>
      </c>
      <c r="H638" s="116">
        <v>6.09</v>
      </c>
      <c r="I638" s="113">
        <v>2123</v>
      </c>
      <c r="J638" s="115" t="s">
        <v>271</v>
      </c>
    </row>
    <row r="639" spans="1:10" x14ac:dyDescent="0.25">
      <c r="A639" s="113">
        <v>636</v>
      </c>
      <c r="B639" s="114" t="s">
        <v>1469</v>
      </c>
      <c r="C639" s="115" t="s">
        <v>1470</v>
      </c>
      <c r="D639" s="115" t="s">
        <v>461</v>
      </c>
      <c r="E639" s="115" t="s">
        <v>1458</v>
      </c>
      <c r="F639" s="116">
        <v>100</v>
      </c>
      <c r="G639" s="116">
        <v>104.4225</v>
      </c>
      <c r="H639" s="116">
        <v>6.09</v>
      </c>
      <c r="I639" s="113">
        <v>2618</v>
      </c>
      <c r="J639" s="115" t="s">
        <v>271</v>
      </c>
    </row>
    <row r="640" spans="1:10" x14ac:dyDescent="0.25">
      <c r="A640" s="113">
        <v>637</v>
      </c>
      <c r="B640" s="114" t="s">
        <v>1471</v>
      </c>
      <c r="C640" s="115" t="s">
        <v>1472</v>
      </c>
      <c r="D640" s="115" t="s">
        <v>461</v>
      </c>
      <c r="E640" s="115" t="s">
        <v>1458</v>
      </c>
      <c r="F640" s="116">
        <v>100</v>
      </c>
      <c r="G640" s="116">
        <v>105.0664</v>
      </c>
      <c r="H640" s="116">
        <v>6.08</v>
      </c>
      <c r="I640" s="113">
        <v>2551</v>
      </c>
      <c r="J640" s="115" t="s">
        <v>271</v>
      </c>
    </row>
    <row r="641" spans="1:10" x14ac:dyDescent="0.25">
      <c r="A641" s="113">
        <v>638</v>
      </c>
      <c r="B641" s="114" t="s">
        <v>1473</v>
      </c>
      <c r="C641" s="115" t="s">
        <v>1474</v>
      </c>
      <c r="D641" s="115" t="s">
        <v>461</v>
      </c>
      <c r="E641" s="115" t="s">
        <v>1458</v>
      </c>
      <c r="F641" s="116">
        <v>100</v>
      </c>
      <c r="G641" s="116">
        <v>105.0664</v>
      </c>
      <c r="H641" s="116">
        <v>6.08</v>
      </c>
      <c r="I641" s="113">
        <v>2551</v>
      </c>
      <c r="J641" s="115" t="s">
        <v>271</v>
      </c>
    </row>
    <row r="642" spans="1:10" x14ac:dyDescent="0.25">
      <c r="A642" s="113">
        <v>639</v>
      </c>
      <c r="B642" s="114" t="s">
        <v>1475</v>
      </c>
      <c r="C642" s="115" t="s">
        <v>1476</v>
      </c>
      <c r="D642" s="115" t="s">
        <v>461</v>
      </c>
      <c r="E642" s="115" t="s">
        <v>1458</v>
      </c>
      <c r="F642" s="116">
        <v>100</v>
      </c>
      <c r="G642" s="116">
        <v>103.9311</v>
      </c>
      <c r="H642" s="116">
        <v>6.08</v>
      </c>
      <c r="I642" s="113">
        <v>2618</v>
      </c>
      <c r="J642" s="115" t="s">
        <v>271</v>
      </c>
    </row>
    <row r="643" spans="1:10" x14ac:dyDescent="0.25">
      <c r="A643" s="113">
        <v>640</v>
      </c>
      <c r="B643" s="114" t="s">
        <v>2389</v>
      </c>
      <c r="C643" s="115" t="s">
        <v>2390</v>
      </c>
      <c r="D643" s="115" t="s">
        <v>461</v>
      </c>
      <c r="E643" s="115" t="s">
        <v>2391</v>
      </c>
      <c r="F643" s="116">
        <v>100.49073492270269</v>
      </c>
      <c r="G643" s="116">
        <v>101.13243492270269</v>
      </c>
      <c r="H643" s="116">
        <v>10.79</v>
      </c>
      <c r="I643" s="113">
        <v>1059</v>
      </c>
      <c r="J643" s="115" t="s">
        <v>271</v>
      </c>
    </row>
    <row r="644" spans="1:10" x14ac:dyDescent="0.25">
      <c r="A644" s="113">
        <v>641</v>
      </c>
      <c r="B644" s="114" t="s">
        <v>2273</v>
      </c>
      <c r="C644" s="115" t="s">
        <v>2274</v>
      </c>
      <c r="D644" s="115" t="s">
        <v>461</v>
      </c>
      <c r="E644" s="115" t="s">
        <v>2275</v>
      </c>
      <c r="F644" s="116">
        <v>101.39451608601489</v>
      </c>
      <c r="G644" s="116">
        <v>105.36671608601489</v>
      </c>
      <c r="H644" s="116">
        <v>25.27</v>
      </c>
      <c r="I644" s="113">
        <v>1025</v>
      </c>
      <c r="J644" s="115" t="s">
        <v>271</v>
      </c>
    </row>
    <row r="645" spans="1:10" x14ac:dyDescent="0.25">
      <c r="A645" s="113">
        <v>642</v>
      </c>
      <c r="B645" s="114" t="s">
        <v>1477</v>
      </c>
      <c r="C645" s="115" t="s">
        <v>1478</v>
      </c>
      <c r="D645" s="115" t="s">
        <v>451</v>
      </c>
      <c r="E645" s="115" t="s">
        <v>1479</v>
      </c>
      <c r="F645" s="116">
        <v>52664.62</v>
      </c>
      <c r="G645" s="116">
        <v>52664.62</v>
      </c>
      <c r="H645" s="116">
        <v>0</v>
      </c>
      <c r="I645" s="113">
        <v>0</v>
      </c>
      <c r="J645" s="115" t="s">
        <v>240</v>
      </c>
    </row>
    <row r="646" spans="1:10" x14ac:dyDescent="0.25">
      <c r="A646" s="113">
        <v>643</v>
      </c>
      <c r="B646" s="114" t="s">
        <v>387</v>
      </c>
      <c r="C646" s="115" t="s">
        <v>388</v>
      </c>
      <c r="D646" s="115" t="s">
        <v>461</v>
      </c>
      <c r="E646" s="115" t="s">
        <v>111</v>
      </c>
      <c r="F646" s="116">
        <v>97.438900000000004</v>
      </c>
      <c r="G646" s="116">
        <v>97.438900000000004</v>
      </c>
      <c r="H646" s="116">
        <v>14.99</v>
      </c>
      <c r="I646" s="113">
        <v>64</v>
      </c>
      <c r="J646" s="115" t="s">
        <v>271</v>
      </c>
    </row>
    <row r="647" spans="1:10" x14ac:dyDescent="0.25">
      <c r="A647" s="113">
        <v>644</v>
      </c>
      <c r="B647" s="114" t="s">
        <v>2031</v>
      </c>
      <c r="C647" s="115" t="s">
        <v>2032</v>
      </c>
      <c r="D647" s="115" t="s">
        <v>461</v>
      </c>
      <c r="E647" s="115" t="s">
        <v>111</v>
      </c>
      <c r="F647" s="116">
        <v>93.188699999999997</v>
      </c>
      <c r="G647" s="116">
        <v>93.188699999999997</v>
      </c>
      <c r="H647" s="116">
        <v>15.79</v>
      </c>
      <c r="I647" s="113">
        <v>169</v>
      </c>
      <c r="J647" s="115" t="s">
        <v>271</v>
      </c>
    </row>
    <row r="648" spans="1:10" x14ac:dyDescent="0.25">
      <c r="A648" s="113">
        <v>645</v>
      </c>
      <c r="B648" s="114" t="s">
        <v>2184</v>
      </c>
      <c r="C648" s="115" t="s">
        <v>2185</v>
      </c>
      <c r="D648" s="115" t="s">
        <v>461</v>
      </c>
      <c r="E648" s="115" t="s">
        <v>111</v>
      </c>
      <c r="F648" s="116">
        <v>89.286699999999996</v>
      </c>
      <c r="G648" s="116">
        <v>89.286699999999996</v>
      </c>
      <c r="H648" s="116">
        <v>16.399999999999999</v>
      </c>
      <c r="I648" s="113">
        <v>267</v>
      </c>
      <c r="J648" s="115" t="s">
        <v>271</v>
      </c>
    </row>
    <row r="649" spans="1:10" x14ac:dyDescent="0.25">
      <c r="A649" s="113">
        <v>646</v>
      </c>
      <c r="B649" s="114" t="s">
        <v>1480</v>
      </c>
      <c r="C649" s="115" t="s">
        <v>1481</v>
      </c>
      <c r="D649" s="115" t="s">
        <v>451</v>
      </c>
      <c r="E649" s="115" t="s">
        <v>1482</v>
      </c>
      <c r="F649" s="116">
        <v>0.01</v>
      </c>
      <c r="G649" s="116">
        <v>0.01</v>
      </c>
      <c r="H649" s="116">
        <v>0</v>
      </c>
      <c r="I649" s="113">
        <v>0</v>
      </c>
      <c r="J649" s="115" t="s">
        <v>240</v>
      </c>
    </row>
    <row r="650" spans="1:10" x14ac:dyDescent="0.25">
      <c r="A650" s="113">
        <v>647</v>
      </c>
      <c r="B650" s="114" t="s">
        <v>1483</v>
      </c>
      <c r="C650" s="115" t="s">
        <v>1484</v>
      </c>
      <c r="D650" s="115" t="s">
        <v>451</v>
      </c>
      <c r="E650" s="115" t="s">
        <v>1482</v>
      </c>
      <c r="F650" s="116">
        <v>5695</v>
      </c>
      <c r="G650" s="116">
        <v>5695</v>
      </c>
      <c r="H650" s="116">
        <v>0</v>
      </c>
      <c r="I650" s="113">
        <v>0</v>
      </c>
      <c r="J650" s="115" t="s">
        <v>240</v>
      </c>
    </row>
    <row r="651" spans="1:10" x14ac:dyDescent="0.25">
      <c r="A651" s="113">
        <v>648</v>
      </c>
      <c r="B651" s="114" t="s">
        <v>1485</v>
      </c>
      <c r="C651" s="115" t="s">
        <v>1486</v>
      </c>
      <c r="D651" s="115" t="s">
        <v>451</v>
      </c>
      <c r="E651" s="115" t="s">
        <v>1487</v>
      </c>
      <c r="F651" s="116">
        <v>13000</v>
      </c>
      <c r="G651" s="116">
        <v>13000</v>
      </c>
      <c r="H651" s="116">
        <v>0</v>
      </c>
      <c r="I651" s="113">
        <v>0</v>
      </c>
      <c r="J651" s="115" t="s">
        <v>240</v>
      </c>
    </row>
    <row r="652" spans="1:10" x14ac:dyDescent="0.25">
      <c r="A652" s="113">
        <v>649</v>
      </c>
      <c r="B652" s="114" t="s">
        <v>1488</v>
      </c>
      <c r="C652" s="115" t="s">
        <v>1489</v>
      </c>
      <c r="D652" s="115" t="s">
        <v>461</v>
      </c>
      <c r="E652" s="115" t="s">
        <v>1490</v>
      </c>
      <c r="F652" s="116">
        <v>89.359627112108129</v>
      </c>
      <c r="G652" s="116">
        <v>91.74292711210812</v>
      </c>
      <c r="H652" s="116">
        <v>10.79</v>
      </c>
      <c r="I652" s="113">
        <v>937</v>
      </c>
      <c r="J652" s="115" t="s">
        <v>271</v>
      </c>
    </row>
    <row r="653" spans="1:10" x14ac:dyDescent="0.25">
      <c r="A653" s="113">
        <v>650</v>
      </c>
      <c r="B653" s="114" t="s">
        <v>117</v>
      </c>
      <c r="C653" s="115" t="s">
        <v>4</v>
      </c>
      <c r="D653" s="115" t="s">
        <v>461</v>
      </c>
      <c r="E653" s="115" t="s">
        <v>111</v>
      </c>
      <c r="F653" s="116">
        <v>97.951400000000007</v>
      </c>
      <c r="G653" s="116">
        <v>98.840599999999995</v>
      </c>
      <c r="H653" s="116">
        <v>15.87</v>
      </c>
      <c r="I653" s="113">
        <v>150</v>
      </c>
      <c r="J653" s="115" t="s">
        <v>271</v>
      </c>
    </row>
    <row r="654" spans="1:10" x14ac:dyDescent="0.25">
      <c r="A654" s="113">
        <v>651</v>
      </c>
      <c r="B654" s="114" t="s">
        <v>118</v>
      </c>
      <c r="C654" s="115" t="s">
        <v>119</v>
      </c>
      <c r="D654" s="115" t="s">
        <v>461</v>
      </c>
      <c r="E654" s="115" t="s">
        <v>111</v>
      </c>
      <c r="F654" s="116">
        <v>98.112899999999996</v>
      </c>
      <c r="G654" s="116">
        <v>100.29</v>
      </c>
      <c r="H654" s="116">
        <v>16.16</v>
      </c>
      <c r="I654" s="113">
        <v>303</v>
      </c>
      <c r="J654" s="115" t="s">
        <v>271</v>
      </c>
    </row>
    <row r="655" spans="1:10" x14ac:dyDescent="0.25">
      <c r="A655" s="113">
        <v>652</v>
      </c>
      <c r="B655" s="114" t="s">
        <v>120</v>
      </c>
      <c r="C655" s="115" t="s">
        <v>121</v>
      </c>
      <c r="D655" s="115" t="s">
        <v>461</v>
      </c>
      <c r="E655" s="115" t="s">
        <v>111</v>
      </c>
      <c r="F655" s="116">
        <v>97.681600000000003</v>
      </c>
      <c r="G655" s="116">
        <v>103.66630000000001</v>
      </c>
      <c r="H655" s="116">
        <v>16.309999999999999</v>
      </c>
      <c r="I655" s="113">
        <v>385</v>
      </c>
      <c r="J655" s="115" t="s">
        <v>271</v>
      </c>
    </row>
    <row r="656" spans="1:10" x14ac:dyDescent="0.25">
      <c r="A656" s="113">
        <v>653</v>
      </c>
      <c r="B656" s="114" t="s">
        <v>2422</v>
      </c>
      <c r="C656" s="115" t="s">
        <v>2421</v>
      </c>
      <c r="D656" s="115" t="s">
        <v>461</v>
      </c>
      <c r="E656" s="115" t="s">
        <v>111</v>
      </c>
      <c r="F656" s="116">
        <v>101.9421</v>
      </c>
      <c r="G656" s="116">
        <v>102.6036</v>
      </c>
      <c r="H656" s="116">
        <v>16.32</v>
      </c>
      <c r="I656" s="113">
        <v>1426</v>
      </c>
      <c r="J656" s="115" t="s">
        <v>271</v>
      </c>
    </row>
    <row r="657" spans="1:10" x14ac:dyDescent="0.25">
      <c r="A657" s="113">
        <v>654</v>
      </c>
      <c r="B657" s="114" t="s">
        <v>122</v>
      </c>
      <c r="C657" s="115" t="s">
        <v>123</v>
      </c>
      <c r="D657" s="115" t="s">
        <v>461</v>
      </c>
      <c r="E657" s="115" t="s">
        <v>111</v>
      </c>
      <c r="F657" s="116">
        <v>95.083299999999994</v>
      </c>
      <c r="G657" s="116">
        <v>95.579099999999997</v>
      </c>
      <c r="H657" s="116">
        <v>16.260000000000002</v>
      </c>
      <c r="I657" s="113">
        <v>343</v>
      </c>
      <c r="J657" s="115" t="s">
        <v>271</v>
      </c>
    </row>
    <row r="658" spans="1:10" x14ac:dyDescent="0.25">
      <c r="A658" s="113">
        <v>655</v>
      </c>
      <c r="B658" s="114" t="s">
        <v>124</v>
      </c>
      <c r="C658" s="115" t="s">
        <v>125</v>
      </c>
      <c r="D658" s="115" t="s">
        <v>461</v>
      </c>
      <c r="E658" s="115" t="s">
        <v>111</v>
      </c>
      <c r="F658" s="116">
        <v>97.972999999999999</v>
      </c>
      <c r="G658" s="116">
        <v>101.9384</v>
      </c>
      <c r="H658" s="116">
        <v>16.43</v>
      </c>
      <c r="I658" s="113">
        <v>807</v>
      </c>
      <c r="J658" s="115" t="s">
        <v>271</v>
      </c>
    </row>
    <row r="659" spans="1:10" x14ac:dyDescent="0.25">
      <c r="A659" s="113">
        <v>656</v>
      </c>
      <c r="B659" s="114" t="s">
        <v>1491</v>
      </c>
      <c r="C659" s="115" t="s">
        <v>1492</v>
      </c>
      <c r="D659" s="115" t="s">
        <v>451</v>
      </c>
      <c r="E659" s="115" t="s">
        <v>1493</v>
      </c>
      <c r="F659" s="116">
        <v>0.01</v>
      </c>
      <c r="G659" s="116">
        <v>0.01</v>
      </c>
      <c r="H659" s="116">
        <v>0</v>
      </c>
      <c r="I659" s="113">
        <v>0</v>
      </c>
      <c r="J659" s="115" t="s">
        <v>240</v>
      </c>
    </row>
    <row r="660" spans="1:10" x14ac:dyDescent="0.25">
      <c r="A660" s="113">
        <v>657</v>
      </c>
      <c r="B660" s="114" t="s">
        <v>1494</v>
      </c>
      <c r="C660" s="115" t="s">
        <v>1495</v>
      </c>
      <c r="D660" s="115" t="s">
        <v>451</v>
      </c>
      <c r="E660" s="115" t="s">
        <v>1496</v>
      </c>
      <c r="F660" s="116">
        <v>14606.8125</v>
      </c>
      <c r="G660" s="116">
        <v>14606.8125</v>
      </c>
      <c r="H660" s="116">
        <v>0</v>
      </c>
      <c r="I660" s="113">
        <v>0</v>
      </c>
      <c r="J660" s="115" t="s">
        <v>240</v>
      </c>
    </row>
    <row r="661" spans="1:10" x14ac:dyDescent="0.25">
      <c r="A661" s="113">
        <v>658</v>
      </c>
      <c r="B661" s="114" t="s">
        <v>1497</v>
      </c>
      <c r="C661" s="115" t="s">
        <v>1498</v>
      </c>
      <c r="D661" s="115" t="s">
        <v>451</v>
      </c>
      <c r="E661" s="115" t="s">
        <v>1499</v>
      </c>
      <c r="F661" s="116">
        <v>273294.13500000001</v>
      </c>
      <c r="G661" s="116">
        <v>273294.13500000001</v>
      </c>
      <c r="H661" s="116">
        <v>0</v>
      </c>
      <c r="I661" s="113">
        <v>0</v>
      </c>
      <c r="J661" s="115" t="s">
        <v>240</v>
      </c>
    </row>
    <row r="662" spans="1:10" x14ac:dyDescent="0.25">
      <c r="A662" s="113">
        <v>659</v>
      </c>
      <c r="B662" s="114" t="s">
        <v>1500</v>
      </c>
      <c r="C662" s="115" t="s">
        <v>1501</v>
      </c>
      <c r="D662" s="115" t="s">
        <v>451</v>
      </c>
      <c r="E662" s="115" t="s">
        <v>1502</v>
      </c>
      <c r="F662" s="116">
        <v>103262.76</v>
      </c>
      <c r="G662" s="116">
        <v>103262.76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2394</v>
      </c>
      <c r="C663" s="115" t="s">
        <v>2388</v>
      </c>
      <c r="D663" s="115" t="s">
        <v>461</v>
      </c>
      <c r="E663" s="115" t="s">
        <v>111</v>
      </c>
      <c r="F663" s="116">
        <v>100</v>
      </c>
      <c r="G663" s="116">
        <v>100</v>
      </c>
      <c r="H663" s="116">
        <v>16.652999999999999</v>
      </c>
      <c r="I663" s="113">
        <v>1439</v>
      </c>
      <c r="J663" s="115" t="s">
        <v>271</v>
      </c>
    </row>
    <row r="664" spans="1:10" x14ac:dyDescent="0.25">
      <c r="A664" s="113">
        <v>661</v>
      </c>
      <c r="B664" s="114" t="s">
        <v>126</v>
      </c>
      <c r="C664" s="115" t="s">
        <v>127</v>
      </c>
      <c r="D664" s="115" t="s">
        <v>461</v>
      </c>
      <c r="E664" s="115" t="s">
        <v>111</v>
      </c>
      <c r="F664" s="116">
        <v>100</v>
      </c>
      <c r="G664" s="116">
        <v>100</v>
      </c>
      <c r="H664" s="116">
        <v>17.053999999999998</v>
      </c>
      <c r="I664" s="113">
        <v>378</v>
      </c>
      <c r="J664" s="115" t="s">
        <v>271</v>
      </c>
    </row>
    <row r="665" spans="1:10" x14ac:dyDescent="0.25">
      <c r="A665" s="113">
        <v>662</v>
      </c>
      <c r="B665" s="114" t="s">
        <v>128</v>
      </c>
      <c r="C665" s="115" t="s">
        <v>129</v>
      </c>
      <c r="D665" s="115" t="s">
        <v>461</v>
      </c>
      <c r="E665" s="115" t="s">
        <v>111</v>
      </c>
      <c r="F665" s="116">
        <v>100</v>
      </c>
      <c r="G665" s="116">
        <v>100</v>
      </c>
      <c r="H665" s="116">
        <v>17.204000000000001</v>
      </c>
      <c r="I665" s="113">
        <v>773</v>
      </c>
      <c r="J665" s="115" t="s">
        <v>271</v>
      </c>
    </row>
    <row r="666" spans="1:10" x14ac:dyDescent="0.25">
      <c r="A666" s="113">
        <v>663</v>
      </c>
      <c r="B666" s="114" t="s">
        <v>130</v>
      </c>
      <c r="C666" s="115" t="s">
        <v>131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17.404</v>
      </c>
      <c r="I666" s="113">
        <v>1167</v>
      </c>
      <c r="J666" s="115" t="s">
        <v>271</v>
      </c>
    </row>
    <row r="667" spans="1:10" x14ac:dyDescent="0.25">
      <c r="A667" s="113">
        <v>664</v>
      </c>
      <c r="B667" s="114" t="s">
        <v>132</v>
      </c>
      <c r="C667" s="115" t="s">
        <v>133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17.48</v>
      </c>
      <c r="I667" s="113">
        <v>1632</v>
      </c>
      <c r="J667" s="115" t="s">
        <v>271</v>
      </c>
    </row>
    <row r="668" spans="1:10" x14ac:dyDescent="0.25">
      <c r="A668" s="113">
        <v>665</v>
      </c>
      <c r="B668" s="114" t="s">
        <v>134</v>
      </c>
      <c r="C668" s="115" t="s">
        <v>135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17.603999999999999</v>
      </c>
      <c r="I668" s="113">
        <v>1942</v>
      </c>
      <c r="J668" s="115" t="s">
        <v>271</v>
      </c>
    </row>
    <row r="669" spans="1:10" x14ac:dyDescent="0.25">
      <c r="A669" s="113">
        <v>666</v>
      </c>
      <c r="B669" s="114" t="s">
        <v>285</v>
      </c>
      <c r="C669" s="115" t="s">
        <v>286</v>
      </c>
      <c r="D669" s="115" t="s">
        <v>461</v>
      </c>
      <c r="E669" s="115" t="s">
        <v>111</v>
      </c>
      <c r="F669" s="116">
        <v>99.8703</v>
      </c>
      <c r="G669" s="116">
        <v>99.8703</v>
      </c>
      <c r="H669" s="116">
        <v>11.798</v>
      </c>
      <c r="I669" s="113">
        <v>96</v>
      </c>
      <c r="J669" s="115" t="s">
        <v>271</v>
      </c>
    </row>
    <row r="670" spans="1:10" x14ac:dyDescent="0.25">
      <c r="A670" s="113">
        <v>667</v>
      </c>
      <c r="B670" s="114" t="s">
        <v>287</v>
      </c>
      <c r="C670" s="115" t="s">
        <v>288</v>
      </c>
      <c r="D670" s="115" t="s">
        <v>461</v>
      </c>
      <c r="E670" s="115" t="s">
        <v>111</v>
      </c>
      <c r="F670" s="116">
        <v>99.935500000000005</v>
      </c>
      <c r="G670" s="116">
        <v>99.935500000000005</v>
      </c>
      <c r="H670" s="116">
        <v>11.798</v>
      </c>
      <c r="I670" s="113">
        <v>399</v>
      </c>
      <c r="J670" s="115" t="s">
        <v>271</v>
      </c>
    </row>
    <row r="671" spans="1:10" x14ac:dyDescent="0.25">
      <c r="A671" s="113">
        <v>668</v>
      </c>
      <c r="B671" s="114" t="s">
        <v>289</v>
      </c>
      <c r="C671" s="115" t="s">
        <v>290</v>
      </c>
      <c r="D671" s="115" t="s">
        <v>461</v>
      </c>
      <c r="E671" s="115" t="s">
        <v>111</v>
      </c>
      <c r="F671" s="116">
        <v>99.843500000000006</v>
      </c>
      <c r="G671" s="116">
        <v>99.843500000000006</v>
      </c>
      <c r="H671" s="116">
        <v>11.798</v>
      </c>
      <c r="I671" s="113">
        <v>218</v>
      </c>
      <c r="J671" s="115" t="s">
        <v>271</v>
      </c>
    </row>
    <row r="672" spans="1:10" x14ac:dyDescent="0.25">
      <c r="A672" s="113">
        <v>669</v>
      </c>
      <c r="B672" s="114" t="s">
        <v>291</v>
      </c>
      <c r="C672" s="115" t="s">
        <v>292</v>
      </c>
      <c r="D672" s="115" t="s">
        <v>461</v>
      </c>
      <c r="E672" s="115" t="s">
        <v>111</v>
      </c>
      <c r="F672" s="116">
        <v>99.987200000000001</v>
      </c>
      <c r="G672" s="116">
        <v>99.987200000000001</v>
      </c>
      <c r="H672" s="116">
        <v>11.798</v>
      </c>
      <c r="I672" s="113">
        <v>367</v>
      </c>
      <c r="J672" s="115" t="s">
        <v>271</v>
      </c>
    </row>
    <row r="673" spans="1:10" x14ac:dyDescent="0.25">
      <c r="A673" s="113">
        <v>670</v>
      </c>
      <c r="B673" s="114" t="s">
        <v>293</v>
      </c>
      <c r="C673" s="115" t="s">
        <v>294</v>
      </c>
      <c r="D673" s="115" t="s">
        <v>461</v>
      </c>
      <c r="E673" s="115" t="s">
        <v>111</v>
      </c>
      <c r="F673" s="116">
        <v>99.899199999999993</v>
      </c>
      <c r="G673" s="116">
        <v>99.899199999999993</v>
      </c>
      <c r="H673" s="116">
        <v>11.798</v>
      </c>
      <c r="I673" s="113">
        <v>67</v>
      </c>
      <c r="J673" s="115" t="s">
        <v>271</v>
      </c>
    </row>
    <row r="674" spans="1:10" x14ac:dyDescent="0.25">
      <c r="A674" s="113">
        <v>671</v>
      </c>
      <c r="B674" s="114" t="s">
        <v>295</v>
      </c>
      <c r="C674" s="115" t="s">
        <v>296</v>
      </c>
      <c r="D674" s="115" t="s">
        <v>461</v>
      </c>
      <c r="E674" s="115" t="s">
        <v>111</v>
      </c>
      <c r="F674" s="116">
        <v>99.855900000000005</v>
      </c>
      <c r="G674" s="116">
        <v>99.855900000000005</v>
      </c>
      <c r="H674" s="116">
        <v>11.888</v>
      </c>
      <c r="I674" s="113">
        <v>1192</v>
      </c>
      <c r="J674" s="115" t="s">
        <v>271</v>
      </c>
    </row>
    <row r="675" spans="1:10" x14ac:dyDescent="0.25">
      <c r="A675" s="113">
        <v>672</v>
      </c>
      <c r="B675" s="114" t="s">
        <v>297</v>
      </c>
      <c r="C675" s="115" t="s">
        <v>298</v>
      </c>
      <c r="D675" s="115" t="s">
        <v>461</v>
      </c>
      <c r="E675" s="115" t="s">
        <v>111</v>
      </c>
      <c r="F675" s="116">
        <v>99.898099999999999</v>
      </c>
      <c r="G675" s="116">
        <v>99.898099999999999</v>
      </c>
      <c r="H675" s="116">
        <v>11.798</v>
      </c>
      <c r="I675" s="113">
        <v>68</v>
      </c>
      <c r="J675" s="115" t="s">
        <v>271</v>
      </c>
    </row>
    <row r="676" spans="1:10" x14ac:dyDescent="0.25">
      <c r="A676" s="113">
        <v>673</v>
      </c>
      <c r="B676" s="114" t="s">
        <v>299</v>
      </c>
      <c r="C676" s="115" t="s">
        <v>300</v>
      </c>
      <c r="D676" s="115" t="s">
        <v>461</v>
      </c>
      <c r="E676" s="115" t="s">
        <v>111</v>
      </c>
      <c r="F676" s="116">
        <v>99.884500000000003</v>
      </c>
      <c r="G676" s="116">
        <v>99.884500000000003</v>
      </c>
      <c r="H676" s="116">
        <v>11.798</v>
      </c>
      <c r="I676" s="113">
        <v>277</v>
      </c>
      <c r="J676" s="115" t="s">
        <v>271</v>
      </c>
    </row>
    <row r="677" spans="1:10" x14ac:dyDescent="0.25">
      <c r="A677" s="113">
        <v>674</v>
      </c>
      <c r="B677" s="114" t="s">
        <v>301</v>
      </c>
      <c r="C677" s="115" t="s">
        <v>302</v>
      </c>
      <c r="D677" s="115" t="s">
        <v>461</v>
      </c>
      <c r="E677" s="115" t="s">
        <v>111</v>
      </c>
      <c r="F677" s="116">
        <v>99.833200000000005</v>
      </c>
      <c r="G677" s="116">
        <v>99.833200000000005</v>
      </c>
      <c r="H677" s="116">
        <v>11.888</v>
      </c>
      <c r="I677" s="113">
        <v>1623</v>
      </c>
      <c r="J677" s="115" t="s">
        <v>271</v>
      </c>
    </row>
    <row r="678" spans="1:10" x14ac:dyDescent="0.25">
      <c r="A678" s="113">
        <v>675</v>
      </c>
      <c r="B678" s="114" t="s">
        <v>303</v>
      </c>
      <c r="C678" s="115" t="s">
        <v>304</v>
      </c>
      <c r="D678" s="115" t="s">
        <v>461</v>
      </c>
      <c r="E678" s="115" t="s">
        <v>111</v>
      </c>
      <c r="F678" s="116">
        <v>99.884500000000003</v>
      </c>
      <c r="G678" s="116">
        <v>99.884500000000003</v>
      </c>
      <c r="H678" s="116">
        <v>11.798</v>
      </c>
      <c r="I678" s="113">
        <v>277</v>
      </c>
      <c r="J678" s="115" t="s">
        <v>271</v>
      </c>
    </row>
    <row r="679" spans="1:10" x14ac:dyDescent="0.25">
      <c r="A679" s="113">
        <v>676</v>
      </c>
      <c r="B679" s="114" t="s">
        <v>305</v>
      </c>
      <c r="C679" s="115" t="s">
        <v>306</v>
      </c>
      <c r="D679" s="115" t="s">
        <v>461</v>
      </c>
      <c r="E679" s="115" t="s">
        <v>111</v>
      </c>
      <c r="F679" s="116">
        <v>99.964500000000001</v>
      </c>
      <c r="G679" s="116">
        <v>99.964500000000001</v>
      </c>
      <c r="H679" s="116">
        <v>11.798</v>
      </c>
      <c r="I679" s="113">
        <v>339</v>
      </c>
      <c r="J679" s="115" t="s">
        <v>271</v>
      </c>
    </row>
    <row r="680" spans="1:10" x14ac:dyDescent="0.25">
      <c r="A680" s="113">
        <v>677</v>
      </c>
      <c r="B680" s="114" t="s">
        <v>307</v>
      </c>
      <c r="C680" s="115" t="s">
        <v>308</v>
      </c>
      <c r="D680" s="115" t="s">
        <v>461</v>
      </c>
      <c r="E680" s="115" t="s">
        <v>111</v>
      </c>
      <c r="F680" s="116">
        <v>99.86</v>
      </c>
      <c r="G680" s="116">
        <v>99.86</v>
      </c>
      <c r="H680" s="116">
        <v>11.798</v>
      </c>
      <c r="I680" s="113">
        <v>608</v>
      </c>
      <c r="J680" s="115" t="s">
        <v>271</v>
      </c>
    </row>
    <row r="681" spans="1:10" x14ac:dyDescent="0.25">
      <c r="A681" s="113">
        <v>678</v>
      </c>
      <c r="B681" s="114" t="s">
        <v>309</v>
      </c>
      <c r="C681" s="115" t="s">
        <v>310</v>
      </c>
      <c r="D681" s="115" t="s">
        <v>461</v>
      </c>
      <c r="E681" s="115" t="s">
        <v>111</v>
      </c>
      <c r="F681" s="116">
        <v>99.962900000000005</v>
      </c>
      <c r="G681" s="116">
        <v>99.962900000000005</v>
      </c>
      <c r="H681" s="116">
        <v>11.798</v>
      </c>
      <c r="I681" s="113">
        <v>698</v>
      </c>
      <c r="J681" s="115" t="s">
        <v>271</v>
      </c>
    </row>
    <row r="682" spans="1:10" x14ac:dyDescent="0.25">
      <c r="A682" s="113">
        <v>679</v>
      </c>
      <c r="B682" s="114" t="s">
        <v>311</v>
      </c>
      <c r="C682" s="115" t="s">
        <v>312</v>
      </c>
      <c r="D682" s="115" t="s">
        <v>461</v>
      </c>
      <c r="E682" s="115" t="s">
        <v>111</v>
      </c>
      <c r="F682" s="116">
        <v>99.835899999999995</v>
      </c>
      <c r="G682" s="116">
        <v>99.835899999999995</v>
      </c>
      <c r="H682" s="116">
        <v>11.798</v>
      </c>
      <c r="I682" s="113">
        <v>1267</v>
      </c>
      <c r="J682" s="115" t="s">
        <v>271</v>
      </c>
    </row>
    <row r="683" spans="1:10" x14ac:dyDescent="0.25">
      <c r="A683" s="113">
        <v>680</v>
      </c>
      <c r="B683" s="114" t="s">
        <v>313</v>
      </c>
      <c r="C683" s="115" t="s">
        <v>314</v>
      </c>
      <c r="D683" s="115" t="s">
        <v>461</v>
      </c>
      <c r="E683" s="115" t="s">
        <v>111</v>
      </c>
      <c r="F683" s="116">
        <v>99.918499999999995</v>
      </c>
      <c r="G683" s="116">
        <v>99.918499999999995</v>
      </c>
      <c r="H683" s="116">
        <v>11.798</v>
      </c>
      <c r="I683" s="113">
        <v>1387</v>
      </c>
      <c r="J683" s="115" t="s">
        <v>271</v>
      </c>
    </row>
    <row r="684" spans="1:10" x14ac:dyDescent="0.25">
      <c r="A684" s="113">
        <v>681</v>
      </c>
      <c r="B684" s="114" t="s">
        <v>315</v>
      </c>
      <c r="C684" s="115" t="s">
        <v>316</v>
      </c>
      <c r="D684" s="115" t="s">
        <v>461</v>
      </c>
      <c r="E684" s="115" t="s">
        <v>111</v>
      </c>
      <c r="F684" s="116">
        <v>99.919799999999995</v>
      </c>
      <c r="G684" s="116">
        <v>99.919799999999995</v>
      </c>
      <c r="H684" s="116">
        <v>11.798</v>
      </c>
      <c r="I684" s="113">
        <v>668</v>
      </c>
      <c r="J684" s="115" t="s">
        <v>271</v>
      </c>
    </row>
    <row r="685" spans="1:10" x14ac:dyDescent="0.25">
      <c r="A685" s="113">
        <v>682</v>
      </c>
      <c r="B685" s="114" t="s">
        <v>317</v>
      </c>
      <c r="C685" s="115" t="s">
        <v>318</v>
      </c>
      <c r="D685" s="115" t="s">
        <v>461</v>
      </c>
      <c r="E685" s="115" t="s">
        <v>111</v>
      </c>
      <c r="F685" s="116">
        <v>99.871099999999998</v>
      </c>
      <c r="G685" s="116">
        <v>99.871099999999998</v>
      </c>
      <c r="H685" s="116">
        <v>11.798</v>
      </c>
      <c r="I685" s="113">
        <v>815</v>
      </c>
      <c r="J685" s="115" t="s">
        <v>271</v>
      </c>
    </row>
    <row r="686" spans="1:10" x14ac:dyDescent="0.25">
      <c r="A686" s="113">
        <v>683</v>
      </c>
      <c r="B686" s="114" t="s">
        <v>319</v>
      </c>
      <c r="C686" s="115" t="s">
        <v>320</v>
      </c>
      <c r="D686" s="115" t="s">
        <v>461</v>
      </c>
      <c r="E686" s="115" t="s">
        <v>111</v>
      </c>
      <c r="F686" s="116">
        <v>99.835700000000003</v>
      </c>
      <c r="G686" s="116">
        <v>99.835700000000003</v>
      </c>
      <c r="H686" s="116">
        <v>11.798</v>
      </c>
      <c r="I686" s="113">
        <v>904</v>
      </c>
      <c r="J686" s="115" t="s">
        <v>271</v>
      </c>
    </row>
    <row r="687" spans="1:10" x14ac:dyDescent="0.25">
      <c r="A687" s="113">
        <v>684</v>
      </c>
      <c r="B687" s="114" t="s">
        <v>321</v>
      </c>
      <c r="C687" s="115" t="s">
        <v>322</v>
      </c>
      <c r="D687" s="115" t="s">
        <v>461</v>
      </c>
      <c r="E687" s="115" t="s">
        <v>111</v>
      </c>
      <c r="F687" s="116">
        <v>99.989000000000004</v>
      </c>
      <c r="G687" s="116">
        <v>99.989000000000004</v>
      </c>
      <c r="H687" s="116">
        <v>11.798</v>
      </c>
      <c r="I687" s="113">
        <v>1446</v>
      </c>
      <c r="J687" s="115" t="s">
        <v>271</v>
      </c>
    </row>
    <row r="688" spans="1:10" x14ac:dyDescent="0.25">
      <c r="A688" s="113">
        <v>685</v>
      </c>
      <c r="B688" s="114" t="s">
        <v>323</v>
      </c>
      <c r="C688" s="115" t="s">
        <v>324</v>
      </c>
      <c r="D688" s="115" t="s">
        <v>461</v>
      </c>
      <c r="E688" s="115" t="s">
        <v>111</v>
      </c>
      <c r="F688" s="116">
        <v>99.886499999999998</v>
      </c>
      <c r="G688" s="116">
        <v>99.886499999999998</v>
      </c>
      <c r="H688" s="116">
        <v>11.798</v>
      </c>
      <c r="I688" s="113">
        <v>1719</v>
      </c>
      <c r="J688" s="115" t="s">
        <v>271</v>
      </c>
    </row>
    <row r="689" spans="1:10" x14ac:dyDescent="0.25">
      <c r="A689" s="113">
        <v>686</v>
      </c>
      <c r="B689" s="114" t="s">
        <v>325</v>
      </c>
      <c r="C689" s="115" t="s">
        <v>326</v>
      </c>
      <c r="D689" s="115" t="s">
        <v>461</v>
      </c>
      <c r="E689" s="115" t="s">
        <v>111</v>
      </c>
      <c r="F689" s="116">
        <v>99.989000000000004</v>
      </c>
      <c r="G689" s="116">
        <v>99.989000000000004</v>
      </c>
      <c r="H689" s="116">
        <v>11.798</v>
      </c>
      <c r="I689" s="113">
        <v>1086</v>
      </c>
      <c r="J689" s="115" t="s">
        <v>271</v>
      </c>
    </row>
    <row r="690" spans="1:10" x14ac:dyDescent="0.25">
      <c r="A690" s="113">
        <v>687</v>
      </c>
      <c r="B690" s="114" t="s">
        <v>327</v>
      </c>
      <c r="C690" s="115" t="s">
        <v>328</v>
      </c>
      <c r="D690" s="115" t="s">
        <v>461</v>
      </c>
      <c r="E690" s="115" t="s">
        <v>111</v>
      </c>
      <c r="F690" s="116">
        <v>99.847999999999999</v>
      </c>
      <c r="G690" s="116">
        <v>99.847999999999999</v>
      </c>
      <c r="H690" s="116">
        <v>11.798</v>
      </c>
      <c r="I690" s="113">
        <v>1209</v>
      </c>
      <c r="J690" s="115" t="s">
        <v>271</v>
      </c>
    </row>
    <row r="691" spans="1:10" x14ac:dyDescent="0.25">
      <c r="A691" s="113">
        <v>688</v>
      </c>
      <c r="B691" s="114" t="s">
        <v>329</v>
      </c>
      <c r="C691" s="115" t="s">
        <v>330</v>
      </c>
      <c r="D691" s="115" t="s">
        <v>461</v>
      </c>
      <c r="E691" s="115" t="s">
        <v>111</v>
      </c>
      <c r="F691" s="116">
        <v>99.919799999999995</v>
      </c>
      <c r="G691" s="116">
        <v>99.919799999999995</v>
      </c>
      <c r="H691" s="116">
        <v>11.798</v>
      </c>
      <c r="I691" s="113">
        <v>1388</v>
      </c>
      <c r="J691" s="115" t="s">
        <v>271</v>
      </c>
    </row>
    <row r="692" spans="1:10" x14ac:dyDescent="0.25">
      <c r="A692" s="113">
        <v>689</v>
      </c>
      <c r="B692" s="114" t="s">
        <v>331</v>
      </c>
      <c r="C692" s="115" t="s">
        <v>332</v>
      </c>
      <c r="D692" s="115" t="s">
        <v>461</v>
      </c>
      <c r="E692" s="115" t="s">
        <v>111</v>
      </c>
      <c r="F692" s="116">
        <v>99.837900000000005</v>
      </c>
      <c r="G692" s="116">
        <v>99.837900000000005</v>
      </c>
      <c r="H692" s="116">
        <v>11.798</v>
      </c>
      <c r="I692" s="113">
        <v>1597</v>
      </c>
      <c r="J692" s="115" t="s">
        <v>271</v>
      </c>
    </row>
    <row r="693" spans="1:10" x14ac:dyDescent="0.25">
      <c r="A693" s="113">
        <v>690</v>
      </c>
      <c r="B693" s="114" t="s">
        <v>333</v>
      </c>
      <c r="C693" s="115" t="s">
        <v>334</v>
      </c>
      <c r="D693" s="115" t="s">
        <v>461</v>
      </c>
      <c r="E693" s="115" t="s">
        <v>111</v>
      </c>
      <c r="F693" s="116">
        <v>99.936999999999998</v>
      </c>
      <c r="G693" s="116">
        <v>99.936999999999998</v>
      </c>
      <c r="H693" s="116">
        <v>11.798</v>
      </c>
      <c r="I693" s="113">
        <v>1838</v>
      </c>
      <c r="J693" s="115" t="s">
        <v>271</v>
      </c>
    </row>
    <row r="694" spans="1:10" x14ac:dyDescent="0.25">
      <c r="A694" s="113">
        <v>691</v>
      </c>
      <c r="B694" s="114" t="s">
        <v>335</v>
      </c>
      <c r="C694" s="115" t="s">
        <v>336</v>
      </c>
      <c r="D694" s="115" t="s">
        <v>461</v>
      </c>
      <c r="E694" s="115" t="s">
        <v>111</v>
      </c>
      <c r="F694" s="116">
        <v>99.939899999999994</v>
      </c>
      <c r="G694" s="116">
        <v>99.939899999999994</v>
      </c>
      <c r="H694" s="116">
        <v>11.798</v>
      </c>
      <c r="I694" s="113">
        <v>2196</v>
      </c>
      <c r="J694" s="115" t="s">
        <v>271</v>
      </c>
    </row>
    <row r="695" spans="1:10" x14ac:dyDescent="0.25">
      <c r="A695" s="113">
        <v>692</v>
      </c>
      <c r="B695" s="114" t="s">
        <v>337</v>
      </c>
      <c r="C695" s="115" t="s">
        <v>338</v>
      </c>
      <c r="D695" s="115" t="s">
        <v>461</v>
      </c>
      <c r="E695" s="115" t="s">
        <v>111</v>
      </c>
      <c r="F695" s="116">
        <v>99.848500000000001</v>
      </c>
      <c r="G695" s="116">
        <v>99.848500000000001</v>
      </c>
      <c r="H695" s="116">
        <v>11.798</v>
      </c>
      <c r="I695" s="113">
        <v>2288</v>
      </c>
      <c r="J695" s="115" t="s">
        <v>271</v>
      </c>
    </row>
    <row r="696" spans="1:10" x14ac:dyDescent="0.25">
      <c r="A696" s="113">
        <v>693</v>
      </c>
      <c r="B696" s="114" t="s">
        <v>136</v>
      </c>
      <c r="C696" s="115" t="s">
        <v>137</v>
      </c>
      <c r="D696" s="115" t="s">
        <v>461</v>
      </c>
      <c r="E696" s="115" t="s">
        <v>111</v>
      </c>
      <c r="F696" s="116">
        <v>90.448400000000007</v>
      </c>
      <c r="G696" s="116">
        <v>93.106200000000001</v>
      </c>
      <c r="H696" s="116">
        <v>17.07</v>
      </c>
      <c r="I696" s="113">
        <v>628</v>
      </c>
      <c r="J696" s="115" t="s">
        <v>271</v>
      </c>
    </row>
    <row r="697" spans="1:10" x14ac:dyDescent="0.25">
      <c r="A697" s="113">
        <v>694</v>
      </c>
      <c r="B697" s="114" t="s">
        <v>138</v>
      </c>
      <c r="C697" s="115" t="s">
        <v>139</v>
      </c>
      <c r="D697" s="115" t="s">
        <v>461</v>
      </c>
      <c r="E697" s="115" t="s">
        <v>111</v>
      </c>
      <c r="F697" s="116">
        <v>95.468400000000003</v>
      </c>
      <c r="G697" s="116">
        <v>102.6084</v>
      </c>
      <c r="H697" s="116">
        <v>16.989999999999998</v>
      </c>
      <c r="I697" s="113">
        <v>1272</v>
      </c>
      <c r="J697" s="115" t="s">
        <v>271</v>
      </c>
    </row>
    <row r="698" spans="1:10" x14ac:dyDescent="0.25">
      <c r="A698" s="113">
        <v>695</v>
      </c>
      <c r="B698" s="114" t="s">
        <v>140</v>
      </c>
      <c r="C698" s="115" t="s">
        <v>141</v>
      </c>
      <c r="D698" s="115" t="s">
        <v>461</v>
      </c>
      <c r="E698" s="115" t="s">
        <v>111</v>
      </c>
      <c r="F698" s="116">
        <v>84.991</v>
      </c>
      <c r="G698" s="116">
        <v>90.457700000000003</v>
      </c>
      <c r="H698" s="116">
        <v>16.920000000000002</v>
      </c>
      <c r="I698" s="113">
        <v>1636</v>
      </c>
      <c r="J698" s="115" t="s">
        <v>271</v>
      </c>
    </row>
    <row r="699" spans="1:10" x14ac:dyDescent="0.25">
      <c r="A699" s="113">
        <v>696</v>
      </c>
      <c r="B699" s="114" t="s">
        <v>142</v>
      </c>
      <c r="C699" s="115" t="s">
        <v>6</v>
      </c>
      <c r="D699" s="115" t="s">
        <v>461</v>
      </c>
      <c r="E699" s="115" t="s">
        <v>111</v>
      </c>
      <c r="F699" s="116">
        <v>86.494399999999999</v>
      </c>
      <c r="G699" s="116">
        <v>90.221100000000007</v>
      </c>
      <c r="H699" s="116">
        <v>17.079999999999998</v>
      </c>
      <c r="I699" s="113">
        <v>951</v>
      </c>
      <c r="J699" s="115" t="s">
        <v>271</v>
      </c>
    </row>
    <row r="700" spans="1:10" x14ac:dyDescent="0.25">
      <c r="A700" s="113">
        <v>697</v>
      </c>
      <c r="B700" s="114" t="s">
        <v>143</v>
      </c>
      <c r="C700" s="115" t="s">
        <v>144</v>
      </c>
      <c r="D700" s="115" t="s">
        <v>461</v>
      </c>
      <c r="E700" s="115" t="s">
        <v>111</v>
      </c>
      <c r="F700" s="116">
        <v>83.076300000000003</v>
      </c>
      <c r="G700" s="116">
        <v>89.043000000000006</v>
      </c>
      <c r="H700" s="116">
        <v>16.89</v>
      </c>
      <c r="I700" s="113">
        <v>1981</v>
      </c>
      <c r="J700" s="115" t="s">
        <v>271</v>
      </c>
    </row>
    <row r="701" spans="1:10" x14ac:dyDescent="0.25">
      <c r="A701" s="113">
        <v>698</v>
      </c>
      <c r="B701" s="114" t="s">
        <v>2065</v>
      </c>
      <c r="C701" s="115" t="s">
        <v>2066</v>
      </c>
      <c r="D701" s="115" t="s">
        <v>461</v>
      </c>
      <c r="E701" s="115" t="s">
        <v>111</v>
      </c>
      <c r="F701" s="116">
        <v>91.2346</v>
      </c>
      <c r="G701" s="116">
        <v>97.926299999999998</v>
      </c>
      <c r="H701" s="116">
        <v>16.84</v>
      </c>
      <c r="I701" s="113">
        <v>2355</v>
      </c>
      <c r="J701" s="115" t="s">
        <v>271</v>
      </c>
    </row>
    <row r="702" spans="1:10" x14ac:dyDescent="0.25">
      <c r="A702" s="113">
        <v>699</v>
      </c>
      <c r="B702" s="114" t="s">
        <v>145</v>
      </c>
      <c r="C702" s="115" t="s">
        <v>146</v>
      </c>
      <c r="D702" s="115" t="s">
        <v>461</v>
      </c>
      <c r="E702" s="115" t="s">
        <v>111</v>
      </c>
      <c r="F702" s="116">
        <v>84.698800000000006</v>
      </c>
      <c r="G702" s="116">
        <v>93.249300000000005</v>
      </c>
      <c r="H702" s="116">
        <v>17.03</v>
      </c>
      <c r="I702" s="113">
        <v>1146</v>
      </c>
      <c r="J702" s="115" t="s">
        <v>271</v>
      </c>
    </row>
    <row r="703" spans="1:10" x14ac:dyDescent="0.25">
      <c r="A703" s="113">
        <v>700</v>
      </c>
      <c r="B703" s="114" t="s">
        <v>147</v>
      </c>
      <c r="C703" s="115" t="s">
        <v>8</v>
      </c>
      <c r="D703" s="115" t="s">
        <v>461</v>
      </c>
      <c r="E703" s="115" t="s">
        <v>111</v>
      </c>
      <c r="F703" s="116">
        <v>82.552599999999998</v>
      </c>
      <c r="G703" s="116">
        <v>83.226600000000005</v>
      </c>
      <c r="H703" s="116">
        <v>16.96</v>
      </c>
      <c r="I703" s="113">
        <v>1417</v>
      </c>
      <c r="J703" s="115" t="s">
        <v>271</v>
      </c>
    </row>
    <row r="704" spans="1:10" x14ac:dyDescent="0.25">
      <c r="A704" s="113">
        <v>701</v>
      </c>
      <c r="B704" s="114" t="s">
        <v>148</v>
      </c>
      <c r="C704" s="115" t="s">
        <v>149</v>
      </c>
      <c r="D704" s="115" t="s">
        <v>461</v>
      </c>
      <c r="E704" s="115" t="s">
        <v>111</v>
      </c>
      <c r="F704" s="116">
        <v>82.152900000000002</v>
      </c>
      <c r="G704" s="116">
        <v>88.172300000000007</v>
      </c>
      <c r="H704" s="116">
        <v>16.95</v>
      </c>
      <c r="I704" s="113">
        <v>1603</v>
      </c>
      <c r="J704" s="115" t="s">
        <v>271</v>
      </c>
    </row>
    <row r="705" spans="1:10" x14ac:dyDescent="0.25">
      <c r="A705" s="113">
        <v>702</v>
      </c>
      <c r="B705" s="114" t="s">
        <v>150</v>
      </c>
      <c r="C705" s="115" t="s">
        <v>151</v>
      </c>
      <c r="D705" s="115" t="s">
        <v>461</v>
      </c>
      <c r="E705" s="115" t="s">
        <v>111</v>
      </c>
      <c r="F705" s="116">
        <v>89.766000000000005</v>
      </c>
      <c r="G705" s="116">
        <v>93.616</v>
      </c>
      <c r="H705" s="116">
        <v>16.86</v>
      </c>
      <c r="I705" s="113">
        <v>2061</v>
      </c>
      <c r="J705" s="115" t="s">
        <v>271</v>
      </c>
    </row>
    <row r="706" spans="1:10" x14ac:dyDescent="0.25">
      <c r="A706" s="113">
        <v>703</v>
      </c>
      <c r="B706" s="114" t="s">
        <v>2242</v>
      </c>
      <c r="C706" s="115" t="s">
        <v>2243</v>
      </c>
      <c r="D706" s="115" t="s">
        <v>461</v>
      </c>
      <c r="E706" s="115" t="s">
        <v>111</v>
      </c>
      <c r="F706" s="116">
        <v>89.948499999999996</v>
      </c>
      <c r="G706" s="116">
        <v>92.999099999999999</v>
      </c>
      <c r="H706" s="116">
        <v>16.809999999999999</v>
      </c>
      <c r="I706" s="113">
        <v>2804</v>
      </c>
      <c r="J706" s="115" t="s">
        <v>271</v>
      </c>
    </row>
    <row r="707" spans="1:10" x14ac:dyDescent="0.25">
      <c r="A707" s="113">
        <v>704</v>
      </c>
      <c r="B707" s="114" t="s">
        <v>152</v>
      </c>
      <c r="C707" s="115" t="s">
        <v>153</v>
      </c>
      <c r="D707" s="115" t="s">
        <v>461</v>
      </c>
      <c r="E707" s="115" t="s">
        <v>111</v>
      </c>
      <c r="F707" s="116">
        <v>94.120999999999995</v>
      </c>
      <c r="G707" s="116">
        <v>95.334299999999999</v>
      </c>
      <c r="H707" s="116">
        <v>16.84</v>
      </c>
      <c r="I707" s="113">
        <v>312</v>
      </c>
      <c r="J707" s="115" t="s">
        <v>271</v>
      </c>
    </row>
    <row r="708" spans="1:10" x14ac:dyDescent="0.25">
      <c r="A708" s="113">
        <v>705</v>
      </c>
      <c r="B708" s="114" t="s">
        <v>154</v>
      </c>
      <c r="C708" s="115" t="s">
        <v>7</v>
      </c>
      <c r="D708" s="115" t="s">
        <v>461</v>
      </c>
      <c r="E708" s="115" t="s">
        <v>111</v>
      </c>
      <c r="F708" s="116">
        <v>84.542599999999993</v>
      </c>
      <c r="G708" s="116">
        <v>88.850899999999996</v>
      </c>
      <c r="H708" s="116">
        <v>16.989999999999998</v>
      </c>
      <c r="I708" s="113">
        <v>1299</v>
      </c>
      <c r="J708" s="115" t="s">
        <v>271</v>
      </c>
    </row>
    <row r="709" spans="1:10" x14ac:dyDescent="0.25">
      <c r="A709" s="113">
        <v>706</v>
      </c>
      <c r="B709" s="114" t="s">
        <v>155</v>
      </c>
      <c r="C709" s="115" t="s">
        <v>156</v>
      </c>
      <c r="D709" s="115" t="s">
        <v>461</v>
      </c>
      <c r="E709" s="115" t="s">
        <v>111</v>
      </c>
      <c r="F709" s="116">
        <v>88.867099999999994</v>
      </c>
      <c r="G709" s="116">
        <v>92.444900000000004</v>
      </c>
      <c r="H709" s="116">
        <v>16.829999999999998</v>
      </c>
      <c r="I709" s="113">
        <v>2428</v>
      </c>
      <c r="J709" s="115" t="s">
        <v>271</v>
      </c>
    </row>
    <row r="710" spans="1:10" x14ac:dyDescent="0.25">
      <c r="A710" s="113">
        <v>707</v>
      </c>
      <c r="B710" s="114" t="s">
        <v>2067</v>
      </c>
      <c r="C710" s="115" t="s">
        <v>2068</v>
      </c>
      <c r="D710" s="115" t="s">
        <v>461</v>
      </c>
      <c r="E710" s="115" t="s">
        <v>111</v>
      </c>
      <c r="F710" s="116">
        <v>89.707999999999998</v>
      </c>
      <c r="G710" s="116">
        <v>96.353800000000007</v>
      </c>
      <c r="H710" s="116">
        <v>16.79</v>
      </c>
      <c r="I710" s="113">
        <v>3075</v>
      </c>
      <c r="J710" s="115" t="s">
        <v>271</v>
      </c>
    </row>
    <row r="711" spans="1:10" x14ac:dyDescent="0.25">
      <c r="A711" s="113">
        <v>708</v>
      </c>
      <c r="B711" s="114" t="s">
        <v>157</v>
      </c>
      <c r="C711" s="115" t="s">
        <v>158</v>
      </c>
      <c r="D711" s="115" t="s">
        <v>461</v>
      </c>
      <c r="E711" s="115" t="s">
        <v>111</v>
      </c>
      <c r="F711" s="116">
        <v>89.647099999999995</v>
      </c>
      <c r="G711" s="116">
        <v>93.772099999999995</v>
      </c>
      <c r="H711" s="116">
        <v>17.05</v>
      </c>
      <c r="I711" s="113">
        <v>555</v>
      </c>
      <c r="J711" s="115" t="s">
        <v>271</v>
      </c>
    </row>
    <row r="712" spans="1:10" x14ac:dyDescent="0.25">
      <c r="A712" s="113">
        <v>709</v>
      </c>
      <c r="B712" s="114" t="s">
        <v>159</v>
      </c>
      <c r="C712" s="115" t="s">
        <v>160</v>
      </c>
      <c r="D712" s="115" t="s">
        <v>461</v>
      </c>
      <c r="E712" s="115" t="s">
        <v>111</v>
      </c>
      <c r="F712" s="116">
        <v>87.837100000000007</v>
      </c>
      <c r="G712" s="116">
        <v>89.037099999999995</v>
      </c>
      <c r="H712" s="116">
        <v>17.09</v>
      </c>
      <c r="I712" s="113">
        <v>672</v>
      </c>
      <c r="J712" s="115" t="s">
        <v>271</v>
      </c>
    </row>
    <row r="713" spans="1:10" x14ac:dyDescent="0.25">
      <c r="A713" s="113">
        <v>710</v>
      </c>
      <c r="B713" s="114" t="s">
        <v>161</v>
      </c>
      <c r="C713" s="115" t="s">
        <v>9</v>
      </c>
      <c r="D713" s="115" t="s">
        <v>461</v>
      </c>
      <c r="E713" s="115" t="s">
        <v>111</v>
      </c>
      <c r="F713" s="116">
        <v>77.234399999999994</v>
      </c>
      <c r="G713" s="116">
        <v>81.640500000000003</v>
      </c>
      <c r="H713" s="116">
        <v>16.86</v>
      </c>
      <c r="I713" s="113">
        <v>2006</v>
      </c>
      <c r="J713" s="115" t="s">
        <v>271</v>
      </c>
    </row>
    <row r="714" spans="1:10" x14ac:dyDescent="0.25">
      <c r="A714" s="113">
        <v>711</v>
      </c>
      <c r="B714" s="114" t="s">
        <v>2040</v>
      </c>
      <c r="C714" s="115" t="s">
        <v>2041</v>
      </c>
      <c r="D714" s="115" t="s">
        <v>461</v>
      </c>
      <c r="E714" s="115" t="s">
        <v>111</v>
      </c>
      <c r="F714" s="116">
        <v>86.912099999999995</v>
      </c>
      <c r="G714" s="116">
        <v>94.223200000000006</v>
      </c>
      <c r="H714" s="116">
        <v>16.79</v>
      </c>
      <c r="I714" s="113">
        <v>3412</v>
      </c>
      <c r="J714" s="115" t="s">
        <v>271</v>
      </c>
    </row>
    <row r="715" spans="1:10" x14ac:dyDescent="0.25">
      <c r="A715" s="113">
        <v>712</v>
      </c>
      <c r="B715" s="114" t="s">
        <v>162</v>
      </c>
      <c r="C715" s="115" t="s">
        <v>11</v>
      </c>
      <c r="D715" s="115" t="s">
        <v>461</v>
      </c>
      <c r="E715" s="115" t="s">
        <v>111</v>
      </c>
      <c r="F715" s="116">
        <v>75.758099999999999</v>
      </c>
      <c r="G715" s="116">
        <v>76.497699999999995</v>
      </c>
      <c r="H715" s="116">
        <v>16.82</v>
      </c>
      <c r="I715" s="113">
        <v>2495</v>
      </c>
      <c r="J715" s="115" t="s">
        <v>271</v>
      </c>
    </row>
    <row r="716" spans="1:10" x14ac:dyDescent="0.25">
      <c r="A716" s="113">
        <v>713</v>
      </c>
      <c r="B716" s="114" t="s">
        <v>163</v>
      </c>
      <c r="C716" s="115" t="s">
        <v>164</v>
      </c>
      <c r="D716" s="115" t="s">
        <v>461</v>
      </c>
      <c r="E716" s="115" t="s">
        <v>111</v>
      </c>
      <c r="F716" s="116">
        <v>74.124899999999997</v>
      </c>
      <c r="G716" s="116">
        <v>84.755499999999998</v>
      </c>
      <c r="H716" s="116">
        <v>16.8</v>
      </c>
      <c r="I716" s="113">
        <v>2882</v>
      </c>
      <c r="J716" s="115" t="s">
        <v>271</v>
      </c>
    </row>
    <row r="717" spans="1:10" x14ac:dyDescent="0.25">
      <c r="A717" s="113">
        <v>714</v>
      </c>
      <c r="B717" s="114" t="s">
        <v>165</v>
      </c>
      <c r="C717" s="115" t="s">
        <v>166</v>
      </c>
      <c r="D717" s="115" t="s">
        <v>461</v>
      </c>
      <c r="E717" s="115" t="s">
        <v>111</v>
      </c>
      <c r="F717" s="116">
        <v>85.784700000000001</v>
      </c>
      <c r="G717" s="116">
        <v>87.0505</v>
      </c>
      <c r="H717" s="116">
        <v>17.100000000000001</v>
      </c>
      <c r="I717" s="113">
        <v>659</v>
      </c>
      <c r="J717" s="115" t="s">
        <v>271</v>
      </c>
    </row>
    <row r="718" spans="1:10" x14ac:dyDescent="0.25">
      <c r="A718" s="113">
        <v>715</v>
      </c>
      <c r="B718" s="114" t="s">
        <v>167</v>
      </c>
      <c r="C718" s="115" t="s">
        <v>168</v>
      </c>
      <c r="D718" s="115" t="s">
        <v>461</v>
      </c>
      <c r="E718" s="115" t="s">
        <v>111</v>
      </c>
      <c r="F718" s="116">
        <v>70.440399999999997</v>
      </c>
      <c r="G718" s="116">
        <v>72.808300000000003</v>
      </c>
      <c r="H718" s="116">
        <v>16.850000000000001</v>
      </c>
      <c r="I718" s="113">
        <v>2059</v>
      </c>
      <c r="J718" s="115" t="s">
        <v>271</v>
      </c>
    </row>
    <row r="719" spans="1:10" x14ac:dyDescent="0.25">
      <c r="A719" s="113">
        <v>716</v>
      </c>
      <c r="B719" s="114" t="s">
        <v>169</v>
      </c>
      <c r="C719" s="115" t="s">
        <v>170</v>
      </c>
      <c r="D719" s="115" t="s">
        <v>461</v>
      </c>
      <c r="E719" s="115" t="s">
        <v>111</v>
      </c>
      <c r="F719" s="116">
        <v>70.691500000000005</v>
      </c>
      <c r="G719" s="116">
        <v>75.863900000000001</v>
      </c>
      <c r="H719" s="116">
        <v>16.8</v>
      </c>
      <c r="I719" s="113">
        <v>3056</v>
      </c>
      <c r="J719" s="115" t="s">
        <v>271</v>
      </c>
    </row>
    <row r="720" spans="1:10" x14ac:dyDescent="0.25">
      <c r="A720" s="113">
        <v>717</v>
      </c>
      <c r="B720" s="114" t="s">
        <v>2214</v>
      </c>
      <c r="C720" s="115" t="s">
        <v>2215</v>
      </c>
      <c r="D720" s="115" t="s">
        <v>461</v>
      </c>
      <c r="E720" s="115" t="s">
        <v>111</v>
      </c>
      <c r="F720" s="116">
        <v>86.1922</v>
      </c>
      <c r="G720" s="116">
        <v>89.677999999999997</v>
      </c>
      <c r="H720" s="116">
        <v>16.75</v>
      </c>
      <c r="I720" s="113">
        <v>4591</v>
      </c>
      <c r="J720" s="115" t="s">
        <v>271</v>
      </c>
    </row>
    <row r="721" spans="1:10" x14ac:dyDescent="0.25">
      <c r="A721" s="113">
        <v>718</v>
      </c>
      <c r="B721" s="114" t="s">
        <v>171</v>
      </c>
      <c r="C721" s="115" t="s">
        <v>172</v>
      </c>
      <c r="D721" s="115" t="s">
        <v>461</v>
      </c>
      <c r="E721" s="115" t="s">
        <v>111</v>
      </c>
      <c r="F721" s="116">
        <v>98.797799999999995</v>
      </c>
      <c r="G721" s="116">
        <v>103.34699999999999</v>
      </c>
      <c r="H721" s="116">
        <v>15.98</v>
      </c>
      <c r="I721" s="113">
        <v>42</v>
      </c>
      <c r="J721" s="115" t="s">
        <v>271</v>
      </c>
    </row>
    <row r="722" spans="1:10" x14ac:dyDescent="0.25">
      <c r="A722" s="113">
        <v>719</v>
      </c>
      <c r="B722" s="114" t="s">
        <v>173</v>
      </c>
      <c r="C722" s="115" t="s">
        <v>174</v>
      </c>
      <c r="D722" s="115" t="s">
        <v>461</v>
      </c>
      <c r="E722" s="115" t="s">
        <v>111</v>
      </c>
      <c r="F722" s="116">
        <v>97.514200000000002</v>
      </c>
      <c r="G722" s="116">
        <v>101.3336</v>
      </c>
      <c r="H722" s="116">
        <v>16.25</v>
      </c>
      <c r="I722" s="113">
        <v>85</v>
      </c>
      <c r="J722" s="115" t="s">
        <v>271</v>
      </c>
    </row>
    <row r="723" spans="1:10" x14ac:dyDescent="0.25">
      <c r="A723" s="113">
        <v>720</v>
      </c>
      <c r="B723" s="114" t="s">
        <v>175</v>
      </c>
      <c r="C723" s="115" t="s">
        <v>10</v>
      </c>
      <c r="D723" s="115" t="s">
        <v>461</v>
      </c>
      <c r="E723" s="115" t="s">
        <v>111</v>
      </c>
      <c r="F723" s="116">
        <v>67.771299999999997</v>
      </c>
      <c r="G723" s="116">
        <v>70.705299999999994</v>
      </c>
      <c r="H723" s="116">
        <v>16.82</v>
      </c>
      <c r="I723" s="113">
        <v>2395</v>
      </c>
      <c r="J723" s="115" t="s">
        <v>271</v>
      </c>
    </row>
    <row r="724" spans="1:10" x14ac:dyDescent="0.25">
      <c r="A724" s="113">
        <v>721</v>
      </c>
      <c r="B724" s="114" t="s">
        <v>176</v>
      </c>
      <c r="C724" s="115" t="s">
        <v>177</v>
      </c>
      <c r="D724" s="115" t="s">
        <v>461</v>
      </c>
      <c r="E724" s="115" t="s">
        <v>111</v>
      </c>
      <c r="F724" s="116">
        <v>69.799800000000005</v>
      </c>
      <c r="G724" s="116">
        <v>74.383799999999994</v>
      </c>
      <c r="H724" s="116">
        <v>16.760000000000002</v>
      </c>
      <c r="I724" s="113">
        <v>3439</v>
      </c>
      <c r="J724" s="115" t="s">
        <v>271</v>
      </c>
    </row>
    <row r="725" spans="1:10" x14ac:dyDescent="0.25">
      <c r="A725" s="113">
        <v>722</v>
      </c>
      <c r="B725" s="114" t="s">
        <v>178</v>
      </c>
      <c r="C725" s="115" t="s">
        <v>179</v>
      </c>
      <c r="D725" s="115" t="s">
        <v>461</v>
      </c>
      <c r="E725" s="115" t="s">
        <v>111</v>
      </c>
      <c r="F725" s="116">
        <v>97.417000000000002</v>
      </c>
      <c r="G725" s="116">
        <v>101.5703</v>
      </c>
      <c r="H725" s="116">
        <v>16.25</v>
      </c>
      <c r="I725" s="113">
        <v>93</v>
      </c>
      <c r="J725" s="115" t="s">
        <v>271</v>
      </c>
    </row>
    <row r="726" spans="1:10" x14ac:dyDescent="0.25">
      <c r="A726" s="113">
        <v>723</v>
      </c>
      <c r="B726" s="114" t="s">
        <v>180</v>
      </c>
      <c r="C726" s="115" t="s">
        <v>181</v>
      </c>
      <c r="D726" s="115" t="s">
        <v>461</v>
      </c>
      <c r="E726" s="115" t="s">
        <v>111</v>
      </c>
      <c r="F726" s="116">
        <v>90.292900000000003</v>
      </c>
      <c r="G726" s="116">
        <v>90.338700000000003</v>
      </c>
      <c r="H726" s="116">
        <v>16.940000000000001</v>
      </c>
      <c r="I726" s="113">
        <v>357</v>
      </c>
      <c r="J726" s="115" t="s">
        <v>271</v>
      </c>
    </row>
    <row r="727" spans="1:10" x14ac:dyDescent="0.25">
      <c r="A727" s="113">
        <v>724</v>
      </c>
      <c r="B727" s="114" t="s">
        <v>182</v>
      </c>
      <c r="C727" s="115" t="s">
        <v>183</v>
      </c>
      <c r="D727" s="115" t="s">
        <v>461</v>
      </c>
      <c r="E727" s="115" t="s">
        <v>111</v>
      </c>
      <c r="F727" s="116">
        <v>87.240700000000004</v>
      </c>
      <c r="G727" s="116">
        <v>90.962900000000005</v>
      </c>
      <c r="H727" s="116">
        <v>17.059999999999999</v>
      </c>
      <c r="I727" s="113">
        <v>452</v>
      </c>
      <c r="J727" s="115" t="s">
        <v>271</v>
      </c>
    </row>
    <row r="728" spans="1:10" x14ac:dyDescent="0.25">
      <c r="A728" s="113">
        <v>725</v>
      </c>
      <c r="B728" s="114" t="s">
        <v>184</v>
      </c>
      <c r="C728" s="115" t="s">
        <v>5</v>
      </c>
      <c r="D728" s="115" t="s">
        <v>461</v>
      </c>
      <c r="E728" s="115" t="s">
        <v>111</v>
      </c>
      <c r="F728" s="116">
        <v>84.790700000000001</v>
      </c>
      <c r="G728" s="116">
        <v>86.986699999999999</v>
      </c>
      <c r="H728" s="116">
        <v>17.059999999999999</v>
      </c>
      <c r="I728" s="113">
        <v>576</v>
      </c>
      <c r="J728" s="115" t="s">
        <v>271</v>
      </c>
    </row>
    <row r="729" spans="1:10" x14ac:dyDescent="0.25">
      <c r="A729" s="113">
        <v>726</v>
      </c>
      <c r="B729" s="114" t="s">
        <v>185</v>
      </c>
      <c r="C729" s="115" t="s">
        <v>186</v>
      </c>
      <c r="D729" s="115" t="s">
        <v>461</v>
      </c>
      <c r="E729" s="115" t="s">
        <v>111</v>
      </c>
      <c r="F729" s="116">
        <v>80.975099999999998</v>
      </c>
      <c r="G729" s="116">
        <v>86.053399999999996</v>
      </c>
      <c r="H729" s="116">
        <v>17.12</v>
      </c>
      <c r="I729" s="113">
        <v>747</v>
      </c>
      <c r="J729" s="115" t="s">
        <v>271</v>
      </c>
    </row>
    <row r="730" spans="1:10" x14ac:dyDescent="0.25">
      <c r="A730" s="113">
        <v>727</v>
      </c>
      <c r="B730" s="114" t="s">
        <v>187</v>
      </c>
      <c r="C730" s="115" t="s">
        <v>188</v>
      </c>
      <c r="D730" s="115" t="s">
        <v>461</v>
      </c>
      <c r="E730" s="115" t="s">
        <v>111</v>
      </c>
      <c r="F730" s="116">
        <v>81.909800000000004</v>
      </c>
      <c r="G730" s="116">
        <v>87.272300000000001</v>
      </c>
      <c r="H730" s="116">
        <v>17.100000000000001</v>
      </c>
      <c r="I730" s="113">
        <v>783</v>
      </c>
      <c r="J730" s="115" t="s">
        <v>271</v>
      </c>
    </row>
    <row r="731" spans="1:10" x14ac:dyDescent="0.25">
      <c r="A731" s="113">
        <v>728</v>
      </c>
      <c r="B731" s="114" t="s">
        <v>189</v>
      </c>
      <c r="C731" s="115" t="s">
        <v>190</v>
      </c>
      <c r="D731" s="115" t="s">
        <v>461</v>
      </c>
      <c r="E731" s="115" t="s">
        <v>111</v>
      </c>
      <c r="F731" s="116">
        <v>76.5458</v>
      </c>
      <c r="G731" s="116">
        <v>81.579700000000003</v>
      </c>
      <c r="H731" s="116">
        <v>17.03</v>
      </c>
      <c r="I731" s="113">
        <v>1189</v>
      </c>
      <c r="J731" s="115" t="s">
        <v>271</v>
      </c>
    </row>
    <row r="732" spans="1:10" x14ac:dyDescent="0.25">
      <c r="A732" s="113">
        <v>729</v>
      </c>
      <c r="B732" s="114" t="s">
        <v>191</v>
      </c>
      <c r="C732" s="115" t="s">
        <v>192</v>
      </c>
      <c r="D732" s="115" t="s">
        <v>461</v>
      </c>
      <c r="E732" s="115" t="s">
        <v>111</v>
      </c>
      <c r="F732" s="116">
        <v>74.595799999999997</v>
      </c>
      <c r="G732" s="116">
        <v>74.766499999999994</v>
      </c>
      <c r="H732" s="116">
        <v>16.97</v>
      </c>
      <c r="I732" s="113">
        <v>1432</v>
      </c>
      <c r="J732" s="115" t="s">
        <v>271</v>
      </c>
    </row>
    <row r="733" spans="1:10" x14ac:dyDescent="0.25">
      <c r="A733" s="113">
        <v>730</v>
      </c>
      <c r="B733" s="114" t="s">
        <v>193</v>
      </c>
      <c r="C733" s="115" t="s">
        <v>194</v>
      </c>
      <c r="D733" s="115" t="s">
        <v>461</v>
      </c>
      <c r="E733" s="115" t="s">
        <v>111</v>
      </c>
      <c r="F733" s="116">
        <v>72.398499999999999</v>
      </c>
      <c r="G733" s="116">
        <v>76.601200000000006</v>
      </c>
      <c r="H733" s="116">
        <v>16.95</v>
      </c>
      <c r="I733" s="113">
        <v>1603</v>
      </c>
      <c r="J733" s="115" t="s">
        <v>271</v>
      </c>
    </row>
    <row r="734" spans="1:10" x14ac:dyDescent="0.25">
      <c r="A734" s="113">
        <v>731</v>
      </c>
      <c r="B734" s="114" t="s">
        <v>195</v>
      </c>
      <c r="C734" s="115" t="s">
        <v>196</v>
      </c>
      <c r="D734" s="115" t="s">
        <v>461</v>
      </c>
      <c r="E734" s="115" t="s">
        <v>111</v>
      </c>
      <c r="F734" s="116">
        <v>66.2393</v>
      </c>
      <c r="G734" s="116">
        <v>69.534899999999993</v>
      </c>
      <c r="H734" s="116">
        <v>16.8</v>
      </c>
      <c r="I734" s="113">
        <v>2743</v>
      </c>
      <c r="J734" s="115" t="s">
        <v>271</v>
      </c>
    </row>
    <row r="735" spans="1:10" x14ac:dyDescent="0.25">
      <c r="A735" s="113">
        <v>732</v>
      </c>
      <c r="B735" s="114" t="s">
        <v>197</v>
      </c>
      <c r="C735" s="115" t="s">
        <v>198</v>
      </c>
      <c r="D735" s="115" t="s">
        <v>461</v>
      </c>
      <c r="E735" s="115" t="s">
        <v>111</v>
      </c>
      <c r="F735" s="116">
        <v>65.316500000000005</v>
      </c>
      <c r="G735" s="116">
        <v>68.089500000000001</v>
      </c>
      <c r="H735" s="116">
        <v>16.79</v>
      </c>
      <c r="I735" s="113">
        <v>2762</v>
      </c>
      <c r="J735" s="115" t="s">
        <v>271</v>
      </c>
    </row>
    <row r="736" spans="1:10" x14ac:dyDescent="0.25">
      <c r="A736" s="113">
        <v>733</v>
      </c>
      <c r="B736" s="114" t="s">
        <v>199</v>
      </c>
      <c r="C736" s="115" t="s">
        <v>200</v>
      </c>
      <c r="D736" s="115" t="s">
        <v>461</v>
      </c>
      <c r="E736" s="115" t="s">
        <v>111</v>
      </c>
      <c r="F736" s="116">
        <v>70.803600000000003</v>
      </c>
      <c r="G736" s="116">
        <v>81.463800000000006</v>
      </c>
      <c r="H736" s="116">
        <v>16.760000000000002</v>
      </c>
      <c r="I736" s="113">
        <v>3964</v>
      </c>
      <c r="J736" s="115" t="s">
        <v>271</v>
      </c>
    </row>
    <row r="737" spans="1:10" x14ac:dyDescent="0.25">
      <c r="A737" s="113">
        <v>734</v>
      </c>
      <c r="B737" s="114" t="s">
        <v>201</v>
      </c>
      <c r="C737" s="115" t="s">
        <v>202</v>
      </c>
      <c r="D737" s="115" t="s">
        <v>461</v>
      </c>
      <c r="E737" s="115" t="s">
        <v>111</v>
      </c>
      <c r="F737" s="116">
        <v>71.522599999999997</v>
      </c>
      <c r="G737" s="116">
        <v>77.753600000000006</v>
      </c>
      <c r="H737" s="116">
        <v>16.760000000000002</v>
      </c>
      <c r="I737" s="113">
        <v>4117</v>
      </c>
      <c r="J737" s="115" t="s">
        <v>271</v>
      </c>
    </row>
    <row r="738" spans="1:10" x14ac:dyDescent="0.25">
      <c r="A738" s="113">
        <v>735</v>
      </c>
      <c r="B738" s="114" t="s">
        <v>203</v>
      </c>
      <c r="C738" s="115" t="s">
        <v>204</v>
      </c>
      <c r="D738" s="115" t="s">
        <v>461</v>
      </c>
      <c r="E738" s="115" t="s">
        <v>111</v>
      </c>
      <c r="F738" s="116">
        <v>79.989400000000003</v>
      </c>
      <c r="G738" s="116">
        <v>84.435500000000005</v>
      </c>
      <c r="H738" s="116">
        <v>17.100000000000001</v>
      </c>
      <c r="I738" s="113">
        <v>778</v>
      </c>
      <c r="J738" s="115" t="s">
        <v>271</v>
      </c>
    </row>
    <row r="739" spans="1:10" x14ac:dyDescent="0.25">
      <c r="A739" s="113">
        <v>736</v>
      </c>
      <c r="B739" s="114" t="s">
        <v>205</v>
      </c>
      <c r="C739" s="115" t="s">
        <v>206</v>
      </c>
      <c r="D739" s="115" t="s">
        <v>461</v>
      </c>
      <c r="E739" s="115" t="s">
        <v>111</v>
      </c>
      <c r="F739" s="116">
        <v>75.695499999999996</v>
      </c>
      <c r="G739" s="116">
        <v>77.403800000000004</v>
      </c>
      <c r="H739" s="116">
        <v>17.079999999999998</v>
      </c>
      <c r="I739" s="113">
        <v>957</v>
      </c>
      <c r="J739" s="115" t="s">
        <v>271</v>
      </c>
    </row>
    <row r="740" spans="1:10" x14ac:dyDescent="0.25">
      <c r="A740" s="113">
        <v>737</v>
      </c>
      <c r="B740" s="114" t="s">
        <v>207</v>
      </c>
      <c r="C740" s="115" t="s">
        <v>208</v>
      </c>
      <c r="D740" s="115" t="s">
        <v>461</v>
      </c>
      <c r="E740" s="115" t="s">
        <v>111</v>
      </c>
      <c r="F740" s="116">
        <v>73.9251</v>
      </c>
      <c r="G740" s="116">
        <v>78.981999999999999</v>
      </c>
      <c r="H740" s="116">
        <v>17.059999999999999</v>
      </c>
      <c r="I740" s="113">
        <v>1109</v>
      </c>
      <c r="J740" s="115" t="s">
        <v>271</v>
      </c>
    </row>
    <row r="741" spans="1:10" x14ac:dyDescent="0.25">
      <c r="A741" s="113">
        <v>738</v>
      </c>
      <c r="B741" s="114" t="s">
        <v>209</v>
      </c>
      <c r="C741" s="115" t="s">
        <v>210</v>
      </c>
      <c r="D741" s="115" t="s">
        <v>461</v>
      </c>
      <c r="E741" s="115" t="s">
        <v>111</v>
      </c>
      <c r="F741" s="116">
        <v>59.686100000000003</v>
      </c>
      <c r="G741" s="116">
        <v>60.180799999999998</v>
      </c>
      <c r="H741" s="116">
        <v>16.739999999999998</v>
      </c>
      <c r="I741" s="113">
        <v>3939</v>
      </c>
      <c r="J741" s="115" t="s">
        <v>271</v>
      </c>
    </row>
    <row r="742" spans="1:10" x14ac:dyDescent="0.25">
      <c r="A742" s="113">
        <v>739</v>
      </c>
      <c r="B742" s="114" t="s">
        <v>211</v>
      </c>
      <c r="C742" s="115" t="s">
        <v>212</v>
      </c>
      <c r="D742" s="115" t="s">
        <v>461</v>
      </c>
      <c r="E742" s="115" t="s">
        <v>111</v>
      </c>
      <c r="F742" s="116">
        <v>59.890500000000003</v>
      </c>
      <c r="G742" s="116">
        <v>64.482200000000006</v>
      </c>
      <c r="H742" s="116">
        <v>16.75</v>
      </c>
      <c r="I742" s="113">
        <v>4130</v>
      </c>
      <c r="J742" s="115" t="s">
        <v>271</v>
      </c>
    </row>
    <row r="743" spans="1:10" x14ac:dyDescent="0.25">
      <c r="A743" s="113">
        <v>740</v>
      </c>
      <c r="B743" s="114" t="s">
        <v>213</v>
      </c>
      <c r="C743" s="115" t="s">
        <v>214</v>
      </c>
      <c r="D743" s="115" t="s">
        <v>461</v>
      </c>
      <c r="E743" s="115" t="s">
        <v>111</v>
      </c>
      <c r="F743" s="116">
        <v>56.473300000000002</v>
      </c>
      <c r="G743" s="116">
        <v>58.260800000000003</v>
      </c>
      <c r="H743" s="116">
        <v>16.809999999999999</v>
      </c>
      <c r="I743" s="113">
        <v>2403</v>
      </c>
      <c r="J743" s="115" t="s">
        <v>271</v>
      </c>
    </row>
    <row r="744" spans="1:10" x14ac:dyDescent="0.25">
      <c r="A744" s="113">
        <v>741</v>
      </c>
      <c r="B744" s="114" t="s">
        <v>215</v>
      </c>
      <c r="C744" s="115" t="s">
        <v>12</v>
      </c>
      <c r="D744" s="115" t="s">
        <v>461</v>
      </c>
      <c r="E744" s="115" t="s">
        <v>111</v>
      </c>
      <c r="F744" s="116">
        <v>61.42</v>
      </c>
      <c r="G744" s="116">
        <v>63.639299999999999</v>
      </c>
      <c r="H744" s="116">
        <v>16.77</v>
      </c>
      <c r="I744" s="113">
        <v>3141</v>
      </c>
      <c r="J744" s="115" t="s">
        <v>271</v>
      </c>
    </row>
    <row r="745" spans="1:10" x14ac:dyDescent="0.25">
      <c r="A745" s="113">
        <v>742</v>
      </c>
      <c r="B745" s="114" t="s">
        <v>216</v>
      </c>
      <c r="C745" s="115" t="s">
        <v>13</v>
      </c>
      <c r="D745" s="115" t="s">
        <v>461</v>
      </c>
      <c r="E745" s="115" t="s">
        <v>111</v>
      </c>
      <c r="F745" s="116">
        <v>59.9893</v>
      </c>
      <c r="G745" s="116">
        <v>64.517499999999998</v>
      </c>
      <c r="H745" s="116">
        <v>16.77</v>
      </c>
      <c r="I745" s="113">
        <v>3398</v>
      </c>
      <c r="J745" s="115" t="s">
        <v>271</v>
      </c>
    </row>
    <row r="746" spans="1:10" x14ac:dyDescent="0.25">
      <c r="A746" s="113">
        <v>743</v>
      </c>
      <c r="B746" s="114" t="s">
        <v>217</v>
      </c>
      <c r="C746" s="115" t="s">
        <v>218</v>
      </c>
      <c r="D746" s="115" t="s">
        <v>461</v>
      </c>
      <c r="E746" s="115" t="s">
        <v>111</v>
      </c>
      <c r="F746" s="116">
        <v>53.806699999999999</v>
      </c>
      <c r="G746" s="116">
        <v>59.095300000000002</v>
      </c>
      <c r="H746" s="116">
        <v>16.73</v>
      </c>
      <c r="I746" s="113">
        <v>4799</v>
      </c>
      <c r="J746" s="115" t="s">
        <v>271</v>
      </c>
    </row>
    <row r="747" spans="1:10" x14ac:dyDescent="0.25">
      <c r="A747" s="113">
        <v>744</v>
      </c>
      <c r="B747" s="114" t="s">
        <v>219</v>
      </c>
      <c r="C747" s="115" t="s">
        <v>220</v>
      </c>
      <c r="D747" s="115" t="s">
        <v>461</v>
      </c>
      <c r="E747" s="115" t="s">
        <v>111</v>
      </c>
      <c r="F747" s="116">
        <v>55.702500000000001</v>
      </c>
      <c r="G747" s="116">
        <v>56.305599999999998</v>
      </c>
      <c r="H747" s="116">
        <v>16.72</v>
      </c>
      <c r="I747" s="113">
        <v>5014</v>
      </c>
      <c r="J747" s="115" t="s">
        <v>271</v>
      </c>
    </row>
    <row r="748" spans="1:10" x14ac:dyDescent="0.25">
      <c r="A748" s="113">
        <v>745</v>
      </c>
      <c r="B748" s="114" t="s">
        <v>221</v>
      </c>
      <c r="C748" s="115" t="s">
        <v>222</v>
      </c>
      <c r="D748" s="115" t="s">
        <v>461</v>
      </c>
      <c r="E748" s="115" t="s">
        <v>111</v>
      </c>
      <c r="F748" s="116">
        <v>55.152999999999999</v>
      </c>
      <c r="G748" s="116">
        <v>59.221800000000002</v>
      </c>
      <c r="H748" s="116">
        <v>16.73</v>
      </c>
      <c r="I748" s="113">
        <v>5225</v>
      </c>
      <c r="J748" s="115" t="s">
        <v>271</v>
      </c>
    </row>
    <row r="749" spans="1:10" x14ac:dyDescent="0.25">
      <c r="A749" s="113">
        <v>746</v>
      </c>
      <c r="B749" s="114" t="s">
        <v>223</v>
      </c>
      <c r="C749" s="115" t="s">
        <v>224</v>
      </c>
      <c r="D749" s="115" t="s">
        <v>461</v>
      </c>
      <c r="E749" s="115" t="s">
        <v>111</v>
      </c>
      <c r="F749" s="116">
        <v>54.194499999999998</v>
      </c>
      <c r="G749" s="116">
        <v>62.003500000000003</v>
      </c>
      <c r="H749" s="116">
        <v>16.72</v>
      </c>
      <c r="I749" s="113">
        <v>6875</v>
      </c>
      <c r="J749" s="115" t="s">
        <v>271</v>
      </c>
    </row>
    <row r="750" spans="1:10" x14ac:dyDescent="0.25">
      <c r="A750" s="113">
        <v>747</v>
      </c>
      <c r="B750" s="114" t="s">
        <v>2100</v>
      </c>
      <c r="C750" s="115" t="s">
        <v>2101</v>
      </c>
      <c r="D750" s="115" t="s">
        <v>461</v>
      </c>
      <c r="E750" s="115" t="s">
        <v>111</v>
      </c>
      <c r="F750" s="116">
        <v>99.773899999999998</v>
      </c>
      <c r="G750" s="116">
        <v>99.773899999999998</v>
      </c>
      <c r="H750" s="116">
        <v>14.288</v>
      </c>
      <c r="I750" s="113">
        <v>2019</v>
      </c>
      <c r="J750" s="115" t="s">
        <v>271</v>
      </c>
    </row>
    <row r="751" spans="1:10" x14ac:dyDescent="0.25">
      <c r="A751" s="113">
        <v>748</v>
      </c>
      <c r="B751" s="114" t="s">
        <v>1503</v>
      </c>
      <c r="C751" s="115" t="s">
        <v>1504</v>
      </c>
      <c r="D751" s="115" t="s">
        <v>451</v>
      </c>
      <c r="E751" s="115" t="s">
        <v>2122</v>
      </c>
      <c r="F751" s="116">
        <v>61628.6325</v>
      </c>
      <c r="G751" s="116">
        <v>61628.6325</v>
      </c>
      <c r="H751" s="116">
        <v>0</v>
      </c>
      <c r="I751" s="113">
        <v>0</v>
      </c>
      <c r="J751" s="115" t="s">
        <v>240</v>
      </c>
    </row>
    <row r="752" spans="1:10" x14ac:dyDescent="0.25">
      <c r="A752" s="113">
        <v>749</v>
      </c>
      <c r="B752" s="114" t="s">
        <v>1505</v>
      </c>
      <c r="C752" s="115" t="s">
        <v>1506</v>
      </c>
      <c r="D752" s="115" t="s">
        <v>451</v>
      </c>
      <c r="E752" s="115" t="s">
        <v>1507</v>
      </c>
      <c r="F752" s="116">
        <v>484.28651250000001</v>
      </c>
      <c r="G752" s="116">
        <v>484.28651250000001</v>
      </c>
      <c r="H752" s="116">
        <v>0</v>
      </c>
      <c r="I752" s="113">
        <v>2047</v>
      </c>
      <c r="J752" s="115" t="s">
        <v>240</v>
      </c>
    </row>
    <row r="753" spans="1:10" x14ac:dyDescent="0.25">
      <c r="A753" s="113">
        <v>750</v>
      </c>
      <c r="B753" s="114" t="s">
        <v>1335</v>
      </c>
      <c r="C753" s="115" t="s">
        <v>1336</v>
      </c>
      <c r="D753" s="115" t="s">
        <v>451</v>
      </c>
      <c r="E753" s="115" t="s">
        <v>1337</v>
      </c>
      <c r="F753" s="116">
        <v>6925.11</v>
      </c>
      <c r="G753" s="116">
        <v>6925.11</v>
      </c>
      <c r="H753" s="116">
        <v>0</v>
      </c>
      <c r="I753" s="113">
        <v>0</v>
      </c>
      <c r="J753" s="115" t="s">
        <v>240</v>
      </c>
    </row>
    <row r="754" spans="1:10" x14ac:dyDescent="0.25">
      <c r="A754" s="113">
        <v>751</v>
      </c>
      <c r="B754" s="114" t="s">
        <v>225</v>
      </c>
      <c r="C754" s="115" t="s">
        <v>226</v>
      </c>
      <c r="D754" s="115" t="s">
        <v>461</v>
      </c>
      <c r="E754" s="115" t="s">
        <v>227</v>
      </c>
      <c r="F754" s="116">
        <v>84.208059277736055</v>
      </c>
      <c r="G754" s="116">
        <v>85.974759277736055</v>
      </c>
      <c r="H754" s="116">
        <v>17.82</v>
      </c>
      <c r="I754" s="113">
        <v>1387</v>
      </c>
      <c r="J754" s="115" t="s">
        <v>271</v>
      </c>
    </row>
    <row r="755" spans="1:10" x14ac:dyDescent="0.25">
      <c r="A755" s="113">
        <v>752</v>
      </c>
      <c r="B755" s="114" t="s">
        <v>228</v>
      </c>
      <c r="C755" s="115" t="s">
        <v>229</v>
      </c>
      <c r="D755" s="115" t="s">
        <v>461</v>
      </c>
      <c r="E755" s="115" t="s">
        <v>227</v>
      </c>
      <c r="F755" s="116">
        <v>100.49916411306867</v>
      </c>
      <c r="G755" s="116">
        <v>107.17976411306867</v>
      </c>
      <c r="H755" s="116">
        <v>17.510000000000002</v>
      </c>
      <c r="I755" s="113">
        <v>230</v>
      </c>
      <c r="J755" s="115" t="s">
        <v>271</v>
      </c>
    </row>
    <row r="756" spans="1:10" x14ac:dyDescent="0.25">
      <c r="A756" s="113">
        <v>753</v>
      </c>
      <c r="B756" s="114" t="s">
        <v>1508</v>
      </c>
      <c r="C756" s="115" t="s">
        <v>1509</v>
      </c>
      <c r="D756" s="115" t="s">
        <v>461</v>
      </c>
      <c r="E756" s="115" t="s">
        <v>227</v>
      </c>
      <c r="F756" s="116">
        <v>99.575728608486187</v>
      </c>
      <c r="G756" s="116">
        <v>103.68682860848618</v>
      </c>
      <c r="H756" s="116">
        <v>14.67</v>
      </c>
      <c r="I756" s="113">
        <v>32</v>
      </c>
      <c r="J756" s="115" t="s">
        <v>271</v>
      </c>
    </row>
    <row r="757" spans="1:10" x14ac:dyDescent="0.25">
      <c r="A757" s="113">
        <v>754</v>
      </c>
      <c r="B757" s="114" t="s">
        <v>2023</v>
      </c>
      <c r="C757" s="115" t="s">
        <v>2024</v>
      </c>
      <c r="D757" s="115" t="s">
        <v>461</v>
      </c>
      <c r="E757" s="115" t="s">
        <v>227</v>
      </c>
      <c r="F757" s="116">
        <v>98.62264396932126</v>
      </c>
      <c r="G757" s="116">
        <v>99.172643969321271</v>
      </c>
      <c r="H757" s="116">
        <v>14.23</v>
      </c>
      <c r="I757" s="113">
        <v>162</v>
      </c>
      <c r="J757" s="115" t="s">
        <v>271</v>
      </c>
    </row>
    <row r="758" spans="1:10" x14ac:dyDescent="0.25">
      <c r="A758" s="113">
        <v>755</v>
      </c>
      <c r="B758" s="114" t="s">
        <v>2155</v>
      </c>
      <c r="C758" s="115" t="s">
        <v>2156</v>
      </c>
      <c r="D758" s="115" t="s">
        <v>461</v>
      </c>
      <c r="E758" s="115" t="s">
        <v>227</v>
      </c>
      <c r="F758" s="116">
        <v>99.963200000000001</v>
      </c>
      <c r="G758" s="116">
        <v>102.7132</v>
      </c>
      <c r="H758" s="116">
        <v>11</v>
      </c>
      <c r="I758" s="113">
        <v>270</v>
      </c>
      <c r="J758" s="115" t="s">
        <v>271</v>
      </c>
    </row>
    <row r="759" spans="1:10" x14ac:dyDescent="0.25">
      <c r="A759" s="113">
        <v>756</v>
      </c>
      <c r="B759" s="114" t="s">
        <v>1510</v>
      </c>
      <c r="C759" s="115" t="s">
        <v>1511</v>
      </c>
      <c r="D759" s="115" t="s">
        <v>461</v>
      </c>
      <c r="E759" s="115" t="s">
        <v>227</v>
      </c>
      <c r="F759" s="116">
        <v>98.902338947606225</v>
      </c>
      <c r="G759" s="116">
        <v>101.03153894760622</v>
      </c>
      <c r="H759" s="116">
        <v>14.25</v>
      </c>
      <c r="I759" s="113">
        <v>107</v>
      </c>
      <c r="J759" s="115" t="s">
        <v>271</v>
      </c>
    </row>
    <row r="760" spans="1:10" x14ac:dyDescent="0.25">
      <c r="A760" s="113">
        <v>757</v>
      </c>
      <c r="B760" s="114" t="s">
        <v>1512</v>
      </c>
      <c r="C760" s="115" t="s">
        <v>1513</v>
      </c>
      <c r="D760" s="115" t="s">
        <v>461</v>
      </c>
      <c r="E760" s="115" t="s">
        <v>227</v>
      </c>
      <c r="F760" s="116">
        <v>89.408836625591192</v>
      </c>
      <c r="G760" s="116">
        <v>91.158836625591192</v>
      </c>
      <c r="H760" s="116">
        <v>13.63</v>
      </c>
      <c r="I760" s="113">
        <v>1377</v>
      </c>
      <c r="J760" s="115" t="s">
        <v>271</v>
      </c>
    </row>
    <row r="761" spans="1:10" x14ac:dyDescent="0.25">
      <c r="A761" s="113">
        <v>758</v>
      </c>
      <c r="B761" s="114" t="s">
        <v>1514</v>
      </c>
      <c r="C761" s="115" t="s">
        <v>1515</v>
      </c>
      <c r="D761" s="115" t="s">
        <v>451</v>
      </c>
      <c r="E761" s="115" t="s">
        <v>1516</v>
      </c>
      <c r="F761" s="116">
        <v>36819.9375</v>
      </c>
      <c r="G761" s="116">
        <v>36819.9375</v>
      </c>
      <c r="H761" s="116">
        <v>0</v>
      </c>
      <c r="I761" s="113">
        <v>0</v>
      </c>
      <c r="J761" s="115" t="s">
        <v>240</v>
      </c>
    </row>
    <row r="762" spans="1:10" x14ac:dyDescent="0.25">
      <c r="A762" s="113">
        <v>759</v>
      </c>
      <c r="B762" s="114" t="s">
        <v>1517</v>
      </c>
      <c r="C762" s="115" t="s">
        <v>1518</v>
      </c>
      <c r="D762" s="115" t="s">
        <v>451</v>
      </c>
      <c r="E762" s="115" t="s">
        <v>2123</v>
      </c>
      <c r="F762" s="116">
        <v>648090.13500000001</v>
      </c>
      <c r="G762" s="116">
        <v>648090.13500000001</v>
      </c>
      <c r="H762" s="116">
        <v>0</v>
      </c>
      <c r="I762" s="113">
        <v>0</v>
      </c>
      <c r="J762" s="115" t="s">
        <v>240</v>
      </c>
    </row>
    <row r="763" spans="1:10" x14ac:dyDescent="0.25">
      <c r="A763" s="113">
        <v>760</v>
      </c>
      <c r="B763" s="114" t="s">
        <v>2008</v>
      </c>
      <c r="C763" s="115" t="s">
        <v>2009</v>
      </c>
      <c r="D763" s="115" t="s">
        <v>461</v>
      </c>
      <c r="E763" s="115" t="s">
        <v>2010</v>
      </c>
      <c r="F763" s="116">
        <v>98.777685032543587</v>
      </c>
      <c r="G763" s="116">
        <v>101.62768503254358</v>
      </c>
      <c r="H763" s="116">
        <v>19.62</v>
      </c>
      <c r="I763" s="113">
        <v>846</v>
      </c>
      <c r="J763" s="115" t="s">
        <v>271</v>
      </c>
    </row>
    <row r="764" spans="1:10" x14ac:dyDescent="0.25">
      <c r="A764" s="113">
        <v>761</v>
      </c>
      <c r="B764" s="114" t="s">
        <v>1519</v>
      </c>
      <c r="C764" s="115" t="s">
        <v>1520</v>
      </c>
      <c r="D764" s="115" t="s">
        <v>451</v>
      </c>
      <c r="E764" s="115" t="s">
        <v>2124</v>
      </c>
      <c r="F764" s="116">
        <v>41370.262499999997</v>
      </c>
      <c r="G764" s="116">
        <v>41370.262499999997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1521</v>
      </c>
      <c r="C765" s="115" t="s">
        <v>1522</v>
      </c>
      <c r="D765" s="115" t="s">
        <v>451</v>
      </c>
      <c r="E765" s="115" t="s">
        <v>1523</v>
      </c>
      <c r="F765" s="116">
        <v>6751.38</v>
      </c>
      <c r="G765" s="116">
        <v>6751.38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1524</v>
      </c>
      <c r="C766" s="115" t="s">
        <v>1525</v>
      </c>
      <c r="D766" s="115" t="s">
        <v>451</v>
      </c>
      <c r="E766" s="115" t="s">
        <v>1523</v>
      </c>
      <c r="F766" s="116">
        <v>88.363100000000003</v>
      </c>
      <c r="G766" s="116">
        <v>88.363100000000003</v>
      </c>
      <c r="H766" s="116">
        <v>0</v>
      </c>
      <c r="I766" s="113">
        <v>876</v>
      </c>
      <c r="J766" s="115" t="s">
        <v>240</v>
      </c>
    </row>
    <row r="767" spans="1:10" x14ac:dyDescent="0.25">
      <c r="A767" s="113">
        <v>764</v>
      </c>
      <c r="B767" s="114" t="s">
        <v>1526</v>
      </c>
      <c r="C767" s="115" t="s">
        <v>1527</v>
      </c>
      <c r="D767" s="115" t="s">
        <v>451</v>
      </c>
      <c r="E767" s="115" t="s">
        <v>1523</v>
      </c>
      <c r="F767" s="116">
        <v>0.01</v>
      </c>
      <c r="G767" s="116">
        <v>0.01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1528</v>
      </c>
      <c r="C768" s="115" t="s">
        <v>1529</v>
      </c>
      <c r="D768" s="115" t="s">
        <v>451</v>
      </c>
      <c r="E768" s="115" t="s">
        <v>1523</v>
      </c>
      <c r="F768" s="116">
        <v>0.01</v>
      </c>
      <c r="G768" s="116">
        <v>0.01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1530</v>
      </c>
      <c r="C769" s="115" t="s">
        <v>1531</v>
      </c>
      <c r="D769" s="115" t="s">
        <v>461</v>
      </c>
      <c r="E769" s="115" t="s">
        <v>1523</v>
      </c>
      <c r="F769" s="116">
        <v>96.596182755797756</v>
      </c>
      <c r="G769" s="116">
        <v>101.88868275579775</v>
      </c>
      <c r="H769" s="116">
        <v>18.13</v>
      </c>
      <c r="I769" s="113">
        <v>186</v>
      </c>
      <c r="J769" s="115" t="s">
        <v>271</v>
      </c>
    </row>
    <row r="770" spans="1:10" x14ac:dyDescent="0.25">
      <c r="A770" s="113">
        <v>767</v>
      </c>
      <c r="B770" s="114" t="s">
        <v>1532</v>
      </c>
      <c r="C770" s="115" t="s">
        <v>1533</v>
      </c>
      <c r="D770" s="115" t="s">
        <v>461</v>
      </c>
      <c r="E770" s="115" t="s">
        <v>1523</v>
      </c>
      <c r="F770" s="116">
        <v>35.699784921497695</v>
      </c>
      <c r="G770" s="116">
        <v>36.944184921497694</v>
      </c>
      <c r="H770" s="116">
        <v>18.96</v>
      </c>
      <c r="I770" s="113">
        <v>3488</v>
      </c>
      <c r="J770" s="115" t="s">
        <v>271</v>
      </c>
    </row>
    <row r="771" spans="1:10" x14ac:dyDescent="0.25">
      <c r="A771" s="113">
        <v>768</v>
      </c>
      <c r="B771" s="114" t="s">
        <v>1534</v>
      </c>
      <c r="C771" s="115" t="s">
        <v>1535</v>
      </c>
      <c r="D771" s="115" t="s">
        <v>451</v>
      </c>
      <c r="E771" s="115" t="s">
        <v>1523</v>
      </c>
      <c r="F771" s="116">
        <v>11898.67</v>
      </c>
      <c r="G771" s="116">
        <v>11898.67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1536</v>
      </c>
      <c r="C772" s="115" t="s">
        <v>1537</v>
      </c>
      <c r="D772" s="115" t="s">
        <v>461</v>
      </c>
      <c r="E772" s="115" t="s">
        <v>661</v>
      </c>
      <c r="F772" s="116">
        <v>100</v>
      </c>
      <c r="G772" s="116">
        <v>105.7983</v>
      </c>
      <c r="H772" s="116">
        <v>7.08</v>
      </c>
      <c r="I772" s="113">
        <v>2196</v>
      </c>
      <c r="J772" s="115" t="s">
        <v>271</v>
      </c>
    </row>
    <row r="773" spans="1:10" x14ac:dyDescent="0.25">
      <c r="A773" s="113">
        <v>770</v>
      </c>
      <c r="B773" s="114" t="s">
        <v>1538</v>
      </c>
      <c r="C773" s="115" t="s">
        <v>1539</v>
      </c>
      <c r="D773" s="115" t="s">
        <v>461</v>
      </c>
      <c r="E773" s="115" t="s">
        <v>661</v>
      </c>
      <c r="F773" s="116">
        <v>100</v>
      </c>
      <c r="G773" s="116">
        <v>100.1186</v>
      </c>
      <c r="H773" s="116">
        <v>6.09</v>
      </c>
      <c r="I773" s="113">
        <v>2123</v>
      </c>
      <c r="J773" s="115" t="s">
        <v>271</v>
      </c>
    </row>
    <row r="774" spans="1:10" x14ac:dyDescent="0.25">
      <c r="A774" s="113">
        <v>771</v>
      </c>
      <c r="B774" s="114" t="s">
        <v>1540</v>
      </c>
      <c r="C774" s="115" t="s">
        <v>1541</v>
      </c>
      <c r="D774" s="115" t="s">
        <v>461</v>
      </c>
      <c r="E774" s="115" t="s">
        <v>661</v>
      </c>
      <c r="F774" s="116">
        <v>100</v>
      </c>
      <c r="G774" s="116">
        <v>105.0664</v>
      </c>
      <c r="H774" s="116">
        <v>6.08</v>
      </c>
      <c r="I774" s="113">
        <v>2551</v>
      </c>
      <c r="J774" s="115" t="s">
        <v>271</v>
      </c>
    </row>
    <row r="775" spans="1:10" x14ac:dyDescent="0.25">
      <c r="A775" s="113">
        <v>772</v>
      </c>
      <c r="B775" s="114" t="s">
        <v>1542</v>
      </c>
      <c r="C775" s="115" t="s">
        <v>1543</v>
      </c>
      <c r="D775" s="115" t="s">
        <v>461</v>
      </c>
      <c r="E775" s="115" t="s">
        <v>661</v>
      </c>
      <c r="F775" s="116">
        <v>100</v>
      </c>
      <c r="G775" s="116">
        <v>105.0664</v>
      </c>
      <c r="H775" s="116">
        <v>6.08</v>
      </c>
      <c r="I775" s="113">
        <v>2551</v>
      </c>
      <c r="J775" s="115" t="s">
        <v>271</v>
      </c>
    </row>
    <row r="776" spans="1:10" x14ac:dyDescent="0.25">
      <c r="A776" s="113">
        <v>773</v>
      </c>
      <c r="B776" s="114" t="s">
        <v>1544</v>
      </c>
      <c r="C776" s="115" t="s">
        <v>1545</v>
      </c>
      <c r="D776" s="115" t="s">
        <v>461</v>
      </c>
      <c r="E776" s="115" t="s">
        <v>661</v>
      </c>
      <c r="F776" s="116">
        <v>100</v>
      </c>
      <c r="G776" s="116">
        <v>103.9311</v>
      </c>
      <c r="H776" s="116">
        <v>6.08</v>
      </c>
      <c r="I776" s="113">
        <v>2618</v>
      </c>
      <c r="J776" s="115" t="s">
        <v>271</v>
      </c>
    </row>
    <row r="777" spans="1:10" x14ac:dyDescent="0.25">
      <c r="A777" s="113">
        <v>774</v>
      </c>
      <c r="B777" s="114" t="s">
        <v>2651</v>
      </c>
      <c r="C777" s="115" t="s">
        <v>2647</v>
      </c>
      <c r="D777" s="115" t="s">
        <v>461</v>
      </c>
      <c r="E777" s="115" t="s">
        <v>230</v>
      </c>
      <c r="F777" s="116">
        <v>98.9268</v>
      </c>
      <c r="G777" s="116">
        <v>98.9268</v>
      </c>
      <c r="H777" s="116">
        <v>14.67</v>
      </c>
      <c r="I777" s="113">
        <v>27</v>
      </c>
      <c r="J777" s="115" t="s">
        <v>271</v>
      </c>
    </row>
    <row r="778" spans="1:10" x14ac:dyDescent="0.25">
      <c r="A778" s="113">
        <v>775</v>
      </c>
      <c r="B778" s="114" t="s">
        <v>1546</v>
      </c>
      <c r="C778" s="115" t="s">
        <v>1547</v>
      </c>
      <c r="D778" s="115" t="s">
        <v>451</v>
      </c>
      <c r="E778" s="115" t="s">
        <v>1548</v>
      </c>
      <c r="F778" s="116">
        <v>92010.802500000005</v>
      </c>
      <c r="G778" s="116">
        <v>92010.802500000005</v>
      </c>
      <c r="H778" s="116">
        <v>0</v>
      </c>
      <c r="I778" s="113">
        <v>0</v>
      </c>
      <c r="J778" s="115" t="s">
        <v>240</v>
      </c>
    </row>
    <row r="779" spans="1:10" x14ac:dyDescent="0.25">
      <c r="A779" s="113">
        <v>776</v>
      </c>
      <c r="B779" s="114" t="s">
        <v>1549</v>
      </c>
      <c r="C779" s="115" t="s">
        <v>1550</v>
      </c>
      <c r="D779" s="115" t="s">
        <v>461</v>
      </c>
      <c r="E779" s="115" t="s">
        <v>1551</v>
      </c>
      <c r="F779" s="116">
        <v>100.09637764405369</v>
      </c>
      <c r="G779" s="116">
        <v>103.32967764405369</v>
      </c>
      <c r="H779" s="116">
        <v>5.97</v>
      </c>
      <c r="I779" s="113">
        <v>2326</v>
      </c>
      <c r="J779" s="115" t="s">
        <v>271</v>
      </c>
    </row>
    <row r="780" spans="1:10" x14ac:dyDescent="0.25">
      <c r="A780" s="113">
        <v>777</v>
      </c>
      <c r="B780" s="114" t="s">
        <v>1552</v>
      </c>
      <c r="C780" s="115" t="s">
        <v>1553</v>
      </c>
      <c r="D780" s="115" t="s">
        <v>461</v>
      </c>
      <c r="E780" s="115" t="s">
        <v>1554</v>
      </c>
      <c r="F780" s="116">
        <v>105.352</v>
      </c>
      <c r="G780" s="116">
        <v>105.6853</v>
      </c>
      <c r="H780" s="116">
        <v>4.5</v>
      </c>
      <c r="I780" s="113">
        <v>1420</v>
      </c>
      <c r="J780" s="115" t="s">
        <v>271</v>
      </c>
    </row>
    <row r="781" spans="1:10" x14ac:dyDescent="0.25">
      <c r="A781" s="113">
        <v>778</v>
      </c>
      <c r="B781" s="114" t="s">
        <v>1990</v>
      </c>
      <c r="C781" s="115" t="s">
        <v>1991</v>
      </c>
      <c r="D781" s="115" t="s">
        <v>461</v>
      </c>
      <c r="E781" s="115" t="s">
        <v>443</v>
      </c>
      <c r="F781" s="116">
        <v>99.997399999999999</v>
      </c>
      <c r="G781" s="116">
        <v>100.4849</v>
      </c>
      <c r="H781" s="116">
        <v>19.5</v>
      </c>
      <c r="I781" s="113">
        <v>111</v>
      </c>
      <c r="J781" s="115" t="s">
        <v>271</v>
      </c>
    </row>
    <row r="782" spans="1:10" x14ac:dyDescent="0.25">
      <c r="A782" s="113">
        <v>779</v>
      </c>
      <c r="B782" s="114" t="s">
        <v>2075</v>
      </c>
      <c r="C782" s="115" t="s">
        <v>2076</v>
      </c>
      <c r="D782" s="115" t="s">
        <v>461</v>
      </c>
      <c r="E782" s="115" t="s">
        <v>443</v>
      </c>
      <c r="F782" s="116">
        <v>100.48921474350128</v>
      </c>
      <c r="G782" s="116">
        <v>101.43361474350128</v>
      </c>
      <c r="H782" s="116">
        <v>19.03</v>
      </c>
      <c r="I782" s="113">
        <v>193</v>
      </c>
      <c r="J782" s="115" t="s">
        <v>271</v>
      </c>
    </row>
    <row r="783" spans="1:10" x14ac:dyDescent="0.25">
      <c r="A783" s="113">
        <v>780</v>
      </c>
      <c r="B783" s="114" t="s">
        <v>2151</v>
      </c>
      <c r="C783" s="115" t="s">
        <v>2152</v>
      </c>
      <c r="D783" s="115" t="s">
        <v>461</v>
      </c>
      <c r="E783" s="115" t="s">
        <v>443</v>
      </c>
      <c r="F783" s="116">
        <v>100.48878079895937</v>
      </c>
      <c r="G783" s="116">
        <v>102.09988079895936</v>
      </c>
      <c r="H783" s="116">
        <v>19.22</v>
      </c>
      <c r="I783" s="113">
        <v>241</v>
      </c>
      <c r="J783" s="115" t="s">
        <v>271</v>
      </c>
    </row>
    <row r="784" spans="1:10" x14ac:dyDescent="0.25">
      <c r="A784" s="113">
        <v>781</v>
      </c>
      <c r="B784" s="114" t="s">
        <v>1992</v>
      </c>
      <c r="C784" s="115" t="s">
        <v>1993</v>
      </c>
      <c r="D784" s="115" t="s">
        <v>451</v>
      </c>
      <c r="E784" s="115" t="s">
        <v>1994</v>
      </c>
      <c r="F784" s="116">
        <v>123731.145</v>
      </c>
      <c r="G784" s="116">
        <v>123731.145</v>
      </c>
      <c r="H784" s="116">
        <v>0</v>
      </c>
      <c r="I784" s="113">
        <v>0</v>
      </c>
      <c r="J784" s="115" t="s">
        <v>240</v>
      </c>
    </row>
    <row r="785" spans="1:10" x14ac:dyDescent="0.25">
      <c r="A785" s="113">
        <v>782</v>
      </c>
      <c r="B785" s="114" t="s">
        <v>1555</v>
      </c>
      <c r="C785" s="115" t="s">
        <v>1556</v>
      </c>
      <c r="D785" s="115" t="s">
        <v>461</v>
      </c>
      <c r="E785" s="115" t="s">
        <v>1557</v>
      </c>
      <c r="F785" s="116">
        <v>86.24786481848804</v>
      </c>
      <c r="G785" s="116">
        <v>93.873564818488049</v>
      </c>
      <c r="H785" s="116">
        <v>23.55</v>
      </c>
      <c r="I785" s="113">
        <v>3164</v>
      </c>
      <c r="J785" s="115" t="s">
        <v>271</v>
      </c>
    </row>
    <row r="786" spans="1:10" x14ac:dyDescent="0.25">
      <c r="A786" s="113">
        <v>783</v>
      </c>
      <c r="B786" s="114" t="s">
        <v>1558</v>
      </c>
      <c r="C786" s="115" t="s">
        <v>1559</v>
      </c>
      <c r="D786" s="115" t="s">
        <v>461</v>
      </c>
      <c r="E786" s="115" t="s">
        <v>1560</v>
      </c>
      <c r="F786" s="116">
        <v>94.920267290961064</v>
      </c>
      <c r="G786" s="116">
        <v>95.88276729096107</v>
      </c>
      <c r="H786" s="116">
        <v>16.72</v>
      </c>
      <c r="I786" s="113">
        <v>327</v>
      </c>
      <c r="J786" s="115" t="s">
        <v>271</v>
      </c>
    </row>
    <row r="787" spans="1:10" x14ac:dyDescent="0.25">
      <c r="A787" s="113">
        <v>784</v>
      </c>
      <c r="B787" s="114" t="s">
        <v>1561</v>
      </c>
      <c r="C787" s="115" t="s">
        <v>1562</v>
      </c>
      <c r="D787" s="115" t="s">
        <v>461</v>
      </c>
      <c r="E787" s="115" t="s">
        <v>1560</v>
      </c>
      <c r="F787" s="116">
        <v>88.594412789973646</v>
      </c>
      <c r="G787" s="116">
        <v>91.919412789973649</v>
      </c>
      <c r="H787" s="116">
        <v>16.940000000000001</v>
      </c>
      <c r="I787" s="113">
        <v>786</v>
      </c>
      <c r="J787" s="115" t="s">
        <v>271</v>
      </c>
    </row>
    <row r="788" spans="1:10" x14ac:dyDescent="0.25">
      <c r="A788" s="113">
        <v>785</v>
      </c>
      <c r="B788" s="114" t="s">
        <v>1563</v>
      </c>
      <c r="C788" s="115" t="s">
        <v>1564</v>
      </c>
      <c r="D788" s="115" t="s">
        <v>451</v>
      </c>
      <c r="E788" s="115" t="s">
        <v>1565</v>
      </c>
      <c r="F788" s="116">
        <v>23637.4575</v>
      </c>
      <c r="G788" s="116">
        <v>23637.4575</v>
      </c>
      <c r="H788" s="116">
        <v>0</v>
      </c>
      <c r="I788" s="113">
        <v>0</v>
      </c>
      <c r="J788" s="115" t="s">
        <v>240</v>
      </c>
    </row>
    <row r="789" spans="1:10" x14ac:dyDescent="0.25">
      <c r="A789" s="113">
        <v>786</v>
      </c>
      <c r="B789" s="114" t="s">
        <v>1566</v>
      </c>
      <c r="C789" s="115" t="s">
        <v>1567</v>
      </c>
      <c r="D789" s="115" t="s">
        <v>461</v>
      </c>
      <c r="E789" s="115" t="s">
        <v>1568</v>
      </c>
      <c r="F789" s="116">
        <v>100</v>
      </c>
      <c r="G789" s="116">
        <v>104.4</v>
      </c>
      <c r="H789" s="116">
        <v>9.59</v>
      </c>
      <c r="I789" s="113">
        <v>375</v>
      </c>
      <c r="J789" s="115" t="s">
        <v>271</v>
      </c>
    </row>
    <row r="790" spans="1:10" x14ac:dyDescent="0.25">
      <c r="A790" s="113">
        <v>787</v>
      </c>
      <c r="B790" s="114" t="s">
        <v>1569</v>
      </c>
      <c r="C790" s="115" t="s">
        <v>1570</v>
      </c>
      <c r="D790" s="115" t="s">
        <v>461</v>
      </c>
      <c r="E790" s="115" t="s">
        <v>1571</v>
      </c>
      <c r="F790" s="116">
        <v>100.407</v>
      </c>
      <c r="G790" s="116">
        <v>102.4237</v>
      </c>
      <c r="H790" s="116">
        <v>3.91</v>
      </c>
      <c r="I790" s="113">
        <v>724</v>
      </c>
      <c r="J790" s="115" t="s">
        <v>271</v>
      </c>
    </row>
    <row r="791" spans="1:10" x14ac:dyDescent="0.25">
      <c r="A791" s="113">
        <v>788</v>
      </c>
      <c r="B791" s="114" t="s">
        <v>1572</v>
      </c>
      <c r="C791" s="115" t="s">
        <v>1573</v>
      </c>
      <c r="D791" s="115" t="s">
        <v>461</v>
      </c>
      <c r="E791" s="115" t="s">
        <v>1571</v>
      </c>
      <c r="F791" s="116">
        <v>99.078641222444176</v>
      </c>
      <c r="G791" s="116">
        <v>99.264641222444169</v>
      </c>
      <c r="H791" s="116">
        <v>4.62</v>
      </c>
      <c r="I791" s="113">
        <v>152</v>
      </c>
      <c r="J791" s="115" t="s">
        <v>271</v>
      </c>
    </row>
    <row r="792" spans="1:10" x14ac:dyDescent="0.25">
      <c r="A792" s="113">
        <v>789</v>
      </c>
      <c r="B792" s="114" t="s">
        <v>1574</v>
      </c>
      <c r="C792" s="115" t="s">
        <v>1575</v>
      </c>
      <c r="D792" s="115" t="s">
        <v>451</v>
      </c>
      <c r="E792" s="115" t="s">
        <v>1576</v>
      </c>
      <c r="F792" s="116">
        <v>13712.9025</v>
      </c>
      <c r="G792" s="116">
        <v>13712.9025</v>
      </c>
      <c r="H792" s="116">
        <v>0</v>
      </c>
      <c r="I792" s="113">
        <v>0</v>
      </c>
      <c r="J792" s="115" t="s">
        <v>240</v>
      </c>
    </row>
    <row r="793" spans="1:10" x14ac:dyDescent="0.25">
      <c r="A793" s="113">
        <v>790</v>
      </c>
      <c r="B793" s="114" t="s">
        <v>2094</v>
      </c>
      <c r="C793" s="115" t="s">
        <v>1881</v>
      </c>
      <c r="D793" s="115" t="s">
        <v>761</v>
      </c>
      <c r="E793" s="115" t="s">
        <v>1631</v>
      </c>
      <c r="F793" s="116">
        <v>39299.730000000003</v>
      </c>
      <c r="G793" s="116">
        <v>39299.730000000003</v>
      </c>
      <c r="H793" s="116">
        <v>0</v>
      </c>
      <c r="I793" s="113">
        <v>0</v>
      </c>
      <c r="J793" s="115" t="s">
        <v>240</v>
      </c>
    </row>
    <row r="794" spans="1:10" x14ac:dyDescent="0.25">
      <c r="A794" s="113">
        <v>791</v>
      </c>
      <c r="B794" s="114" t="s">
        <v>1582</v>
      </c>
      <c r="C794" s="115" t="s">
        <v>1583</v>
      </c>
      <c r="D794" s="115" t="s">
        <v>451</v>
      </c>
      <c r="E794" s="115" t="s">
        <v>1584</v>
      </c>
      <c r="F794" s="116">
        <v>0.01</v>
      </c>
      <c r="G794" s="116">
        <v>0.01</v>
      </c>
      <c r="H794" s="116">
        <v>0</v>
      </c>
      <c r="I794" s="113">
        <v>0</v>
      </c>
      <c r="J794" s="115" t="s">
        <v>240</v>
      </c>
    </row>
    <row r="795" spans="1:10" x14ac:dyDescent="0.25">
      <c r="A795" s="113">
        <v>792</v>
      </c>
      <c r="B795" s="114" t="s">
        <v>1577</v>
      </c>
      <c r="C795" s="115" t="s">
        <v>1578</v>
      </c>
      <c r="D795" s="115" t="s">
        <v>461</v>
      </c>
      <c r="E795" s="115" t="s">
        <v>1579</v>
      </c>
      <c r="F795" s="116">
        <v>98.289000000000001</v>
      </c>
      <c r="G795" s="116">
        <v>98.674400000000006</v>
      </c>
      <c r="H795" s="116">
        <v>4.3</v>
      </c>
      <c r="I795" s="113">
        <v>1223</v>
      </c>
      <c r="J795" s="115" t="s">
        <v>271</v>
      </c>
    </row>
    <row r="796" spans="1:10" x14ac:dyDescent="0.25">
      <c r="A796" s="113">
        <v>793</v>
      </c>
      <c r="B796" s="114" t="s">
        <v>1580</v>
      </c>
      <c r="C796" s="115" t="s">
        <v>1581</v>
      </c>
      <c r="D796" s="115" t="s">
        <v>461</v>
      </c>
      <c r="E796" s="115" t="s">
        <v>1579</v>
      </c>
      <c r="F796" s="116">
        <v>97.144000000000005</v>
      </c>
      <c r="G796" s="116">
        <v>97.310699999999997</v>
      </c>
      <c r="H796" s="116">
        <v>4.24</v>
      </c>
      <c r="I796" s="113">
        <v>880</v>
      </c>
      <c r="J796" s="115" t="s">
        <v>271</v>
      </c>
    </row>
    <row r="797" spans="1:10" x14ac:dyDescent="0.25">
      <c r="A797" s="113">
        <v>794</v>
      </c>
      <c r="B797" s="114" t="s">
        <v>1585</v>
      </c>
      <c r="C797" s="115" t="s">
        <v>1586</v>
      </c>
      <c r="D797" s="115" t="s">
        <v>461</v>
      </c>
      <c r="E797" s="115" t="s">
        <v>1587</v>
      </c>
      <c r="F797" s="116">
        <v>100</v>
      </c>
      <c r="G797" s="116">
        <v>100.15560000000001</v>
      </c>
      <c r="H797" s="116">
        <v>14</v>
      </c>
      <c r="I797" s="113">
        <v>1886</v>
      </c>
      <c r="J797" s="115" t="s">
        <v>271</v>
      </c>
    </row>
    <row r="798" spans="1:10" x14ac:dyDescent="0.25">
      <c r="A798" s="113">
        <v>795</v>
      </c>
      <c r="B798" s="114" t="s">
        <v>2069</v>
      </c>
      <c r="C798" s="115" t="s">
        <v>2070</v>
      </c>
      <c r="D798" s="115" t="s">
        <v>461</v>
      </c>
      <c r="E798" s="115" t="s">
        <v>397</v>
      </c>
      <c r="F798" s="116">
        <v>100.45621120353616</v>
      </c>
      <c r="G798" s="116">
        <v>101.15621120353615</v>
      </c>
      <c r="H798" s="116">
        <v>17.46</v>
      </c>
      <c r="I798" s="113">
        <v>346</v>
      </c>
      <c r="J798" s="115" t="s">
        <v>271</v>
      </c>
    </row>
    <row r="799" spans="1:10" x14ac:dyDescent="0.25">
      <c r="A799" s="113">
        <v>796</v>
      </c>
      <c r="B799" s="114" t="s">
        <v>2071</v>
      </c>
      <c r="C799" s="115" t="s">
        <v>2072</v>
      </c>
      <c r="D799" s="115" t="s">
        <v>461</v>
      </c>
      <c r="E799" s="115" t="s">
        <v>397</v>
      </c>
      <c r="F799" s="116">
        <v>100.45621120353616</v>
      </c>
      <c r="G799" s="116">
        <v>101.15621120353615</v>
      </c>
      <c r="H799" s="116">
        <v>17.46</v>
      </c>
      <c r="I799" s="113">
        <v>346</v>
      </c>
      <c r="J799" s="115" t="s">
        <v>271</v>
      </c>
    </row>
    <row r="800" spans="1:10" x14ac:dyDescent="0.25">
      <c r="A800" s="113">
        <v>797</v>
      </c>
      <c r="B800" s="114" t="s">
        <v>1588</v>
      </c>
      <c r="C800" s="115" t="s">
        <v>1589</v>
      </c>
      <c r="D800" s="115" t="s">
        <v>451</v>
      </c>
      <c r="E800" s="115" t="s">
        <v>397</v>
      </c>
      <c r="F800" s="116">
        <v>3407.3649999999998</v>
      </c>
      <c r="G800" s="116">
        <v>3407.3649999999998</v>
      </c>
      <c r="H800" s="116">
        <v>0</v>
      </c>
      <c r="I800" s="113">
        <v>217</v>
      </c>
      <c r="J800" s="115" t="s">
        <v>240</v>
      </c>
    </row>
    <row r="801" spans="1:10" x14ac:dyDescent="0.25">
      <c r="A801" s="113">
        <v>798</v>
      </c>
      <c r="B801" s="114" t="s">
        <v>1590</v>
      </c>
      <c r="C801" s="115" t="s">
        <v>1591</v>
      </c>
      <c r="D801" s="115" t="s">
        <v>461</v>
      </c>
      <c r="E801" s="115" t="s">
        <v>1592</v>
      </c>
      <c r="F801" s="116">
        <v>100</v>
      </c>
      <c r="G801" s="116">
        <v>100</v>
      </c>
      <c r="H801" s="116">
        <v>4.24</v>
      </c>
      <c r="I801" s="113">
        <v>300</v>
      </c>
      <c r="J801" s="115" t="s">
        <v>271</v>
      </c>
    </row>
    <row r="802" spans="1:10" x14ac:dyDescent="0.25">
      <c r="A802" s="113">
        <v>799</v>
      </c>
      <c r="B802" s="114" t="s">
        <v>1593</v>
      </c>
      <c r="C802" s="115" t="s">
        <v>1594</v>
      </c>
      <c r="D802" s="115" t="s">
        <v>461</v>
      </c>
      <c r="E802" s="115" t="s">
        <v>1592</v>
      </c>
      <c r="F802" s="116">
        <v>100</v>
      </c>
      <c r="G802" s="116">
        <v>100.0797</v>
      </c>
      <c r="H802" s="116">
        <v>0.35</v>
      </c>
      <c r="I802" s="113">
        <v>98</v>
      </c>
      <c r="J802" s="115" t="s">
        <v>271</v>
      </c>
    </row>
    <row r="803" spans="1:10" x14ac:dyDescent="0.25">
      <c r="A803" s="113">
        <v>800</v>
      </c>
      <c r="B803" s="114" t="s">
        <v>1595</v>
      </c>
      <c r="C803" s="115" t="s">
        <v>1596</v>
      </c>
      <c r="D803" s="115" t="s">
        <v>461</v>
      </c>
      <c r="E803" s="115" t="s">
        <v>1592</v>
      </c>
      <c r="F803" s="116">
        <v>100</v>
      </c>
      <c r="G803" s="116">
        <v>100.0758</v>
      </c>
      <c r="H803" s="116">
        <v>0.35</v>
      </c>
      <c r="I803" s="113">
        <v>282</v>
      </c>
      <c r="J803" s="115" t="s">
        <v>271</v>
      </c>
    </row>
    <row r="804" spans="1:10" x14ac:dyDescent="0.25">
      <c r="A804" s="113">
        <v>801</v>
      </c>
      <c r="B804" s="114" t="s">
        <v>2220</v>
      </c>
      <c r="C804" s="115" t="s">
        <v>2221</v>
      </c>
      <c r="D804" s="115" t="s">
        <v>461</v>
      </c>
      <c r="E804" s="115" t="s">
        <v>1592</v>
      </c>
      <c r="F804" s="116">
        <v>100</v>
      </c>
      <c r="G804" s="116">
        <v>100.0817</v>
      </c>
      <c r="H804" s="116">
        <v>0.35</v>
      </c>
      <c r="I804" s="113">
        <v>636</v>
      </c>
      <c r="J804" s="115" t="s">
        <v>271</v>
      </c>
    </row>
    <row r="805" spans="1:10" x14ac:dyDescent="0.25">
      <c r="A805" s="113">
        <v>802</v>
      </c>
      <c r="B805" s="114" t="s">
        <v>1597</v>
      </c>
      <c r="C805" s="115" t="s">
        <v>1598</v>
      </c>
      <c r="D805" s="115" t="s">
        <v>461</v>
      </c>
      <c r="E805" s="115" t="s">
        <v>1592</v>
      </c>
      <c r="F805" s="116">
        <v>100</v>
      </c>
      <c r="G805" s="116">
        <v>100.0009</v>
      </c>
      <c r="H805" s="116">
        <v>0.02</v>
      </c>
      <c r="I805" s="113">
        <v>3099</v>
      </c>
      <c r="J805" s="115" t="s">
        <v>271</v>
      </c>
    </row>
    <row r="806" spans="1:10" x14ac:dyDescent="0.25">
      <c r="A806" s="113">
        <v>803</v>
      </c>
      <c r="B806" s="114" t="s">
        <v>1599</v>
      </c>
      <c r="C806" s="115" t="s">
        <v>1600</v>
      </c>
      <c r="D806" s="115" t="s">
        <v>461</v>
      </c>
      <c r="E806" s="115" t="s">
        <v>1592</v>
      </c>
      <c r="F806" s="116">
        <v>100</v>
      </c>
      <c r="G806" s="116">
        <v>100.94889999999999</v>
      </c>
      <c r="H806" s="116">
        <v>6.08</v>
      </c>
      <c r="I806" s="113">
        <v>1714</v>
      </c>
      <c r="J806" s="115" t="s">
        <v>271</v>
      </c>
    </row>
    <row r="807" spans="1:10" x14ac:dyDescent="0.25">
      <c r="A807" s="113">
        <v>804</v>
      </c>
      <c r="B807" s="114" t="s">
        <v>1601</v>
      </c>
      <c r="C807" s="115" t="s">
        <v>1602</v>
      </c>
      <c r="D807" s="115" t="s">
        <v>461</v>
      </c>
      <c r="E807" s="115" t="s">
        <v>1592</v>
      </c>
      <c r="F807" s="116">
        <v>100</v>
      </c>
      <c r="G807" s="116">
        <v>105.7983</v>
      </c>
      <c r="H807" s="116">
        <v>7.08</v>
      </c>
      <c r="I807" s="113">
        <v>2196</v>
      </c>
      <c r="J807" s="115" t="s">
        <v>271</v>
      </c>
    </row>
    <row r="808" spans="1:10" x14ac:dyDescent="0.25">
      <c r="A808" s="113">
        <v>805</v>
      </c>
      <c r="B808" s="114" t="s">
        <v>2333</v>
      </c>
      <c r="C808" s="115" t="s">
        <v>2334</v>
      </c>
      <c r="D808" s="115" t="s">
        <v>461</v>
      </c>
      <c r="E808" s="115" t="s">
        <v>1592</v>
      </c>
      <c r="F808" s="116">
        <v>90.418102095566198</v>
      </c>
      <c r="G808" s="116">
        <v>92.0864020955662</v>
      </c>
      <c r="H808" s="116">
        <v>20.5</v>
      </c>
      <c r="I808" s="113">
        <v>3567</v>
      </c>
      <c r="J808" s="115" t="s">
        <v>271</v>
      </c>
    </row>
    <row r="809" spans="1:10" x14ac:dyDescent="0.25">
      <c r="A809" s="113">
        <v>806</v>
      </c>
      <c r="B809" s="114" t="s">
        <v>1603</v>
      </c>
      <c r="C809" s="115" t="s">
        <v>1604</v>
      </c>
      <c r="D809" s="115" t="s">
        <v>461</v>
      </c>
      <c r="E809" s="115" t="s">
        <v>1592</v>
      </c>
      <c r="F809" s="116">
        <v>100</v>
      </c>
      <c r="G809" s="116">
        <v>100.1186</v>
      </c>
      <c r="H809" s="116">
        <v>6.09</v>
      </c>
      <c r="I809" s="113">
        <v>2123</v>
      </c>
      <c r="J809" s="115" t="s">
        <v>271</v>
      </c>
    </row>
    <row r="810" spans="1:10" x14ac:dyDescent="0.25">
      <c r="A810" s="113">
        <v>807</v>
      </c>
      <c r="B810" s="114" t="s">
        <v>1605</v>
      </c>
      <c r="C810" s="115" t="s">
        <v>1606</v>
      </c>
      <c r="D810" s="115" t="s">
        <v>461</v>
      </c>
      <c r="E810" s="115" t="s">
        <v>1592</v>
      </c>
      <c r="F810" s="116">
        <v>100</v>
      </c>
      <c r="G810" s="116">
        <v>105.0664</v>
      </c>
      <c r="H810" s="116">
        <v>6.08</v>
      </c>
      <c r="I810" s="113">
        <v>2551</v>
      </c>
      <c r="J810" s="115" t="s">
        <v>271</v>
      </c>
    </row>
    <row r="811" spans="1:10" x14ac:dyDescent="0.25">
      <c r="A811" s="113">
        <v>808</v>
      </c>
      <c r="B811" s="114" t="s">
        <v>1607</v>
      </c>
      <c r="C811" s="115" t="s">
        <v>1608</v>
      </c>
      <c r="D811" s="115" t="s">
        <v>461</v>
      </c>
      <c r="E811" s="115" t="s">
        <v>1592</v>
      </c>
      <c r="F811" s="116">
        <v>100</v>
      </c>
      <c r="G811" s="116">
        <v>105.0664</v>
      </c>
      <c r="H811" s="116">
        <v>6.08</v>
      </c>
      <c r="I811" s="113">
        <v>2551</v>
      </c>
      <c r="J811" s="115" t="s">
        <v>271</v>
      </c>
    </row>
    <row r="812" spans="1:10" x14ac:dyDescent="0.25">
      <c r="A812" s="113">
        <v>809</v>
      </c>
      <c r="B812" s="114" t="s">
        <v>1609</v>
      </c>
      <c r="C812" s="115" t="s">
        <v>1610</v>
      </c>
      <c r="D812" s="115" t="s">
        <v>461</v>
      </c>
      <c r="E812" s="115" t="s">
        <v>1592</v>
      </c>
      <c r="F812" s="116">
        <v>100</v>
      </c>
      <c r="G812" s="116">
        <v>103.9311</v>
      </c>
      <c r="H812" s="116">
        <v>6.08</v>
      </c>
      <c r="I812" s="113">
        <v>2618</v>
      </c>
      <c r="J812" s="115" t="s">
        <v>271</v>
      </c>
    </row>
    <row r="813" spans="1:10" x14ac:dyDescent="0.25">
      <c r="A813" s="113">
        <v>810</v>
      </c>
      <c r="B813" s="114" t="s">
        <v>1611</v>
      </c>
      <c r="C813" s="115" t="s">
        <v>1612</v>
      </c>
      <c r="D813" s="115" t="s">
        <v>451</v>
      </c>
      <c r="E813" s="115" t="s">
        <v>1613</v>
      </c>
      <c r="F813" s="116">
        <v>36836.092499999999</v>
      </c>
      <c r="G813" s="116">
        <v>36836.092499999999</v>
      </c>
      <c r="H813" s="116">
        <v>0</v>
      </c>
      <c r="I813" s="113">
        <v>0</v>
      </c>
      <c r="J813" s="115" t="s">
        <v>240</v>
      </c>
    </row>
    <row r="814" spans="1:10" x14ac:dyDescent="0.25">
      <c r="A814" s="113">
        <v>811</v>
      </c>
      <c r="B814" s="114" t="s">
        <v>1614</v>
      </c>
      <c r="C814" s="115" t="s">
        <v>1615</v>
      </c>
      <c r="D814" s="115" t="s">
        <v>451</v>
      </c>
      <c r="E814" s="115" t="s">
        <v>1616</v>
      </c>
      <c r="F814" s="116">
        <v>0.01</v>
      </c>
      <c r="G814" s="116">
        <v>0.01</v>
      </c>
      <c r="H814" s="116">
        <v>0</v>
      </c>
      <c r="I814" s="113">
        <v>0</v>
      </c>
      <c r="J814" s="115" t="s">
        <v>240</v>
      </c>
    </row>
    <row r="815" spans="1:10" x14ac:dyDescent="0.25">
      <c r="A815" s="113">
        <v>812</v>
      </c>
      <c r="B815" s="114" t="s">
        <v>1617</v>
      </c>
      <c r="C815" s="115" t="s">
        <v>1618</v>
      </c>
      <c r="D815" s="115" t="s">
        <v>461</v>
      </c>
      <c r="E815" s="115" t="s">
        <v>1619</v>
      </c>
      <c r="F815" s="116">
        <v>99.132000000000005</v>
      </c>
      <c r="G815" s="116">
        <v>99.845200000000006</v>
      </c>
      <c r="H815" s="116">
        <v>4.3899999999999997</v>
      </c>
      <c r="I815" s="113">
        <v>281</v>
      </c>
      <c r="J815" s="115" t="s">
        <v>271</v>
      </c>
    </row>
    <row r="816" spans="1:10" x14ac:dyDescent="0.25">
      <c r="A816" s="113">
        <v>813</v>
      </c>
      <c r="B816" s="114" t="s">
        <v>1620</v>
      </c>
      <c r="C816" s="115" t="s">
        <v>1621</v>
      </c>
      <c r="D816" s="115" t="s">
        <v>461</v>
      </c>
      <c r="E816" s="115" t="s">
        <v>1619</v>
      </c>
      <c r="F816" s="116">
        <v>98.545000000000002</v>
      </c>
      <c r="G816" s="116">
        <v>99.847099999999998</v>
      </c>
      <c r="H816" s="116">
        <v>4.0999999999999996</v>
      </c>
      <c r="I816" s="113">
        <v>1675</v>
      </c>
      <c r="J816" s="115" t="s">
        <v>271</v>
      </c>
    </row>
    <row r="817" spans="1:10" x14ac:dyDescent="0.25">
      <c r="A817" s="113">
        <v>814</v>
      </c>
      <c r="B817" s="114" t="s">
        <v>1622</v>
      </c>
      <c r="C817" s="115" t="s">
        <v>1623</v>
      </c>
      <c r="D817" s="115" t="s">
        <v>461</v>
      </c>
      <c r="E817" s="115" t="s">
        <v>1619</v>
      </c>
      <c r="F817" s="116">
        <v>99.870999999999995</v>
      </c>
      <c r="G817" s="116">
        <v>101.61539999999999</v>
      </c>
      <c r="H817" s="116">
        <v>4.04</v>
      </c>
      <c r="I817" s="113">
        <v>1283</v>
      </c>
      <c r="J817" s="115" t="s">
        <v>271</v>
      </c>
    </row>
    <row r="818" spans="1:10" x14ac:dyDescent="0.25">
      <c r="A818" s="113">
        <v>815</v>
      </c>
      <c r="B818" s="114" t="s">
        <v>1624</v>
      </c>
      <c r="C818" s="115" t="s">
        <v>1625</v>
      </c>
      <c r="D818" s="115" t="s">
        <v>461</v>
      </c>
      <c r="E818" s="115" t="s">
        <v>1619</v>
      </c>
      <c r="F818" s="116">
        <v>101.18600000000001</v>
      </c>
      <c r="G818" s="116">
        <v>102.661</v>
      </c>
      <c r="H818" s="116">
        <v>4.03</v>
      </c>
      <c r="I818" s="113">
        <v>962</v>
      </c>
      <c r="J818" s="115" t="s">
        <v>271</v>
      </c>
    </row>
    <row r="819" spans="1:10" x14ac:dyDescent="0.25">
      <c r="A819" s="113">
        <v>816</v>
      </c>
      <c r="B819" s="114" t="s">
        <v>1626</v>
      </c>
      <c r="C819" s="115" t="s">
        <v>1627</v>
      </c>
      <c r="D819" s="115" t="s">
        <v>451</v>
      </c>
      <c r="E819" s="115" t="s">
        <v>1628</v>
      </c>
      <c r="F819" s="116">
        <v>83448.652499999997</v>
      </c>
      <c r="G819" s="116">
        <v>83448.652499999997</v>
      </c>
      <c r="H819" s="116">
        <v>0</v>
      </c>
      <c r="I819" s="113">
        <v>0</v>
      </c>
      <c r="J819" s="115" t="s">
        <v>240</v>
      </c>
    </row>
    <row r="820" spans="1:10" x14ac:dyDescent="0.25">
      <c r="A820" s="113">
        <v>817</v>
      </c>
      <c r="B820" s="114" t="s">
        <v>1629</v>
      </c>
      <c r="C820" s="115" t="s">
        <v>1630</v>
      </c>
      <c r="D820" s="115" t="s">
        <v>761</v>
      </c>
      <c r="E820" s="115" t="s">
        <v>1631</v>
      </c>
      <c r="F820" s="116">
        <v>302478.14250000002</v>
      </c>
      <c r="G820" s="116">
        <v>302478.14250000002</v>
      </c>
      <c r="H820" s="116">
        <v>0</v>
      </c>
      <c r="I820" s="113">
        <v>0</v>
      </c>
      <c r="J820" s="115" t="s">
        <v>240</v>
      </c>
    </row>
    <row r="821" spans="1:10" x14ac:dyDescent="0.25">
      <c r="A821" s="113">
        <v>818</v>
      </c>
      <c r="B821" s="114" t="s">
        <v>1632</v>
      </c>
      <c r="C821" s="115" t="s">
        <v>1633</v>
      </c>
      <c r="D821" s="115" t="s">
        <v>451</v>
      </c>
      <c r="E821" s="115" t="s">
        <v>1634</v>
      </c>
      <c r="F821" s="116">
        <v>17000.39</v>
      </c>
      <c r="G821" s="116">
        <v>17000.39</v>
      </c>
      <c r="H821" s="116">
        <v>0</v>
      </c>
      <c r="I821" s="113">
        <v>0</v>
      </c>
      <c r="J821" s="115" t="s">
        <v>240</v>
      </c>
    </row>
    <row r="822" spans="1:10" x14ac:dyDescent="0.25">
      <c r="A822" s="113">
        <v>819</v>
      </c>
      <c r="B822" s="114" t="s">
        <v>1635</v>
      </c>
      <c r="C822" s="115" t="s">
        <v>1636</v>
      </c>
      <c r="D822" s="115" t="s">
        <v>461</v>
      </c>
      <c r="E822" s="115" t="s">
        <v>1637</v>
      </c>
      <c r="F822" s="116">
        <v>95.865504866496011</v>
      </c>
      <c r="G822" s="116">
        <v>101.36550486649601</v>
      </c>
      <c r="H822" s="116">
        <v>31.72</v>
      </c>
      <c r="I822" s="113">
        <v>1644</v>
      </c>
      <c r="J822" s="115" t="s">
        <v>271</v>
      </c>
    </row>
    <row r="823" spans="1:10" x14ac:dyDescent="0.25">
      <c r="A823" s="113">
        <v>820</v>
      </c>
      <c r="B823" s="114" t="s">
        <v>1638</v>
      </c>
      <c r="C823" s="115" t="s">
        <v>1639</v>
      </c>
      <c r="D823" s="115" t="s">
        <v>461</v>
      </c>
      <c r="E823" s="115" t="s">
        <v>1640</v>
      </c>
      <c r="F823" s="116">
        <v>73.279315628792901</v>
      </c>
      <c r="G823" s="116">
        <v>77.112615628792909</v>
      </c>
      <c r="H823" s="116">
        <v>29.9</v>
      </c>
      <c r="I823" s="113">
        <v>2091</v>
      </c>
      <c r="J823" s="115" t="s">
        <v>271</v>
      </c>
    </row>
    <row r="824" spans="1:10" x14ac:dyDescent="0.25">
      <c r="A824" s="113">
        <v>821</v>
      </c>
      <c r="B824" s="114" t="s">
        <v>1641</v>
      </c>
      <c r="C824" s="115" t="s">
        <v>1642</v>
      </c>
      <c r="D824" s="115" t="s">
        <v>461</v>
      </c>
      <c r="E824" s="115" t="s">
        <v>1640</v>
      </c>
      <c r="F824" s="116">
        <v>70.549380718249324</v>
      </c>
      <c r="G824" s="116">
        <v>74.493780718249326</v>
      </c>
      <c r="H824" s="116">
        <v>29.87</v>
      </c>
      <c r="I824" s="113">
        <v>2809</v>
      </c>
      <c r="J824" s="115" t="s">
        <v>271</v>
      </c>
    </row>
    <row r="825" spans="1:10" x14ac:dyDescent="0.25">
      <c r="A825" s="113">
        <v>822</v>
      </c>
      <c r="B825" s="114" t="s">
        <v>1643</v>
      </c>
      <c r="C825" s="115" t="s">
        <v>1644</v>
      </c>
      <c r="D825" s="115" t="s">
        <v>451</v>
      </c>
      <c r="E825" s="115" t="s">
        <v>1645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240</v>
      </c>
    </row>
    <row r="826" spans="1:10" x14ac:dyDescent="0.25">
      <c r="A826" s="113">
        <v>823</v>
      </c>
      <c r="B826" s="114" t="s">
        <v>1646</v>
      </c>
      <c r="C826" s="115" t="s">
        <v>1647</v>
      </c>
      <c r="D826" s="115" t="s">
        <v>451</v>
      </c>
      <c r="E826" s="115" t="s">
        <v>1645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240</v>
      </c>
    </row>
    <row r="827" spans="1:10" x14ac:dyDescent="0.25">
      <c r="A827" s="113">
        <v>824</v>
      </c>
      <c r="B827" s="114" t="s">
        <v>1659</v>
      </c>
      <c r="C827" s="115" t="s">
        <v>1660</v>
      </c>
      <c r="D827" s="115" t="s">
        <v>451</v>
      </c>
      <c r="E827" s="115" t="s">
        <v>1661</v>
      </c>
      <c r="F827" s="116">
        <v>34400</v>
      </c>
      <c r="G827" s="116">
        <v>34400</v>
      </c>
      <c r="H827" s="116">
        <v>0</v>
      </c>
      <c r="I827" s="113">
        <v>0</v>
      </c>
      <c r="J827" s="115" t="s">
        <v>240</v>
      </c>
    </row>
    <row r="828" spans="1:10" x14ac:dyDescent="0.25">
      <c r="A828" s="113">
        <v>825</v>
      </c>
      <c r="B828" s="114" t="s">
        <v>1662</v>
      </c>
      <c r="C828" s="115" t="s">
        <v>1663</v>
      </c>
      <c r="D828" s="115" t="s">
        <v>451</v>
      </c>
      <c r="E828" s="115" t="s">
        <v>1661</v>
      </c>
      <c r="F828" s="116">
        <v>17800</v>
      </c>
      <c r="G828" s="116">
        <v>17800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1664</v>
      </c>
      <c r="C829" s="115" t="s">
        <v>1665</v>
      </c>
      <c r="D829" s="115" t="s">
        <v>451</v>
      </c>
      <c r="E829" s="115" t="s">
        <v>1666</v>
      </c>
      <c r="F829" s="116">
        <v>1000</v>
      </c>
      <c r="G829" s="116">
        <v>1000</v>
      </c>
      <c r="H829" s="116">
        <v>0</v>
      </c>
      <c r="I829" s="113">
        <v>245</v>
      </c>
      <c r="J829" s="115" t="s">
        <v>240</v>
      </c>
    </row>
    <row r="830" spans="1:10" x14ac:dyDescent="0.25">
      <c r="A830" s="113">
        <v>827</v>
      </c>
      <c r="B830" s="114" t="s">
        <v>1667</v>
      </c>
      <c r="C830" s="115" t="s">
        <v>1668</v>
      </c>
      <c r="D830" s="115" t="s">
        <v>451</v>
      </c>
      <c r="E830" s="115" t="s">
        <v>1669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1670</v>
      </c>
      <c r="C831" s="115" t="s">
        <v>1671</v>
      </c>
      <c r="D831" s="115" t="s">
        <v>451</v>
      </c>
      <c r="E831" s="115" t="s">
        <v>1672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1673</v>
      </c>
      <c r="C832" s="115" t="s">
        <v>1674</v>
      </c>
      <c r="D832" s="115" t="s">
        <v>451</v>
      </c>
      <c r="E832" s="115" t="s">
        <v>1672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240</v>
      </c>
    </row>
    <row r="833" spans="1:10" x14ac:dyDescent="0.25">
      <c r="A833" s="113">
        <v>830</v>
      </c>
      <c r="B833" s="114" t="s">
        <v>1648</v>
      </c>
      <c r="C833" s="115" t="s">
        <v>1649</v>
      </c>
      <c r="D833" s="115" t="s">
        <v>461</v>
      </c>
      <c r="E833" s="115" t="s">
        <v>1650</v>
      </c>
      <c r="F833" s="116">
        <v>98.610131535849618</v>
      </c>
      <c r="G833" s="116">
        <v>100.29173153584962</v>
      </c>
      <c r="H833" s="116">
        <v>4.21</v>
      </c>
      <c r="I833" s="113">
        <v>913</v>
      </c>
      <c r="J833" s="115" t="s">
        <v>271</v>
      </c>
    </row>
    <row r="834" spans="1:10" x14ac:dyDescent="0.25">
      <c r="A834" s="113">
        <v>831</v>
      </c>
      <c r="B834" s="114" t="s">
        <v>1651</v>
      </c>
      <c r="C834" s="115" t="s">
        <v>1652</v>
      </c>
      <c r="D834" s="115" t="s">
        <v>461</v>
      </c>
      <c r="E834" s="115" t="s">
        <v>1650</v>
      </c>
      <c r="F834" s="116">
        <v>100.46872392834892</v>
      </c>
      <c r="G834" s="116">
        <v>101.98782392834892</v>
      </c>
      <c r="H834" s="116">
        <v>4.2300000000000004</v>
      </c>
      <c r="I834" s="113">
        <v>1315</v>
      </c>
      <c r="J834" s="115" t="s">
        <v>271</v>
      </c>
    </row>
    <row r="835" spans="1:10" x14ac:dyDescent="0.25">
      <c r="A835" s="113">
        <v>832</v>
      </c>
      <c r="B835" s="114" t="s">
        <v>1653</v>
      </c>
      <c r="C835" s="115" t="s">
        <v>1654</v>
      </c>
      <c r="D835" s="115" t="s">
        <v>461</v>
      </c>
      <c r="E835" s="115" t="s">
        <v>1650</v>
      </c>
      <c r="F835" s="116">
        <v>97.57</v>
      </c>
      <c r="G835" s="116">
        <v>97.694999999999993</v>
      </c>
      <c r="H835" s="116">
        <v>4.24</v>
      </c>
      <c r="I835" s="113">
        <v>522</v>
      </c>
      <c r="J835" s="115" t="s">
        <v>271</v>
      </c>
    </row>
    <row r="836" spans="1:10" x14ac:dyDescent="0.25">
      <c r="A836" s="113">
        <v>833</v>
      </c>
      <c r="B836" s="114" t="s">
        <v>1655</v>
      </c>
      <c r="C836" s="115" t="s">
        <v>1656</v>
      </c>
      <c r="D836" s="115" t="s">
        <v>461</v>
      </c>
      <c r="E836" s="115" t="s">
        <v>1650</v>
      </c>
      <c r="F836" s="116">
        <v>98.813999999999993</v>
      </c>
      <c r="G836" s="116">
        <v>99.852199999999996</v>
      </c>
      <c r="H836" s="116">
        <v>4.29</v>
      </c>
      <c r="I836" s="113">
        <v>425</v>
      </c>
      <c r="J836" s="115" t="s">
        <v>271</v>
      </c>
    </row>
    <row r="837" spans="1:10" x14ac:dyDescent="0.25">
      <c r="A837" s="113">
        <v>834</v>
      </c>
      <c r="B837" s="114" t="s">
        <v>1657</v>
      </c>
      <c r="C837" s="115" t="s">
        <v>1658</v>
      </c>
      <c r="D837" s="115" t="s">
        <v>451</v>
      </c>
      <c r="E837" s="115" t="s">
        <v>1650</v>
      </c>
      <c r="F837" s="116">
        <v>533.11230750000004</v>
      </c>
      <c r="G837" s="116">
        <v>533.11230750000004</v>
      </c>
      <c r="H837" s="116">
        <v>0</v>
      </c>
      <c r="I837" s="113">
        <v>599</v>
      </c>
      <c r="J837" s="115" t="s">
        <v>240</v>
      </c>
    </row>
    <row r="838" spans="1:10" x14ac:dyDescent="0.25">
      <c r="A838" s="113">
        <v>835</v>
      </c>
      <c r="B838" s="114" t="s">
        <v>1675</v>
      </c>
      <c r="C838" s="115" t="s">
        <v>1676</v>
      </c>
      <c r="D838" s="115" t="s">
        <v>451</v>
      </c>
      <c r="E838" s="115" t="s">
        <v>1677</v>
      </c>
      <c r="F838" s="116">
        <v>48763.8675</v>
      </c>
      <c r="G838" s="116">
        <v>48763.8675</v>
      </c>
      <c r="H838" s="116">
        <v>0</v>
      </c>
      <c r="I838" s="113">
        <v>0</v>
      </c>
      <c r="J838" s="115" t="s">
        <v>240</v>
      </c>
    </row>
    <row r="839" spans="1:10" x14ac:dyDescent="0.25">
      <c r="A839" s="113">
        <v>836</v>
      </c>
      <c r="B839" s="114" t="s">
        <v>2016</v>
      </c>
      <c r="C839" s="115" t="s">
        <v>2017</v>
      </c>
      <c r="D839" s="115" t="s">
        <v>461</v>
      </c>
      <c r="E839" s="115" t="s">
        <v>2018</v>
      </c>
      <c r="F839" s="116">
        <v>94.052785759899251</v>
      </c>
      <c r="G839" s="116">
        <v>95.234085759899244</v>
      </c>
      <c r="H839" s="116">
        <v>23.51</v>
      </c>
      <c r="I839" s="113">
        <v>879</v>
      </c>
      <c r="J839" s="115" t="s">
        <v>271</v>
      </c>
    </row>
    <row r="840" spans="1:10" x14ac:dyDescent="0.25">
      <c r="A840" s="113">
        <v>837</v>
      </c>
      <c r="B840" s="114" t="s">
        <v>2419</v>
      </c>
      <c r="C840" s="115" t="s">
        <v>2420</v>
      </c>
      <c r="D840" s="115" t="s">
        <v>451</v>
      </c>
      <c r="E840" s="115" t="s">
        <v>2018</v>
      </c>
      <c r="F840" s="116">
        <v>967.9</v>
      </c>
      <c r="G840" s="116">
        <v>967.9</v>
      </c>
      <c r="H840" s="116">
        <v>0</v>
      </c>
      <c r="I840" s="113">
        <v>0</v>
      </c>
      <c r="J840" s="115" t="s">
        <v>240</v>
      </c>
    </row>
    <row r="841" spans="1:10" x14ac:dyDescent="0.25">
      <c r="A841" s="113">
        <v>838</v>
      </c>
      <c r="B841" s="114" t="s">
        <v>1678</v>
      </c>
      <c r="C841" s="115" t="s">
        <v>1679</v>
      </c>
      <c r="D841" s="115" t="s">
        <v>461</v>
      </c>
      <c r="E841" s="115" t="s">
        <v>1680</v>
      </c>
      <c r="F841" s="116">
        <v>100</v>
      </c>
      <c r="G841" s="116">
        <v>100.3306</v>
      </c>
      <c r="H841" s="116">
        <v>4.24</v>
      </c>
      <c r="I841" s="113">
        <v>272</v>
      </c>
      <c r="J841" s="115" t="s">
        <v>271</v>
      </c>
    </row>
    <row r="842" spans="1:10" x14ac:dyDescent="0.25">
      <c r="A842" s="113">
        <v>839</v>
      </c>
      <c r="B842" s="114" t="s">
        <v>2147</v>
      </c>
      <c r="C842" s="115" t="s">
        <v>2148</v>
      </c>
      <c r="D842" s="115" t="s">
        <v>461</v>
      </c>
      <c r="E842" s="115" t="s">
        <v>1680</v>
      </c>
      <c r="F842" s="116">
        <v>100</v>
      </c>
      <c r="G842" s="116">
        <v>101.4521</v>
      </c>
      <c r="H842" s="116">
        <v>4.24</v>
      </c>
      <c r="I842" s="113">
        <v>537</v>
      </c>
      <c r="J842" s="115" t="s">
        <v>271</v>
      </c>
    </row>
    <row r="843" spans="1:10" x14ac:dyDescent="0.25">
      <c r="A843" s="113">
        <v>840</v>
      </c>
      <c r="B843" s="114" t="s">
        <v>1681</v>
      </c>
      <c r="C843" s="115" t="s">
        <v>1682</v>
      </c>
      <c r="D843" s="115" t="s">
        <v>461</v>
      </c>
      <c r="E843" s="115" t="s">
        <v>1680</v>
      </c>
      <c r="F843" s="116">
        <v>100</v>
      </c>
      <c r="G843" s="116">
        <v>100.0719</v>
      </c>
      <c r="H843" s="116">
        <v>0.35</v>
      </c>
      <c r="I843" s="113">
        <v>286</v>
      </c>
      <c r="J843" s="115" t="s">
        <v>271</v>
      </c>
    </row>
    <row r="844" spans="1:10" x14ac:dyDescent="0.25">
      <c r="A844" s="113">
        <v>841</v>
      </c>
      <c r="B844" s="114" t="s">
        <v>1683</v>
      </c>
      <c r="C844" s="115" t="s">
        <v>1684</v>
      </c>
      <c r="D844" s="115" t="s">
        <v>461</v>
      </c>
      <c r="E844" s="115" t="s">
        <v>1680</v>
      </c>
      <c r="F844" s="116">
        <v>95.507959648662379</v>
      </c>
      <c r="G844" s="116">
        <v>100.06795964866238</v>
      </c>
      <c r="H844" s="116">
        <v>19.32</v>
      </c>
      <c r="I844" s="113">
        <v>208</v>
      </c>
      <c r="J844" s="115" t="s">
        <v>271</v>
      </c>
    </row>
    <row r="845" spans="1:10" x14ac:dyDescent="0.25">
      <c r="A845" s="113">
        <v>842</v>
      </c>
      <c r="B845" s="114" t="s">
        <v>1685</v>
      </c>
      <c r="C845" s="115" t="s">
        <v>1686</v>
      </c>
      <c r="D845" s="115" t="s">
        <v>461</v>
      </c>
      <c r="E845" s="115" t="s">
        <v>1680</v>
      </c>
      <c r="F845" s="116">
        <v>100</v>
      </c>
      <c r="G845" s="116">
        <v>100.0009</v>
      </c>
      <c r="H845" s="116">
        <v>0.02</v>
      </c>
      <c r="I845" s="113">
        <v>3099</v>
      </c>
      <c r="J845" s="115" t="s">
        <v>271</v>
      </c>
    </row>
    <row r="846" spans="1:10" x14ac:dyDescent="0.25">
      <c r="A846" s="113">
        <v>843</v>
      </c>
      <c r="B846" s="114" t="s">
        <v>1687</v>
      </c>
      <c r="C846" s="115" t="s">
        <v>1688</v>
      </c>
      <c r="D846" s="115" t="s">
        <v>461</v>
      </c>
      <c r="E846" s="115" t="s">
        <v>1680</v>
      </c>
      <c r="F846" s="116">
        <v>100</v>
      </c>
      <c r="G846" s="116">
        <v>100.94889999999999</v>
      </c>
      <c r="H846" s="116">
        <v>6.08</v>
      </c>
      <c r="I846" s="113">
        <v>1714</v>
      </c>
      <c r="J846" s="115" t="s">
        <v>271</v>
      </c>
    </row>
    <row r="847" spans="1:10" x14ac:dyDescent="0.25">
      <c r="A847" s="113">
        <v>844</v>
      </c>
      <c r="B847" s="114" t="s">
        <v>1689</v>
      </c>
      <c r="C847" s="115" t="s">
        <v>1690</v>
      </c>
      <c r="D847" s="115" t="s">
        <v>461</v>
      </c>
      <c r="E847" s="115" t="s">
        <v>1680</v>
      </c>
      <c r="F847" s="116">
        <v>100</v>
      </c>
      <c r="G847" s="116">
        <v>105.7983</v>
      </c>
      <c r="H847" s="116">
        <v>7.08</v>
      </c>
      <c r="I847" s="113">
        <v>2196</v>
      </c>
      <c r="J847" s="115" t="s">
        <v>271</v>
      </c>
    </row>
    <row r="848" spans="1:10" x14ac:dyDescent="0.25">
      <c r="A848" s="113">
        <v>845</v>
      </c>
      <c r="B848" s="114" t="s">
        <v>1691</v>
      </c>
      <c r="C848" s="115" t="s">
        <v>1692</v>
      </c>
      <c r="D848" s="115" t="s">
        <v>461</v>
      </c>
      <c r="E848" s="115" t="s">
        <v>1680</v>
      </c>
      <c r="F848" s="116">
        <v>100</v>
      </c>
      <c r="G848" s="116">
        <v>100.1186</v>
      </c>
      <c r="H848" s="116">
        <v>6.09</v>
      </c>
      <c r="I848" s="113">
        <v>2123</v>
      </c>
      <c r="J848" s="115" t="s">
        <v>271</v>
      </c>
    </row>
    <row r="849" spans="1:10" x14ac:dyDescent="0.25">
      <c r="A849" s="113">
        <v>846</v>
      </c>
      <c r="B849" s="114" t="s">
        <v>1693</v>
      </c>
      <c r="C849" s="115" t="s">
        <v>1694</v>
      </c>
      <c r="D849" s="115" t="s">
        <v>461</v>
      </c>
      <c r="E849" s="115" t="s">
        <v>1680</v>
      </c>
      <c r="F849" s="116">
        <v>100</v>
      </c>
      <c r="G849" s="116">
        <v>105.0664</v>
      </c>
      <c r="H849" s="116">
        <v>6.08</v>
      </c>
      <c r="I849" s="113">
        <v>2551</v>
      </c>
      <c r="J849" s="115" t="s">
        <v>271</v>
      </c>
    </row>
    <row r="850" spans="1:10" x14ac:dyDescent="0.25">
      <c r="A850" s="113">
        <v>847</v>
      </c>
      <c r="B850" s="114" t="s">
        <v>1695</v>
      </c>
      <c r="C850" s="115" t="s">
        <v>1696</v>
      </c>
      <c r="D850" s="115" t="s">
        <v>461</v>
      </c>
      <c r="E850" s="115" t="s">
        <v>1680</v>
      </c>
      <c r="F850" s="116">
        <v>100</v>
      </c>
      <c r="G850" s="116">
        <v>105.0664</v>
      </c>
      <c r="H850" s="116">
        <v>6.08</v>
      </c>
      <c r="I850" s="113">
        <v>2551</v>
      </c>
      <c r="J850" s="115" t="s">
        <v>271</v>
      </c>
    </row>
    <row r="851" spans="1:10" x14ac:dyDescent="0.25">
      <c r="A851" s="113">
        <v>848</v>
      </c>
      <c r="B851" s="114" t="s">
        <v>1697</v>
      </c>
      <c r="C851" s="115" t="s">
        <v>1698</v>
      </c>
      <c r="D851" s="115" t="s">
        <v>461</v>
      </c>
      <c r="E851" s="115" t="s">
        <v>1680</v>
      </c>
      <c r="F851" s="116">
        <v>100</v>
      </c>
      <c r="G851" s="116">
        <v>103.9311</v>
      </c>
      <c r="H851" s="116">
        <v>6.08</v>
      </c>
      <c r="I851" s="113">
        <v>2618</v>
      </c>
      <c r="J851" s="115" t="s">
        <v>271</v>
      </c>
    </row>
    <row r="852" spans="1:10" x14ac:dyDescent="0.25">
      <c r="A852" s="113">
        <v>849</v>
      </c>
      <c r="B852" s="114" t="s">
        <v>1699</v>
      </c>
      <c r="C852" s="115" t="s">
        <v>1700</v>
      </c>
      <c r="D852" s="115" t="s">
        <v>451</v>
      </c>
      <c r="E852" s="115" t="s">
        <v>1701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240</v>
      </c>
    </row>
    <row r="853" spans="1:10" x14ac:dyDescent="0.25">
      <c r="A853" s="113">
        <v>850</v>
      </c>
      <c r="B853" s="114" t="s">
        <v>1702</v>
      </c>
      <c r="C853" s="115" t="s">
        <v>1703</v>
      </c>
      <c r="D853" s="115" t="s">
        <v>451</v>
      </c>
      <c r="E853" s="115" t="s">
        <v>1704</v>
      </c>
      <c r="F853" s="116">
        <v>0.01</v>
      </c>
      <c r="G853" s="116">
        <v>0.01</v>
      </c>
      <c r="H853" s="116">
        <v>0</v>
      </c>
      <c r="I853" s="113">
        <v>0</v>
      </c>
      <c r="J853" s="115" t="s">
        <v>240</v>
      </c>
    </row>
    <row r="854" spans="1:10" x14ac:dyDescent="0.25">
      <c r="A854" s="113">
        <v>851</v>
      </c>
      <c r="B854" s="114" t="s">
        <v>1705</v>
      </c>
      <c r="C854" s="115" t="s">
        <v>1706</v>
      </c>
      <c r="D854" s="115" t="s">
        <v>461</v>
      </c>
      <c r="E854" s="115" t="s">
        <v>1707</v>
      </c>
      <c r="F854" s="116">
        <v>91.761970587142045</v>
      </c>
      <c r="G854" s="116">
        <v>92.869570587142036</v>
      </c>
      <c r="H854" s="116">
        <v>20.7</v>
      </c>
      <c r="I854" s="113">
        <v>511</v>
      </c>
      <c r="J854" s="115" t="s">
        <v>271</v>
      </c>
    </row>
    <row r="855" spans="1:10" x14ac:dyDescent="0.25">
      <c r="A855" s="113">
        <v>852</v>
      </c>
      <c r="B855" s="114" t="s">
        <v>1708</v>
      </c>
      <c r="C855" s="115" t="s">
        <v>1709</v>
      </c>
      <c r="D855" s="115" t="s">
        <v>461</v>
      </c>
      <c r="E855" s="115" t="s">
        <v>1710</v>
      </c>
      <c r="F855" s="116">
        <v>100</v>
      </c>
      <c r="G855" s="116">
        <v>100.1206</v>
      </c>
      <c r="H855" s="116">
        <v>0.35</v>
      </c>
      <c r="I855" s="113">
        <v>56</v>
      </c>
      <c r="J855" s="115" t="s">
        <v>271</v>
      </c>
    </row>
    <row r="856" spans="1:10" x14ac:dyDescent="0.25">
      <c r="A856" s="113">
        <v>853</v>
      </c>
      <c r="B856" s="114" t="s">
        <v>1711</v>
      </c>
      <c r="C856" s="115" t="s">
        <v>1712</v>
      </c>
      <c r="D856" s="115" t="s">
        <v>461</v>
      </c>
      <c r="E856" s="115" t="s">
        <v>1710</v>
      </c>
      <c r="F856" s="116">
        <v>100</v>
      </c>
      <c r="G856" s="116">
        <v>100.0797</v>
      </c>
      <c r="H856" s="116">
        <v>0.35</v>
      </c>
      <c r="I856" s="113">
        <v>98</v>
      </c>
      <c r="J856" s="115" t="s">
        <v>271</v>
      </c>
    </row>
    <row r="857" spans="1:10" x14ac:dyDescent="0.25">
      <c r="A857" s="113">
        <v>854</v>
      </c>
      <c r="B857" s="114" t="s">
        <v>1713</v>
      </c>
      <c r="C857" s="115" t="s">
        <v>1714</v>
      </c>
      <c r="D857" s="115" t="s">
        <v>461</v>
      </c>
      <c r="E857" s="115" t="s">
        <v>1710</v>
      </c>
      <c r="F857" s="116">
        <v>100</v>
      </c>
      <c r="G857" s="116">
        <v>100.0719</v>
      </c>
      <c r="H857" s="116">
        <v>0.35</v>
      </c>
      <c r="I857" s="113">
        <v>286</v>
      </c>
      <c r="J857" s="115" t="s">
        <v>271</v>
      </c>
    </row>
    <row r="858" spans="1:10" x14ac:dyDescent="0.25">
      <c r="A858" s="113">
        <v>855</v>
      </c>
      <c r="B858" s="114" t="s">
        <v>1715</v>
      </c>
      <c r="C858" s="115" t="s">
        <v>1716</v>
      </c>
      <c r="D858" s="115" t="s">
        <v>461</v>
      </c>
      <c r="E858" s="115" t="s">
        <v>1710</v>
      </c>
      <c r="F858" s="116">
        <v>100</v>
      </c>
      <c r="G858" s="116">
        <v>100.0162</v>
      </c>
      <c r="H858" s="116">
        <v>0.02</v>
      </c>
      <c r="I858" s="113">
        <v>3099</v>
      </c>
      <c r="J858" s="115" t="s">
        <v>271</v>
      </c>
    </row>
    <row r="859" spans="1:10" x14ac:dyDescent="0.25">
      <c r="A859" s="113">
        <v>856</v>
      </c>
      <c r="B859" s="114" t="s">
        <v>1717</v>
      </c>
      <c r="C859" s="115" t="s">
        <v>1718</v>
      </c>
      <c r="D859" s="115" t="s">
        <v>461</v>
      </c>
      <c r="E859" s="115" t="s">
        <v>1710</v>
      </c>
      <c r="F859" s="116">
        <v>100</v>
      </c>
      <c r="G859" s="116">
        <v>100.94889999999999</v>
      </c>
      <c r="H859" s="116">
        <v>6.08</v>
      </c>
      <c r="I859" s="113">
        <v>1714</v>
      </c>
      <c r="J859" s="115" t="s">
        <v>271</v>
      </c>
    </row>
    <row r="860" spans="1:10" x14ac:dyDescent="0.25">
      <c r="A860" s="113">
        <v>857</v>
      </c>
      <c r="B860" s="114" t="s">
        <v>1719</v>
      </c>
      <c r="C860" s="115" t="s">
        <v>1720</v>
      </c>
      <c r="D860" s="115" t="s">
        <v>461</v>
      </c>
      <c r="E860" s="115" t="s">
        <v>1710</v>
      </c>
      <c r="F860" s="116">
        <v>100</v>
      </c>
      <c r="G860" s="116">
        <v>105.7983</v>
      </c>
      <c r="H860" s="116">
        <v>7.08</v>
      </c>
      <c r="I860" s="113">
        <v>2196</v>
      </c>
      <c r="J860" s="115" t="s">
        <v>271</v>
      </c>
    </row>
    <row r="861" spans="1:10" x14ac:dyDescent="0.25">
      <c r="A861" s="113">
        <v>858</v>
      </c>
      <c r="B861" s="114" t="s">
        <v>2335</v>
      </c>
      <c r="C861" s="115" t="s">
        <v>2336</v>
      </c>
      <c r="D861" s="115" t="s">
        <v>461</v>
      </c>
      <c r="E861" s="115" t="s">
        <v>1710</v>
      </c>
      <c r="F861" s="116">
        <v>90.418102095566198</v>
      </c>
      <c r="G861" s="116">
        <v>92.0864020955662</v>
      </c>
      <c r="H861" s="116">
        <v>20.5</v>
      </c>
      <c r="I861" s="113">
        <v>3567</v>
      </c>
      <c r="J861" s="115" t="s">
        <v>271</v>
      </c>
    </row>
    <row r="862" spans="1:10" x14ac:dyDescent="0.25">
      <c r="A862" s="113">
        <v>859</v>
      </c>
      <c r="B862" s="114" t="s">
        <v>2406</v>
      </c>
      <c r="C862" s="115" t="s">
        <v>2407</v>
      </c>
      <c r="D862" s="115" t="s">
        <v>461</v>
      </c>
      <c r="E862" s="115" t="s">
        <v>1710</v>
      </c>
      <c r="F862" s="116">
        <v>90.416042251905154</v>
      </c>
      <c r="G862" s="116">
        <v>91.477742251905156</v>
      </c>
      <c r="H862" s="116">
        <v>20.51</v>
      </c>
      <c r="I862" s="113">
        <v>3579</v>
      </c>
      <c r="J862" s="115" t="s">
        <v>271</v>
      </c>
    </row>
    <row r="863" spans="1:10" x14ac:dyDescent="0.25">
      <c r="A863" s="113">
        <v>860</v>
      </c>
      <c r="B863" s="114" t="s">
        <v>1721</v>
      </c>
      <c r="C863" s="115" t="s">
        <v>1722</v>
      </c>
      <c r="D863" s="115" t="s">
        <v>461</v>
      </c>
      <c r="E863" s="115" t="s">
        <v>1710</v>
      </c>
      <c r="F863" s="116">
        <v>100</v>
      </c>
      <c r="G863" s="116">
        <v>100.1186</v>
      </c>
      <c r="H863" s="116">
        <v>6.09</v>
      </c>
      <c r="I863" s="113">
        <v>2123</v>
      </c>
      <c r="J863" s="115" t="s">
        <v>271</v>
      </c>
    </row>
    <row r="864" spans="1:10" x14ac:dyDescent="0.25">
      <c r="A864" s="113">
        <v>861</v>
      </c>
      <c r="B864" s="114" t="s">
        <v>1723</v>
      </c>
      <c r="C864" s="115" t="s">
        <v>1724</v>
      </c>
      <c r="D864" s="115" t="s">
        <v>461</v>
      </c>
      <c r="E864" s="115" t="s">
        <v>1710</v>
      </c>
      <c r="F864" s="116">
        <v>100</v>
      </c>
      <c r="G864" s="116">
        <v>105.0664</v>
      </c>
      <c r="H864" s="116">
        <v>6.08</v>
      </c>
      <c r="I864" s="113">
        <v>2551</v>
      </c>
      <c r="J864" s="115" t="s">
        <v>271</v>
      </c>
    </row>
    <row r="865" spans="1:10" x14ac:dyDescent="0.25">
      <c r="A865" s="113">
        <v>862</v>
      </c>
      <c r="B865" s="114" t="s">
        <v>1725</v>
      </c>
      <c r="C865" s="115" t="s">
        <v>1726</v>
      </c>
      <c r="D865" s="115" t="s">
        <v>461</v>
      </c>
      <c r="E865" s="115" t="s">
        <v>1710</v>
      </c>
      <c r="F865" s="116">
        <v>100</v>
      </c>
      <c r="G865" s="116">
        <v>105.0664</v>
      </c>
      <c r="H865" s="116">
        <v>6.08</v>
      </c>
      <c r="I865" s="113">
        <v>2551</v>
      </c>
      <c r="J865" s="115" t="s">
        <v>271</v>
      </c>
    </row>
    <row r="866" spans="1:10" x14ac:dyDescent="0.25">
      <c r="A866" s="113">
        <v>863</v>
      </c>
      <c r="B866" s="114" t="s">
        <v>1727</v>
      </c>
      <c r="C866" s="115" t="s">
        <v>1728</v>
      </c>
      <c r="D866" s="115" t="s">
        <v>461</v>
      </c>
      <c r="E866" s="115" t="s">
        <v>1710</v>
      </c>
      <c r="F866" s="116">
        <v>100</v>
      </c>
      <c r="G866" s="116">
        <v>103.9311</v>
      </c>
      <c r="H866" s="116">
        <v>6.08</v>
      </c>
      <c r="I866" s="113">
        <v>2618</v>
      </c>
      <c r="J866" s="115" t="s">
        <v>271</v>
      </c>
    </row>
    <row r="867" spans="1:10" x14ac:dyDescent="0.25">
      <c r="A867" s="113">
        <v>864</v>
      </c>
      <c r="B867" s="114" t="s">
        <v>428</v>
      </c>
      <c r="C867" s="115" t="s">
        <v>429</v>
      </c>
      <c r="D867" s="115" t="s">
        <v>461</v>
      </c>
      <c r="E867" s="115" t="s">
        <v>435</v>
      </c>
      <c r="F867" s="116">
        <v>90.326552357032554</v>
      </c>
      <c r="G867" s="116">
        <v>90.85155235703256</v>
      </c>
      <c r="H867" s="116">
        <v>16.489999999999998</v>
      </c>
      <c r="I867" s="113">
        <v>702</v>
      </c>
      <c r="J867" s="115" t="s">
        <v>271</v>
      </c>
    </row>
    <row r="868" spans="1:10" x14ac:dyDescent="0.25">
      <c r="A868" s="113">
        <v>865</v>
      </c>
      <c r="B868" s="114" t="s">
        <v>430</v>
      </c>
      <c r="C868" s="115" t="s">
        <v>431</v>
      </c>
      <c r="D868" s="115" t="s">
        <v>461</v>
      </c>
      <c r="E868" s="115" t="s">
        <v>435</v>
      </c>
      <c r="F868" s="116">
        <v>96.516000000000005</v>
      </c>
      <c r="G868" s="116">
        <v>97.143799999999999</v>
      </c>
      <c r="H868" s="116">
        <v>5.0599999999999996</v>
      </c>
      <c r="I868" s="113">
        <v>427</v>
      </c>
      <c r="J868" s="115" t="s">
        <v>271</v>
      </c>
    </row>
    <row r="869" spans="1:10" x14ac:dyDescent="0.25">
      <c r="A869" s="113">
        <v>866</v>
      </c>
      <c r="B869" s="114" t="s">
        <v>1729</v>
      </c>
      <c r="C869" s="115" t="s">
        <v>1730</v>
      </c>
      <c r="D869" s="115" t="s">
        <v>451</v>
      </c>
      <c r="E869" s="115" t="s">
        <v>1731</v>
      </c>
      <c r="F869" s="116">
        <v>0.01</v>
      </c>
      <c r="G869" s="116">
        <v>0.01</v>
      </c>
      <c r="H869" s="116">
        <v>0</v>
      </c>
      <c r="I869" s="113">
        <v>0</v>
      </c>
      <c r="J869" s="115" t="s">
        <v>240</v>
      </c>
    </row>
    <row r="870" spans="1:10" x14ac:dyDescent="0.25">
      <c r="A870" s="113">
        <v>867</v>
      </c>
      <c r="B870" s="114" t="s">
        <v>1732</v>
      </c>
      <c r="C870" s="115" t="s">
        <v>1733</v>
      </c>
      <c r="D870" s="115" t="s">
        <v>461</v>
      </c>
      <c r="E870" s="115" t="s">
        <v>1734</v>
      </c>
      <c r="F870" s="116">
        <v>98.769339474406792</v>
      </c>
      <c r="G870" s="116">
        <v>101.28933947440679</v>
      </c>
      <c r="H870" s="116">
        <v>15.74</v>
      </c>
      <c r="I870" s="113">
        <v>99</v>
      </c>
      <c r="J870" s="115" t="s">
        <v>271</v>
      </c>
    </row>
    <row r="871" spans="1:10" x14ac:dyDescent="0.25">
      <c r="A871" s="113">
        <v>868</v>
      </c>
      <c r="B871" s="114" t="s">
        <v>1735</v>
      </c>
      <c r="C871" s="115" t="s">
        <v>1736</v>
      </c>
      <c r="D871" s="115" t="s">
        <v>461</v>
      </c>
      <c r="E871" s="115" t="s">
        <v>1737</v>
      </c>
      <c r="F871" s="116">
        <v>95.091271293247601</v>
      </c>
      <c r="G871" s="116">
        <v>95.170471293247601</v>
      </c>
      <c r="H871" s="116">
        <v>30.09</v>
      </c>
      <c r="I871" s="113">
        <v>3239</v>
      </c>
      <c r="J871" s="115" t="s">
        <v>271</v>
      </c>
    </row>
    <row r="872" spans="1:10" x14ac:dyDescent="0.25">
      <c r="A872" s="113">
        <v>869</v>
      </c>
      <c r="B872" s="114" t="s">
        <v>2099</v>
      </c>
      <c r="C872" s="115" t="s">
        <v>1882</v>
      </c>
      <c r="D872" s="115" t="s">
        <v>761</v>
      </c>
      <c r="E872" s="115" t="s">
        <v>1883</v>
      </c>
      <c r="F872" s="116">
        <v>342006.73499999999</v>
      </c>
      <c r="G872" s="116">
        <v>342006.73499999999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1738</v>
      </c>
      <c r="C873" s="115" t="s">
        <v>1739</v>
      </c>
      <c r="D873" s="115" t="s">
        <v>451</v>
      </c>
      <c r="E873" s="115" t="s">
        <v>1740</v>
      </c>
      <c r="F873" s="116">
        <v>0.01</v>
      </c>
      <c r="G873" s="116">
        <v>0.01</v>
      </c>
      <c r="H873" s="116">
        <v>0</v>
      </c>
      <c r="I873" s="113">
        <v>0</v>
      </c>
      <c r="J873" s="115" t="s">
        <v>240</v>
      </c>
    </row>
    <row r="874" spans="1:10" x14ac:dyDescent="0.25">
      <c r="A874" s="113">
        <v>871</v>
      </c>
      <c r="B874" s="114" t="s">
        <v>2222</v>
      </c>
      <c r="C874" s="115" t="s">
        <v>2223</v>
      </c>
      <c r="D874" s="115" t="s">
        <v>461</v>
      </c>
      <c r="E874" s="115" t="s">
        <v>2224</v>
      </c>
      <c r="F874" s="116">
        <v>100.08244136983539</v>
      </c>
      <c r="G874" s="116">
        <v>104.9241413698354</v>
      </c>
      <c r="H874" s="116">
        <v>20.96</v>
      </c>
      <c r="I874" s="113">
        <v>997</v>
      </c>
      <c r="J874" s="115" t="s">
        <v>271</v>
      </c>
    </row>
    <row r="875" spans="1:10" x14ac:dyDescent="0.25">
      <c r="A875" s="113">
        <v>872</v>
      </c>
      <c r="B875" s="114" t="s">
        <v>1744</v>
      </c>
      <c r="C875" s="115" t="s">
        <v>1745</v>
      </c>
      <c r="D875" s="115" t="s">
        <v>461</v>
      </c>
      <c r="E875" s="115" t="s">
        <v>432</v>
      </c>
      <c r="F875" s="116">
        <v>100</v>
      </c>
      <c r="G875" s="116">
        <v>101.30970000000001</v>
      </c>
      <c r="H875" s="116">
        <v>11.49</v>
      </c>
      <c r="I875" s="113">
        <v>2299</v>
      </c>
      <c r="J875" s="115" t="s">
        <v>271</v>
      </c>
    </row>
    <row r="876" spans="1:10" x14ac:dyDescent="0.25">
      <c r="A876" s="113">
        <v>873</v>
      </c>
      <c r="B876" s="114" t="s">
        <v>433</v>
      </c>
      <c r="C876" s="115" t="s">
        <v>434</v>
      </c>
      <c r="D876" s="115" t="s">
        <v>461</v>
      </c>
      <c r="E876" s="115" t="s">
        <v>432</v>
      </c>
      <c r="F876" s="116">
        <v>100</v>
      </c>
      <c r="G876" s="116">
        <v>103.3222</v>
      </c>
      <c r="H876" s="116">
        <v>12.98</v>
      </c>
      <c r="I876" s="113">
        <v>1168</v>
      </c>
      <c r="J876" s="115" t="s">
        <v>271</v>
      </c>
    </row>
    <row r="877" spans="1:10" x14ac:dyDescent="0.25">
      <c r="A877" s="113">
        <v>874</v>
      </c>
      <c r="B877" s="114" t="s">
        <v>1746</v>
      </c>
      <c r="C877" s="115" t="s">
        <v>1747</v>
      </c>
      <c r="D877" s="115" t="s">
        <v>461</v>
      </c>
      <c r="E877" s="115" t="s">
        <v>639</v>
      </c>
      <c r="F877" s="116">
        <v>100</v>
      </c>
      <c r="G877" s="116">
        <v>101.8222</v>
      </c>
      <c r="H877" s="116">
        <v>7.98</v>
      </c>
      <c r="I877" s="113">
        <v>458</v>
      </c>
      <c r="J877" s="115" t="s">
        <v>271</v>
      </c>
    </row>
    <row r="878" spans="1:10" x14ac:dyDescent="0.25">
      <c r="A878" s="113">
        <v>875</v>
      </c>
      <c r="B878" s="114" t="s">
        <v>1748</v>
      </c>
      <c r="C878" s="115" t="s">
        <v>1749</v>
      </c>
      <c r="D878" s="115" t="s">
        <v>461</v>
      </c>
      <c r="E878" s="115" t="s">
        <v>639</v>
      </c>
      <c r="F878" s="116">
        <v>100</v>
      </c>
      <c r="G878" s="116">
        <v>101.8222</v>
      </c>
      <c r="H878" s="116">
        <v>8</v>
      </c>
      <c r="I878" s="113">
        <v>2258</v>
      </c>
      <c r="J878" s="115" t="s">
        <v>271</v>
      </c>
    </row>
    <row r="879" spans="1:10" x14ac:dyDescent="0.25">
      <c r="A879" s="113">
        <v>876</v>
      </c>
      <c r="B879" s="114" t="s">
        <v>1750</v>
      </c>
      <c r="C879" s="115" t="s">
        <v>1751</v>
      </c>
      <c r="D879" s="115" t="s">
        <v>461</v>
      </c>
      <c r="E879" s="115" t="s">
        <v>639</v>
      </c>
      <c r="F879" s="116">
        <v>100</v>
      </c>
      <c r="G879" s="116">
        <v>102.8222</v>
      </c>
      <c r="H879" s="116">
        <v>7.97</v>
      </c>
      <c r="I879" s="113">
        <v>233</v>
      </c>
      <c r="J879" s="115" t="s">
        <v>271</v>
      </c>
    </row>
    <row r="880" spans="1:10" x14ac:dyDescent="0.25">
      <c r="A880" s="113">
        <v>877</v>
      </c>
      <c r="B880" s="114" t="s">
        <v>1752</v>
      </c>
      <c r="C880" s="115" t="s">
        <v>1753</v>
      </c>
      <c r="D880" s="115" t="s">
        <v>461</v>
      </c>
      <c r="E880" s="115" t="s">
        <v>639</v>
      </c>
      <c r="F880" s="116">
        <v>100</v>
      </c>
      <c r="G880" s="116">
        <v>102.8222</v>
      </c>
      <c r="H880" s="116">
        <v>7.97</v>
      </c>
      <c r="I880" s="113">
        <v>233</v>
      </c>
      <c r="J880" s="115" t="s">
        <v>271</v>
      </c>
    </row>
    <row r="881" spans="1:10" x14ac:dyDescent="0.25">
      <c r="A881" s="113">
        <v>878</v>
      </c>
      <c r="B881" s="114" t="s">
        <v>1754</v>
      </c>
      <c r="C881" s="115" t="s">
        <v>1755</v>
      </c>
      <c r="D881" s="115" t="s">
        <v>461</v>
      </c>
      <c r="E881" s="115" t="s">
        <v>639</v>
      </c>
      <c r="F881" s="116">
        <v>100</v>
      </c>
      <c r="G881" s="116">
        <v>102.8222</v>
      </c>
      <c r="H881" s="116">
        <v>7.99</v>
      </c>
      <c r="I881" s="113">
        <v>593</v>
      </c>
      <c r="J881" s="115" t="s">
        <v>271</v>
      </c>
    </row>
    <row r="882" spans="1:10" x14ac:dyDescent="0.25">
      <c r="A882" s="113">
        <v>879</v>
      </c>
      <c r="B882" s="114" t="s">
        <v>1756</v>
      </c>
      <c r="C882" s="115" t="s">
        <v>1757</v>
      </c>
      <c r="D882" s="115" t="s">
        <v>461</v>
      </c>
      <c r="E882" s="115" t="s">
        <v>639</v>
      </c>
      <c r="F882" s="116">
        <v>100</v>
      </c>
      <c r="G882" s="116">
        <v>102.8222</v>
      </c>
      <c r="H882" s="116">
        <v>7.99</v>
      </c>
      <c r="I882" s="113">
        <v>593</v>
      </c>
      <c r="J882" s="115" t="s">
        <v>271</v>
      </c>
    </row>
    <row r="883" spans="1:10" x14ac:dyDescent="0.25">
      <c r="A883" s="113">
        <v>880</v>
      </c>
      <c r="B883" s="114" t="s">
        <v>1758</v>
      </c>
      <c r="C883" s="115" t="s">
        <v>1759</v>
      </c>
      <c r="D883" s="115" t="s">
        <v>461</v>
      </c>
      <c r="E883" s="115" t="s">
        <v>1760</v>
      </c>
      <c r="F883" s="116">
        <v>90.543334721855416</v>
      </c>
      <c r="G883" s="116">
        <v>90.65303472185542</v>
      </c>
      <c r="H883" s="116">
        <v>23.53</v>
      </c>
      <c r="I883" s="113">
        <v>1438</v>
      </c>
      <c r="J883" s="115" t="s">
        <v>271</v>
      </c>
    </row>
    <row r="884" spans="1:10" x14ac:dyDescent="0.25">
      <c r="A884" s="113">
        <v>881</v>
      </c>
      <c r="B884" s="114" t="s">
        <v>1761</v>
      </c>
      <c r="C884" s="115" t="s">
        <v>1762</v>
      </c>
      <c r="D884" s="115" t="s">
        <v>461</v>
      </c>
      <c r="E884" s="115" t="s">
        <v>1763</v>
      </c>
      <c r="F884" s="116">
        <v>100</v>
      </c>
      <c r="G884" s="116">
        <v>100.2243</v>
      </c>
      <c r="H884" s="116">
        <v>4.24</v>
      </c>
      <c r="I884" s="113">
        <v>281</v>
      </c>
      <c r="J884" s="115" t="s">
        <v>271</v>
      </c>
    </row>
    <row r="885" spans="1:10" x14ac:dyDescent="0.25">
      <c r="A885" s="113">
        <v>882</v>
      </c>
      <c r="B885" s="114" t="s">
        <v>1764</v>
      </c>
      <c r="C885" s="115" t="s">
        <v>1765</v>
      </c>
      <c r="D885" s="115" t="s">
        <v>461</v>
      </c>
      <c r="E885" s="115" t="s">
        <v>1763</v>
      </c>
      <c r="F885" s="116">
        <v>100</v>
      </c>
      <c r="G885" s="116">
        <v>100.0865</v>
      </c>
      <c r="H885" s="116">
        <v>0.35</v>
      </c>
      <c r="I885" s="113">
        <v>91</v>
      </c>
      <c r="J885" s="115" t="s">
        <v>271</v>
      </c>
    </row>
    <row r="886" spans="1:10" x14ac:dyDescent="0.25">
      <c r="A886" s="113">
        <v>883</v>
      </c>
      <c r="B886" s="114" t="s">
        <v>1766</v>
      </c>
      <c r="C886" s="115" t="s">
        <v>1767</v>
      </c>
      <c r="D886" s="115" t="s">
        <v>461</v>
      </c>
      <c r="E886" s="115" t="s">
        <v>1763</v>
      </c>
      <c r="F886" s="116">
        <v>100</v>
      </c>
      <c r="G886" s="116">
        <v>100.0719</v>
      </c>
      <c r="H886" s="116">
        <v>0.35</v>
      </c>
      <c r="I886" s="113">
        <v>286</v>
      </c>
      <c r="J886" s="115" t="s">
        <v>271</v>
      </c>
    </row>
    <row r="887" spans="1:10" x14ac:dyDescent="0.25">
      <c r="A887" s="113">
        <v>884</v>
      </c>
      <c r="B887" s="114" t="s">
        <v>2182</v>
      </c>
      <c r="C887" s="115" t="s">
        <v>2183</v>
      </c>
      <c r="D887" s="115" t="s">
        <v>461</v>
      </c>
      <c r="E887" s="115" t="s">
        <v>1763</v>
      </c>
      <c r="F887" s="116">
        <v>100</v>
      </c>
      <c r="G887" s="116">
        <v>100.0943</v>
      </c>
      <c r="H887" s="116">
        <v>0.35</v>
      </c>
      <c r="I887" s="113">
        <v>623</v>
      </c>
      <c r="J887" s="115" t="s">
        <v>271</v>
      </c>
    </row>
    <row r="888" spans="1:10" x14ac:dyDescent="0.25">
      <c r="A888" s="113">
        <v>885</v>
      </c>
      <c r="B888" s="114" t="s">
        <v>1995</v>
      </c>
      <c r="C888" s="115" t="s">
        <v>1996</v>
      </c>
      <c r="D888" s="115" t="s">
        <v>461</v>
      </c>
      <c r="E888" s="115" t="s">
        <v>1763</v>
      </c>
      <c r="F888" s="116">
        <v>100</v>
      </c>
      <c r="G888" s="116">
        <v>100.0136</v>
      </c>
      <c r="H888" s="116">
        <v>0.02</v>
      </c>
      <c r="I888" s="113">
        <v>3099</v>
      </c>
      <c r="J888" s="115" t="s">
        <v>271</v>
      </c>
    </row>
    <row r="889" spans="1:10" x14ac:dyDescent="0.25">
      <c r="A889" s="113">
        <v>886</v>
      </c>
      <c r="B889" s="114" t="s">
        <v>1768</v>
      </c>
      <c r="C889" s="115" t="s">
        <v>1769</v>
      </c>
      <c r="D889" s="115" t="s">
        <v>461</v>
      </c>
      <c r="E889" s="115" t="s">
        <v>1763</v>
      </c>
      <c r="F889" s="116">
        <v>100</v>
      </c>
      <c r="G889" s="116">
        <v>104.6742</v>
      </c>
      <c r="H889" s="116">
        <v>7.05</v>
      </c>
      <c r="I889" s="113">
        <v>2196</v>
      </c>
      <c r="J889" s="115" t="s">
        <v>271</v>
      </c>
    </row>
    <row r="890" spans="1:10" x14ac:dyDescent="0.25">
      <c r="A890" s="113">
        <v>887</v>
      </c>
      <c r="B890" s="114" t="s">
        <v>1770</v>
      </c>
      <c r="C890" s="115" t="s">
        <v>1771</v>
      </c>
      <c r="D890" s="115" t="s">
        <v>461</v>
      </c>
      <c r="E890" s="115" t="s">
        <v>1763</v>
      </c>
      <c r="F890" s="116">
        <v>100</v>
      </c>
      <c r="G890" s="116">
        <v>100.0034</v>
      </c>
      <c r="H890" s="116">
        <v>0.02</v>
      </c>
      <c r="I890" s="113">
        <v>3099</v>
      </c>
      <c r="J890" s="115" t="s">
        <v>271</v>
      </c>
    </row>
    <row r="891" spans="1:10" x14ac:dyDescent="0.25">
      <c r="A891" s="113">
        <v>888</v>
      </c>
      <c r="B891" s="114" t="s">
        <v>1772</v>
      </c>
      <c r="C891" s="115" t="s">
        <v>1773</v>
      </c>
      <c r="D891" s="115" t="s">
        <v>461</v>
      </c>
      <c r="E891" s="115" t="s">
        <v>1763</v>
      </c>
      <c r="F891" s="116">
        <v>100</v>
      </c>
      <c r="G891" s="116">
        <v>100.0039</v>
      </c>
      <c r="H891" s="116">
        <v>0.02</v>
      </c>
      <c r="I891" s="113">
        <v>3099</v>
      </c>
      <c r="J891" s="115" t="s">
        <v>271</v>
      </c>
    </row>
    <row r="892" spans="1:10" x14ac:dyDescent="0.25">
      <c r="A892" s="113">
        <v>889</v>
      </c>
      <c r="B892" s="114" t="s">
        <v>1774</v>
      </c>
      <c r="C892" s="115" t="s">
        <v>1775</v>
      </c>
      <c r="D892" s="115" t="s">
        <v>461</v>
      </c>
      <c r="E892" s="115" t="s">
        <v>1763</v>
      </c>
      <c r="F892" s="116">
        <v>100</v>
      </c>
      <c r="G892" s="116">
        <v>100.94889999999999</v>
      </c>
      <c r="H892" s="116">
        <v>6.08</v>
      </c>
      <c r="I892" s="113">
        <v>1714</v>
      </c>
      <c r="J892" s="115" t="s">
        <v>271</v>
      </c>
    </row>
    <row r="893" spans="1:10" x14ac:dyDescent="0.25">
      <c r="A893" s="113">
        <v>890</v>
      </c>
      <c r="B893" s="114" t="s">
        <v>1776</v>
      </c>
      <c r="C893" s="115" t="s">
        <v>1777</v>
      </c>
      <c r="D893" s="115" t="s">
        <v>461</v>
      </c>
      <c r="E893" s="115" t="s">
        <v>1763</v>
      </c>
      <c r="F893" s="116">
        <v>100</v>
      </c>
      <c r="G893" s="116">
        <v>100.1186</v>
      </c>
      <c r="H893" s="116">
        <v>6.09</v>
      </c>
      <c r="I893" s="113">
        <v>2123</v>
      </c>
      <c r="J893" s="115" t="s">
        <v>271</v>
      </c>
    </row>
    <row r="894" spans="1:10" x14ac:dyDescent="0.25">
      <c r="A894" s="113">
        <v>891</v>
      </c>
      <c r="B894" s="114" t="s">
        <v>1778</v>
      </c>
      <c r="C894" s="115" t="s">
        <v>1779</v>
      </c>
      <c r="D894" s="115" t="s">
        <v>461</v>
      </c>
      <c r="E894" s="115" t="s">
        <v>1763</v>
      </c>
      <c r="F894" s="116">
        <v>100</v>
      </c>
      <c r="G894" s="116">
        <v>102.86360000000001</v>
      </c>
      <c r="H894" s="116">
        <v>6.06</v>
      </c>
      <c r="I894" s="113">
        <v>2621</v>
      </c>
      <c r="J894" s="115" t="s">
        <v>271</v>
      </c>
    </row>
    <row r="895" spans="1:10" x14ac:dyDescent="0.25">
      <c r="A895" s="113">
        <v>892</v>
      </c>
      <c r="B895" s="114" t="s">
        <v>1780</v>
      </c>
      <c r="C895" s="115" t="s">
        <v>1781</v>
      </c>
      <c r="D895" s="115" t="s">
        <v>461</v>
      </c>
      <c r="E895" s="115" t="s">
        <v>1763</v>
      </c>
      <c r="F895" s="116">
        <v>100</v>
      </c>
      <c r="G895" s="116">
        <v>105.0664</v>
      </c>
      <c r="H895" s="116">
        <v>6.08</v>
      </c>
      <c r="I895" s="113">
        <v>2551</v>
      </c>
      <c r="J895" s="115" t="s">
        <v>271</v>
      </c>
    </row>
    <row r="896" spans="1:10" x14ac:dyDescent="0.25">
      <c r="A896" s="113">
        <v>893</v>
      </c>
      <c r="B896" s="114" t="s">
        <v>1782</v>
      </c>
      <c r="C896" s="115" t="s">
        <v>1783</v>
      </c>
      <c r="D896" s="115" t="s">
        <v>461</v>
      </c>
      <c r="E896" s="115" t="s">
        <v>1763</v>
      </c>
      <c r="F896" s="116">
        <v>100</v>
      </c>
      <c r="G896" s="116">
        <v>105.0664</v>
      </c>
      <c r="H896" s="116">
        <v>6.08</v>
      </c>
      <c r="I896" s="113">
        <v>2551</v>
      </c>
      <c r="J896" s="115" t="s">
        <v>271</v>
      </c>
    </row>
    <row r="897" spans="1:10" x14ac:dyDescent="0.25">
      <c r="A897" s="113">
        <v>894</v>
      </c>
      <c r="B897" s="114" t="s">
        <v>1784</v>
      </c>
      <c r="C897" s="115" t="s">
        <v>1785</v>
      </c>
      <c r="D897" s="115" t="s">
        <v>461</v>
      </c>
      <c r="E897" s="115" t="s">
        <v>1763</v>
      </c>
      <c r="F897" s="116">
        <v>100</v>
      </c>
      <c r="G897" s="116">
        <v>103.9311</v>
      </c>
      <c r="H897" s="116">
        <v>6.08</v>
      </c>
      <c r="I897" s="113">
        <v>2618</v>
      </c>
      <c r="J897" s="115" t="s">
        <v>271</v>
      </c>
    </row>
    <row r="898" spans="1:10" x14ac:dyDescent="0.25">
      <c r="A898" s="113">
        <v>895</v>
      </c>
      <c r="B898" s="114" t="s">
        <v>1786</v>
      </c>
      <c r="C898" s="115" t="s">
        <v>1787</v>
      </c>
      <c r="D898" s="115" t="s">
        <v>761</v>
      </c>
      <c r="E898" s="115" t="s">
        <v>1084</v>
      </c>
      <c r="F898" s="116">
        <v>46679.872499999998</v>
      </c>
      <c r="G898" s="116">
        <v>46679.872499999998</v>
      </c>
      <c r="H898" s="116">
        <v>0</v>
      </c>
      <c r="I898" s="113">
        <v>0</v>
      </c>
      <c r="J898" s="115" t="s">
        <v>240</v>
      </c>
    </row>
    <row r="899" spans="1:10" x14ac:dyDescent="0.25">
      <c r="A899" s="113">
        <v>896</v>
      </c>
      <c r="B899" s="114" t="s">
        <v>1788</v>
      </c>
      <c r="C899" s="115" t="s">
        <v>1789</v>
      </c>
      <c r="D899" s="115" t="s">
        <v>461</v>
      </c>
      <c r="E899" s="115" t="s">
        <v>2128</v>
      </c>
      <c r="F899" s="116">
        <v>94.572778911508934</v>
      </c>
      <c r="G899" s="116">
        <v>98.252578911508934</v>
      </c>
      <c r="H899" s="116">
        <v>20.39</v>
      </c>
      <c r="I899" s="113">
        <v>244</v>
      </c>
      <c r="J899" s="115" t="s">
        <v>271</v>
      </c>
    </row>
    <row r="900" spans="1:10" x14ac:dyDescent="0.25">
      <c r="A900" s="113">
        <v>897</v>
      </c>
      <c r="B900" s="114" t="s">
        <v>1790</v>
      </c>
      <c r="C900" s="115" t="s">
        <v>1791</v>
      </c>
      <c r="D900" s="115" t="s">
        <v>461</v>
      </c>
      <c r="E900" s="115" t="s">
        <v>2128</v>
      </c>
      <c r="F900" s="116">
        <v>86.433740025485676</v>
      </c>
      <c r="G900" s="116">
        <v>87.197640025485669</v>
      </c>
      <c r="H900" s="116">
        <v>19.79</v>
      </c>
      <c r="I900" s="113">
        <v>693</v>
      </c>
      <c r="J900" s="115" t="s">
        <v>271</v>
      </c>
    </row>
    <row r="901" spans="1:10" x14ac:dyDescent="0.25">
      <c r="A901" s="113">
        <v>898</v>
      </c>
      <c r="B901" s="114" t="s">
        <v>1792</v>
      </c>
      <c r="C901" s="115" t="s">
        <v>1793</v>
      </c>
      <c r="D901" s="115" t="s">
        <v>461</v>
      </c>
      <c r="E901" s="115" t="s">
        <v>2128</v>
      </c>
      <c r="F901" s="116">
        <v>27.123598374457103</v>
      </c>
      <c r="G901" s="116">
        <v>27.129198374457104</v>
      </c>
      <c r="H901" s="116">
        <v>19.48</v>
      </c>
      <c r="I901" s="113">
        <v>3239</v>
      </c>
      <c r="J901" s="115" t="s">
        <v>271</v>
      </c>
    </row>
    <row r="902" spans="1:10" x14ac:dyDescent="0.25">
      <c r="A902" s="113">
        <v>899</v>
      </c>
      <c r="B902" s="114" t="s">
        <v>1794</v>
      </c>
      <c r="C902" s="115" t="s">
        <v>1795</v>
      </c>
      <c r="D902" s="115" t="s">
        <v>461</v>
      </c>
      <c r="E902" s="115" t="s">
        <v>2128</v>
      </c>
      <c r="F902" s="116">
        <v>66.371810053721049</v>
      </c>
      <c r="G902" s="116">
        <v>70.78011005372106</v>
      </c>
      <c r="H902" s="116">
        <v>19.52</v>
      </c>
      <c r="I902" s="113">
        <v>3282</v>
      </c>
      <c r="J902" s="115" t="s">
        <v>271</v>
      </c>
    </row>
    <row r="903" spans="1:10" x14ac:dyDescent="0.25">
      <c r="A903" s="113">
        <v>900</v>
      </c>
      <c r="B903" s="114" t="s">
        <v>1796</v>
      </c>
      <c r="C903" s="115" t="s">
        <v>1797</v>
      </c>
      <c r="D903" s="115" t="s">
        <v>461</v>
      </c>
      <c r="E903" s="115" t="s">
        <v>2128</v>
      </c>
      <c r="F903" s="116">
        <v>66.472167744042324</v>
      </c>
      <c r="G903" s="116">
        <v>71.551367744042324</v>
      </c>
      <c r="H903" s="116">
        <v>19.53</v>
      </c>
      <c r="I903" s="113">
        <v>3261</v>
      </c>
      <c r="J903" s="115" t="s">
        <v>271</v>
      </c>
    </row>
    <row r="904" spans="1:10" x14ac:dyDescent="0.25">
      <c r="A904" s="113">
        <v>901</v>
      </c>
      <c r="B904" s="114" t="s">
        <v>1798</v>
      </c>
      <c r="C904" s="115" t="s">
        <v>1799</v>
      </c>
      <c r="D904" s="115" t="s">
        <v>451</v>
      </c>
      <c r="E904" s="115" t="s">
        <v>1800</v>
      </c>
      <c r="F904" s="116">
        <v>0.01</v>
      </c>
      <c r="G904" s="116">
        <v>0.01</v>
      </c>
      <c r="H904" s="116">
        <v>0</v>
      </c>
      <c r="I904" s="113">
        <v>0</v>
      </c>
      <c r="J904" s="115" t="s">
        <v>240</v>
      </c>
    </row>
    <row r="905" spans="1:10" x14ac:dyDescent="0.25">
      <c r="A905" s="113">
        <v>902</v>
      </c>
      <c r="B905" s="114" t="s">
        <v>1801</v>
      </c>
      <c r="C905" s="115" t="s">
        <v>1802</v>
      </c>
      <c r="D905" s="115" t="s">
        <v>451</v>
      </c>
      <c r="E905" s="115" t="s">
        <v>1803</v>
      </c>
      <c r="F905" s="116">
        <v>2740</v>
      </c>
      <c r="G905" s="116">
        <v>2740</v>
      </c>
      <c r="H905" s="116">
        <v>0</v>
      </c>
      <c r="I905" s="113">
        <v>0</v>
      </c>
      <c r="J905" s="115" t="s">
        <v>240</v>
      </c>
    </row>
    <row r="906" spans="1:10" x14ac:dyDescent="0.25">
      <c r="A906" s="113">
        <v>903</v>
      </c>
      <c r="B906" s="114" t="s">
        <v>1804</v>
      </c>
      <c r="C906" s="115" t="s">
        <v>1805</v>
      </c>
      <c r="D906" s="115" t="s">
        <v>461</v>
      </c>
      <c r="E906" s="115" t="s">
        <v>1806</v>
      </c>
      <c r="F906" s="116">
        <v>105.753</v>
      </c>
      <c r="G906" s="116">
        <v>108.1888</v>
      </c>
      <c r="H906" s="116">
        <v>5.86</v>
      </c>
      <c r="I906" s="113">
        <v>1325</v>
      </c>
      <c r="J906" s="115" t="s">
        <v>271</v>
      </c>
    </row>
    <row r="907" spans="1:10" x14ac:dyDescent="0.25">
      <c r="A907" s="113">
        <v>904</v>
      </c>
      <c r="B907" s="114" t="s">
        <v>1807</v>
      </c>
      <c r="C907" s="115" t="s">
        <v>1808</v>
      </c>
      <c r="D907" s="115" t="s">
        <v>451</v>
      </c>
      <c r="E907" s="115" t="s">
        <v>2269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1809</v>
      </c>
      <c r="C908" s="115" t="s">
        <v>1810</v>
      </c>
      <c r="D908" s="115" t="s">
        <v>461</v>
      </c>
      <c r="E908" s="115" t="s">
        <v>2269</v>
      </c>
      <c r="F908" s="116">
        <v>82.863650239391689</v>
      </c>
      <c r="G908" s="116">
        <v>84.788650239391686</v>
      </c>
      <c r="H908" s="116">
        <v>16.95</v>
      </c>
      <c r="I908" s="113">
        <v>1003</v>
      </c>
      <c r="J908" s="115" t="s">
        <v>271</v>
      </c>
    </row>
    <row r="909" spans="1:10" x14ac:dyDescent="0.25">
      <c r="A909" s="113">
        <v>906</v>
      </c>
      <c r="B909" s="114" t="s">
        <v>1811</v>
      </c>
      <c r="C909" s="115" t="s">
        <v>1812</v>
      </c>
      <c r="D909" s="115" t="s">
        <v>461</v>
      </c>
      <c r="E909" s="115" t="s">
        <v>2269</v>
      </c>
      <c r="F909" s="116">
        <v>9.4705434477632604</v>
      </c>
      <c r="G909" s="116">
        <v>9.5108434477632606</v>
      </c>
      <c r="H909" s="116">
        <v>16.68</v>
      </c>
      <c r="I909" s="113">
        <v>5470</v>
      </c>
      <c r="J909" s="115" t="s">
        <v>271</v>
      </c>
    </row>
    <row r="910" spans="1:10" x14ac:dyDescent="0.25">
      <c r="A910" s="113">
        <v>907</v>
      </c>
      <c r="B910" s="114" t="s">
        <v>1813</v>
      </c>
      <c r="C910" s="115" t="s">
        <v>1814</v>
      </c>
      <c r="D910" s="115" t="s">
        <v>461</v>
      </c>
      <c r="E910" s="115" t="s">
        <v>2269</v>
      </c>
      <c r="F910" s="116">
        <v>26.410183006356217</v>
      </c>
      <c r="G910" s="116">
        <v>26.466583006356217</v>
      </c>
      <c r="H910" s="116">
        <v>17.32</v>
      </c>
      <c r="I910" s="113">
        <v>3037</v>
      </c>
      <c r="J910" s="115" t="s">
        <v>271</v>
      </c>
    </row>
    <row r="911" spans="1:10" x14ac:dyDescent="0.25">
      <c r="A911" s="113">
        <v>908</v>
      </c>
      <c r="B911" s="114" t="s">
        <v>1815</v>
      </c>
      <c r="C911" s="115" t="s">
        <v>1816</v>
      </c>
      <c r="D911" s="115" t="s">
        <v>461</v>
      </c>
      <c r="E911" s="115" t="s">
        <v>2269</v>
      </c>
      <c r="F911" s="116">
        <v>26.410183006356217</v>
      </c>
      <c r="G911" s="116">
        <v>26.466583006356217</v>
      </c>
      <c r="H911" s="116">
        <v>17.32</v>
      </c>
      <c r="I911" s="113">
        <v>3037</v>
      </c>
      <c r="J911" s="115" t="s">
        <v>271</v>
      </c>
    </row>
    <row r="912" spans="1:10" x14ac:dyDescent="0.25">
      <c r="A912" s="113">
        <v>909</v>
      </c>
      <c r="B912" s="114" t="s">
        <v>1817</v>
      </c>
      <c r="C912" s="115" t="s">
        <v>1818</v>
      </c>
      <c r="D912" s="115" t="s">
        <v>461</v>
      </c>
      <c r="E912" s="115" t="s">
        <v>2269</v>
      </c>
      <c r="F912" s="116">
        <v>4.617680825534725</v>
      </c>
      <c r="G912" s="116">
        <v>4.6720808255347253</v>
      </c>
      <c r="H912" s="116">
        <v>16.84</v>
      </c>
      <c r="I912" s="113">
        <v>7270</v>
      </c>
      <c r="J912" s="115" t="s">
        <v>271</v>
      </c>
    </row>
    <row r="913" spans="1:10" x14ac:dyDescent="0.25">
      <c r="A913" s="113">
        <v>910</v>
      </c>
      <c r="B913" s="114" t="s">
        <v>1819</v>
      </c>
      <c r="C913" s="115" t="s">
        <v>1820</v>
      </c>
      <c r="D913" s="115" t="s">
        <v>461</v>
      </c>
      <c r="E913" s="115" t="s">
        <v>2269</v>
      </c>
      <c r="F913" s="116">
        <v>9.4708812945759604</v>
      </c>
      <c r="G913" s="116">
        <v>9.5530812945759607</v>
      </c>
      <c r="H913" s="116">
        <v>15.93</v>
      </c>
      <c r="I913" s="113">
        <v>5470</v>
      </c>
      <c r="J913" s="115" t="s">
        <v>271</v>
      </c>
    </row>
    <row r="914" spans="1:10" x14ac:dyDescent="0.25">
      <c r="A914" s="113">
        <v>911</v>
      </c>
      <c r="B914" s="114" t="s">
        <v>231</v>
      </c>
      <c r="C914" s="115" t="s">
        <v>232</v>
      </c>
      <c r="D914" s="115" t="s">
        <v>461</v>
      </c>
      <c r="E914" s="115" t="s">
        <v>2269</v>
      </c>
      <c r="F914" s="116">
        <v>26.557014041575865</v>
      </c>
      <c r="G914" s="116">
        <v>26.642014041575866</v>
      </c>
      <c r="H914" s="116">
        <v>16.309999999999999</v>
      </c>
      <c r="I914" s="113">
        <v>3024</v>
      </c>
      <c r="J914" s="115" t="s">
        <v>271</v>
      </c>
    </row>
    <row r="915" spans="1:10" x14ac:dyDescent="0.25">
      <c r="A915" s="113">
        <v>912</v>
      </c>
      <c r="B915" s="114" t="s">
        <v>1821</v>
      </c>
      <c r="C915" s="115" t="s">
        <v>1822</v>
      </c>
      <c r="D915" s="115" t="s">
        <v>461</v>
      </c>
      <c r="E915" s="115" t="s">
        <v>2269</v>
      </c>
      <c r="F915" s="116">
        <v>26.47720823101681</v>
      </c>
      <c r="G915" s="116">
        <v>26.53530823101681</v>
      </c>
      <c r="H915" s="116">
        <v>17.32</v>
      </c>
      <c r="I915" s="113">
        <v>3031</v>
      </c>
      <c r="J915" s="115" t="s">
        <v>271</v>
      </c>
    </row>
    <row r="916" spans="1:10" x14ac:dyDescent="0.25">
      <c r="A916" s="113">
        <v>913</v>
      </c>
      <c r="B916" s="114" t="s">
        <v>1823</v>
      </c>
      <c r="C916" s="115" t="s">
        <v>1824</v>
      </c>
      <c r="D916" s="115" t="s">
        <v>461</v>
      </c>
      <c r="E916" s="115" t="s">
        <v>2269</v>
      </c>
      <c r="F916" s="116">
        <v>26.410183006356217</v>
      </c>
      <c r="G916" s="116">
        <v>26.466583006356217</v>
      </c>
      <c r="H916" s="116">
        <v>17.32</v>
      </c>
      <c r="I916" s="113">
        <v>3037</v>
      </c>
      <c r="J916" s="115" t="s">
        <v>271</v>
      </c>
    </row>
    <row r="917" spans="1:10" x14ac:dyDescent="0.25">
      <c r="A917" s="113">
        <v>914</v>
      </c>
      <c r="B917" s="114" t="s">
        <v>233</v>
      </c>
      <c r="C917" s="115" t="s">
        <v>234</v>
      </c>
      <c r="D917" s="115" t="s">
        <v>461</v>
      </c>
      <c r="E917" s="115" t="s">
        <v>2269</v>
      </c>
      <c r="F917" s="116">
        <v>26.47720823101681</v>
      </c>
      <c r="G917" s="116">
        <v>26.53530823101681</v>
      </c>
      <c r="H917" s="116">
        <v>17.32</v>
      </c>
      <c r="I917" s="113">
        <v>3031</v>
      </c>
      <c r="J917" s="115" t="s">
        <v>271</v>
      </c>
    </row>
    <row r="918" spans="1:10" x14ac:dyDescent="0.25">
      <c r="A918" s="113">
        <v>915</v>
      </c>
      <c r="B918" s="114" t="s">
        <v>1825</v>
      </c>
      <c r="C918" s="115" t="s">
        <v>1826</v>
      </c>
      <c r="D918" s="115" t="s">
        <v>461</v>
      </c>
      <c r="E918" s="115" t="s">
        <v>2269</v>
      </c>
      <c r="F918" s="116">
        <v>97.391099988502162</v>
      </c>
      <c r="G918" s="116">
        <v>103.31609998850216</v>
      </c>
      <c r="H918" s="116">
        <v>16.97</v>
      </c>
      <c r="I918" s="113">
        <v>123</v>
      </c>
      <c r="J918" s="115" t="s">
        <v>271</v>
      </c>
    </row>
    <row r="919" spans="1:10" x14ac:dyDescent="0.25">
      <c r="A919" s="113">
        <v>916</v>
      </c>
      <c r="B919" s="114" t="s">
        <v>1827</v>
      </c>
      <c r="C919" s="115" t="s">
        <v>1828</v>
      </c>
      <c r="D919" s="115" t="s">
        <v>461</v>
      </c>
      <c r="E919" s="115" t="s">
        <v>2269</v>
      </c>
      <c r="F919" s="116">
        <v>85.190094231873744</v>
      </c>
      <c r="G919" s="116">
        <v>86.023394231873738</v>
      </c>
      <c r="H919" s="116">
        <v>16.97</v>
      </c>
      <c r="I919" s="113">
        <v>680</v>
      </c>
      <c r="J919" s="115" t="s">
        <v>271</v>
      </c>
    </row>
    <row r="920" spans="1:10" x14ac:dyDescent="0.25">
      <c r="A920" s="113">
        <v>917</v>
      </c>
      <c r="B920" s="114" t="s">
        <v>1829</v>
      </c>
      <c r="C920" s="115" t="s">
        <v>1830</v>
      </c>
      <c r="D920" s="115" t="s">
        <v>451</v>
      </c>
      <c r="E920" s="115" t="s">
        <v>2269</v>
      </c>
      <c r="F920" s="116">
        <v>590</v>
      </c>
      <c r="G920" s="116">
        <v>590</v>
      </c>
      <c r="H920" s="116">
        <v>0</v>
      </c>
      <c r="I920" s="113">
        <v>0</v>
      </c>
      <c r="J920" s="115" t="s">
        <v>240</v>
      </c>
    </row>
    <row r="921" spans="1:10" x14ac:dyDescent="0.25">
      <c r="A921" s="113">
        <v>918</v>
      </c>
      <c r="B921" s="114" t="s">
        <v>1831</v>
      </c>
      <c r="C921" s="115" t="s">
        <v>1832</v>
      </c>
      <c r="D921" s="115" t="s">
        <v>451</v>
      </c>
      <c r="E921" s="115" t="s">
        <v>2125</v>
      </c>
      <c r="F921" s="116">
        <v>171859.58249999999</v>
      </c>
      <c r="G921" s="116">
        <v>171859.58249999999</v>
      </c>
      <c r="H921" s="116">
        <v>0</v>
      </c>
      <c r="I921" s="113">
        <v>0</v>
      </c>
      <c r="J921" s="115" t="s">
        <v>240</v>
      </c>
    </row>
    <row r="922" spans="1:10" x14ac:dyDescent="0.25">
      <c r="A922" s="113">
        <v>919</v>
      </c>
      <c r="B922" s="114" t="s">
        <v>2318</v>
      </c>
      <c r="C922" s="115" t="s">
        <v>2319</v>
      </c>
      <c r="D922" s="115" t="s">
        <v>461</v>
      </c>
      <c r="E922" s="115" t="s">
        <v>1835</v>
      </c>
      <c r="F922" s="116">
        <v>92.705624042153701</v>
      </c>
      <c r="G922" s="116">
        <v>94.755624042153698</v>
      </c>
      <c r="H922" s="116">
        <v>21.44</v>
      </c>
      <c r="I922" s="113">
        <v>1039</v>
      </c>
      <c r="J922" s="115" t="s">
        <v>271</v>
      </c>
    </row>
    <row r="923" spans="1:10" x14ac:dyDescent="0.25">
      <c r="A923" s="113">
        <v>920</v>
      </c>
      <c r="B923" s="114" t="s">
        <v>1833</v>
      </c>
      <c r="C923" s="115" t="s">
        <v>1834</v>
      </c>
      <c r="D923" s="115" t="s">
        <v>461</v>
      </c>
      <c r="E923" s="115" t="s">
        <v>1835</v>
      </c>
      <c r="F923" s="116">
        <v>99.787495214781487</v>
      </c>
      <c r="G923" s="116">
        <v>104.45419521478149</v>
      </c>
      <c r="H923" s="116">
        <v>20.81</v>
      </c>
      <c r="I923" s="113">
        <v>96</v>
      </c>
      <c r="J923" s="115" t="s">
        <v>271</v>
      </c>
    </row>
    <row r="924" spans="1:10" x14ac:dyDescent="0.25">
      <c r="A924" s="113">
        <v>921</v>
      </c>
      <c r="B924" s="114" t="s">
        <v>1836</v>
      </c>
      <c r="C924" s="115" t="s">
        <v>1837</v>
      </c>
      <c r="D924" s="115" t="s">
        <v>461</v>
      </c>
      <c r="E924" s="115" t="s">
        <v>1835</v>
      </c>
      <c r="F924" s="116">
        <v>99.803392888803714</v>
      </c>
      <c r="G924" s="116">
        <v>104.74779288880372</v>
      </c>
      <c r="H924" s="116">
        <v>20.81</v>
      </c>
      <c r="I924" s="113">
        <v>91</v>
      </c>
      <c r="J924" s="115" t="s">
        <v>271</v>
      </c>
    </row>
    <row r="925" spans="1:10" x14ac:dyDescent="0.25">
      <c r="A925" s="113">
        <v>922</v>
      </c>
      <c r="B925" s="114" t="s">
        <v>1838</v>
      </c>
      <c r="C925" s="115" t="s">
        <v>1839</v>
      </c>
      <c r="D925" s="115" t="s">
        <v>451</v>
      </c>
      <c r="E925" s="115" t="s">
        <v>1840</v>
      </c>
      <c r="F925" s="116">
        <v>105252.5175</v>
      </c>
      <c r="G925" s="116">
        <v>105252.5175</v>
      </c>
      <c r="H925" s="116">
        <v>0</v>
      </c>
      <c r="I925" s="113">
        <v>0</v>
      </c>
      <c r="J925" s="115" t="s">
        <v>240</v>
      </c>
    </row>
    <row r="926" spans="1:10" x14ac:dyDescent="0.25">
      <c r="A926" s="113">
        <v>923</v>
      </c>
      <c r="B926" s="114" t="s">
        <v>1741</v>
      </c>
      <c r="C926" s="115" t="s">
        <v>1742</v>
      </c>
      <c r="D926" s="115" t="s">
        <v>451</v>
      </c>
      <c r="E926" s="115" t="s">
        <v>1743</v>
      </c>
      <c r="F926" s="116">
        <v>15769.9725</v>
      </c>
      <c r="G926" s="116">
        <v>15769.9725</v>
      </c>
      <c r="H926" s="116">
        <v>0</v>
      </c>
      <c r="I926" s="113">
        <v>0</v>
      </c>
      <c r="J926" s="115" t="s">
        <v>240</v>
      </c>
    </row>
    <row r="927" spans="1:10" x14ac:dyDescent="0.25">
      <c r="A927" s="113">
        <v>924</v>
      </c>
      <c r="B927" s="114" t="s">
        <v>1841</v>
      </c>
      <c r="C927" s="115" t="s">
        <v>1842</v>
      </c>
      <c r="D927" s="115" t="s">
        <v>451</v>
      </c>
      <c r="E927" s="115" t="s">
        <v>1843</v>
      </c>
      <c r="F927" s="116">
        <v>50034.727500000001</v>
      </c>
      <c r="G927" s="116">
        <v>50034.727500000001</v>
      </c>
      <c r="H927" s="116">
        <v>0</v>
      </c>
      <c r="I927" s="113">
        <v>0</v>
      </c>
      <c r="J927" s="115" t="s">
        <v>240</v>
      </c>
    </row>
    <row r="928" spans="1:10" x14ac:dyDescent="0.25">
      <c r="A928" s="113">
        <v>925</v>
      </c>
      <c r="B928" s="114" t="s">
        <v>1844</v>
      </c>
      <c r="C928" s="115" t="s">
        <v>1845</v>
      </c>
      <c r="D928" s="115" t="s">
        <v>451</v>
      </c>
      <c r="E928" s="115" t="s">
        <v>1846</v>
      </c>
      <c r="F928" s="116">
        <v>230803</v>
      </c>
      <c r="G928" s="116">
        <v>230803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1847</v>
      </c>
      <c r="C929" s="115" t="s">
        <v>1848</v>
      </c>
      <c r="D929" s="115" t="s">
        <v>761</v>
      </c>
      <c r="E929" s="115" t="s">
        <v>768</v>
      </c>
      <c r="F929" s="116">
        <v>19313.302500000002</v>
      </c>
      <c r="G929" s="116">
        <v>19313.302500000002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1884</v>
      </c>
      <c r="C930" s="115" t="s">
        <v>1885</v>
      </c>
      <c r="D930" s="115" t="s">
        <v>461</v>
      </c>
      <c r="E930" s="115" t="s">
        <v>1851</v>
      </c>
      <c r="F930" s="116">
        <v>96.421875</v>
      </c>
      <c r="G930" s="116">
        <v>96.479375000000005</v>
      </c>
      <c r="H930" s="116">
        <v>4.0599999999999996</v>
      </c>
      <c r="I930" s="113">
        <v>2735</v>
      </c>
      <c r="J930" s="115" t="s">
        <v>271</v>
      </c>
    </row>
    <row r="931" spans="1:10" x14ac:dyDescent="0.25">
      <c r="A931" s="113">
        <v>928</v>
      </c>
      <c r="B931" s="114" t="s">
        <v>1886</v>
      </c>
      <c r="C931" s="115" t="s">
        <v>1887</v>
      </c>
      <c r="D931" s="115" t="s">
        <v>461</v>
      </c>
      <c r="E931" s="115" t="s">
        <v>1851</v>
      </c>
      <c r="F931" s="116">
        <v>98.421875</v>
      </c>
      <c r="G931" s="116">
        <v>98.485574999999997</v>
      </c>
      <c r="H931" s="116">
        <v>4.1100000000000003</v>
      </c>
      <c r="I931" s="113">
        <v>2916</v>
      </c>
      <c r="J931" s="115" t="s">
        <v>271</v>
      </c>
    </row>
    <row r="932" spans="1:10" x14ac:dyDescent="0.25">
      <c r="A932" s="113">
        <v>929</v>
      </c>
      <c r="B932" s="114" t="s">
        <v>1888</v>
      </c>
      <c r="C932" s="115" t="s">
        <v>1889</v>
      </c>
      <c r="D932" s="115" t="s">
        <v>461</v>
      </c>
      <c r="E932" s="115" t="s">
        <v>1851</v>
      </c>
      <c r="F932" s="116">
        <v>107.59375</v>
      </c>
      <c r="G932" s="116">
        <v>107.68214999999999</v>
      </c>
      <c r="H932" s="116">
        <v>3.83</v>
      </c>
      <c r="I932" s="113">
        <v>2004</v>
      </c>
      <c r="J932" s="115" t="s">
        <v>271</v>
      </c>
    </row>
    <row r="933" spans="1:10" x14ac:dyDescent="0.25">
      <c r="A933" s="113">
        <v>930</v>
      </c>
      <c r="B933" s="114" t="s">
        <v>1890</v>
      </c>
      <c r="C933" s="115" t="s">
        <v>1891</v>
      </c>
      <c r="D933" s="115" t="s">
        <v>461</v>
      </c>
      <c r="E933" s="115" t="s">
        <v>1851</v>
      </c>
      <c r="F933" s="116">
        <v>97.2890625</v>
      </c>
      <c r="G933" s="116">
        <v>97.538362500000005</v>
      </c>
      <c r="H933" s="116">
        <v>3.81</v>
      </c>
      <c r="I933" s="113">
        <v>497</v>
      </c>
      <c r="J933" s="115" t="s">
        <v>271</v>
      </c>
    </row>
    <row r="934" spans="1:10" x14ac:dyDescent="0.25">
      <c r="A934" s="113">
        <v>931</v>
      </c>
      <c r="B934" s="114" t="s">
        <v>1892</v>
      </c>
      <c r="C934" s="115" t="s">
        <v>1893</v>
      </c>
      <c r="D934" s="115" t="s">
        <v>461</v>
      </c>
      <c r="E934" s="115" t="s">
        <v>1851</v>
      </c>
      <c r="F934" s="116">
        <v>92.71875</v>
      </c>
      <c r="G934" s="116">
        <v>92.914649999999995</v>
      </c>
      <c r="H934" s="116">
        <v>3.7</v>
      </c>
      <c r="I934" s="113">
        <v>1228</v>
      </c>
      <c r="J934" s="115" t="s">
        <v>271</v>
      </c>
    </row>
    <row r="935" spans="1:10" x14ac:dyDescent="0.25">
      <c r="A935" s="113">
        <v>932</v>
      </c>
      <c r="B935" s="114" t="s">
        <v>1894</v>
      </c>
      <c r="C935" s="115" t="s">
        <v>1895</v>
      </c>
      <c r="D935" s="115" t="s">
        <v>461</v>
      </c>
      <c r="E935" s="115" t="s">
        <v>1851</v>
      </c>
      <c r="F935" s="116">
        <v>86.8359375</v>
      </c>
      <c r="G935" s="116">
        <v>86.854437500000003</v>
      </c>
      <c r="H935" s="116">
        <v>3.81</v>
      </c>
      <c r="I935" s="113">
        <v>2004</v>
      </c>
      <c r="J935" s="115" t="s">
        <v>271</v>
      </c>
    </row>
    <row r="936" spans="1:10" x14ac:dyDescent="0.25">
      <c r="A936" s="113">
        <v>933</v>
      </c>
      <c r="B936" s="114" t="s">
        <v>1896</v>
      </c>
      <c r="C936" s="115" t="s">
        <v>1897</v>
      </c>
      <c r="D936" s="115" t="s">
        <v>461</v>
      </c>
      <c r="E936" s="115" t="s">
        <v>1851</v>
      </c>
      <c r="F936" s="116">
        <v>98.984375</v>
      </c>
      <c r="G936" s="116">
        <v>99.022374999999997</v>
      </c>
      <c r="H936" s="116">
        <v>1.1100000000000001</v>
      </c>
      <c r="I936" s="113">
        <v>512</v>
      </c>
      <c r="J936" s="115" t="s">
        <v>271</v>
      </c>
    </row>
    <row r="937" spans="1:10" x14ac:dyDescent="0.25">
      <c r="A937" s="113">
        <v>934</v>
      </c>
      <c r="B937" s="114" t="s">
        <v>1898</v>
      </c>
      <c r="C937" s="115" t="s">
        <v>1899</v>
      </c>
      <c r="D937" s="115" t="s">
        <v>461</v>
      </c>
      <c r="E937" s="115" t="s">
        <v>1851</v>
      </c>
      <c r="F937" s="116">
        <v>100.01803324313254</v>
      </c>
      <c r="G937" s="116">
        <v>102.40163324313252</v>
      </c>
      <c r="H937" s="116">
        <v>4.28</v>
      </c>
      <c r="I937" s="113">
        <v>10</v>
      </c>
      <c r="J937" s="115" t="s">
        <v>271</v>
      </c>
    </row>
    <row r="938" spans="1:10" x14ac:dyDescent="0.25">
      <c r="A938" s="113">
        <v>935</v>
      </c>
      <c r="B938" s="114" t="s">
        <v>1900</v>
      </c>
      <c r="C938" s="115" t="s">
        <v>1901</v>
      </c>
      <c r="D938" s="115" t="s">
        <v>461</v>
      </c>
      <c r="E938" s="115" t="s">
        <v>1851</v>
      </c>
      <c r="F938" s="116">
        <v>100.07532984837675</v>
      </c>
      <c r="G938" s="116">
        <v>102.03422984837675</v>
      </c>
      <c r="H938" s="116">
        <v>4.26</v>
      </c>
      <c r="I938" s="113">
        <v>40</v>
      </c>
      <c r="J938" s="115" t="s">
        <v>271</v>
      </c>
    </row>
    <row r="939" spans="1:10" x14ac:dyDescent="0.25">
      <c r="A939" s="113">
        <v>936</v>
      </c>
      <c r="B939" s="114" t="s">
        <v>1902</v>
      </c>
      <c r="C939" s="115" t="s">
        <v>1903</v>
      </c>
      <c r="D939" s="115" t="s">
        <v>461</v>
      </c>
      <c r="E939" s="115" t="s">
        <v>1851</v>
      </c>
      <c r="F939" s="116">
        <v>100.18986979755944</v>
      </c>
      <c r="G939" s="116">
        <v>101.28506979755943</v>
      </c>
      <c r="H939" s="116">
        <v>4.1500000000000004</v>
      </c>
      <c r="I939" s="113">
        <v>101</v>
      </c>
      <c r="J939" s="115" t="s">
        <v>271</v>
      </c>
    </row>
    <row r="940" spans="1:10" x14ac:dyDescent="0.25">
      <c r="A940" s="113">
        <v>937</v>
      </c>
      <c r="B940" s="114" t="s">
        <v>1997</v>
      </c>
      <c r="C940" s="115" t="s">
        <v>1998</v>
      </c>
      <c r="D940" s="115" t="s">
        <v>461</v>
      </c>
      <c r="E940" s="115" t="s">
        <v>1851</v>
      </c>
      <c r="F940" s="116">
        <v>100.90234375</v>
      </c>
      <c r="G940" s="116">
        <v>102.14414375</v>
      </c>
      <c r="H940" s="116">
        <v>3.87</v>
      </c>
      <c r="I940" s="113">
        <v>451</v>
      </c>
      <c r="J940" s="115" t="s">
        <v>271</v>
      </c>
    </row>
    <row r="941" spans="1:10" x14ac:dyDescent="0.25">
      <c r="A941" s="113">
        <v>938</v>
      </c>
      <c r="B941" s="114" t="s">
        <v>1904</v>
      </c>
      <c r="C941" s="115" t="s">
        <v>1905</v>
      </c>
      <c r="D941" s="115" t="s">
        <v>461</v>
      </c>
      <c r="E941" s="115" t="s">
        <v>1851</v>
      </c>
      <c r="F941" s="116">
        <v>103.7265625</v>
      </c>
      <c r="G941" s="116">
        <v>104.7655625</v>
      </c>
      <c r="H941" s="116">
        <v>3.9</v>
      </c>
      <c r="I941" s="113">
        <v>2109</v>
      </c>
      <c r="J941" s="115" t="s">
        <v>271</v>
      </c>
    </row>
    <row r="942" spans="1:10" x14ac:dyDescent="0.25">
      <c r="A942" s="113">
        <v>939</v>
      </c>
      <c r="B942" s="114" t="s">
        <v>1906</v>
      </c>
      <c r="C942" s="115" t="s">
        <v>1907</v>
      </c>
      <c r="D942" s="115" t="s">
        <v>461</v>
      </c>
      <c r="E942" s="115" t="s">
        <v>1851</v>
      </c>
      <c r="F942" s="116">
        <v>101.390625</v>
      </c>
      <c r="G942" s="116">
        <v>102.565325</v>
      </c>
      <c r="H942" s="116">
        <v>4.18</v>
      </c>
      <c r="I942" s="113">
        <v>3189</v>
      </c>
      <c r="J942" s="115" t="s">
        <v>271</v>
      </c>
    </row>
    <row r="943" spans="1:10" x14ac:dyDescent="0.25">
      <c r="A943" s="113">
        <v>940</v>
      </c>
      <c r="B943" s="114" t="s">
        <v>2029</v>
      </c>
      <c r="C943" s="115" t="s">
        <v>2030</v>
      </c>
      <c r="D943" s="115" t="s">
        <v>461</v>
      </c>
      <c r="E943" s="115" t="s">
        <v>1851</v>
      </c>
      <c r="F943" s="116">
        <v>99.824008839761646</v>
      </c>
      <c r="G943" s="116">
        <v>99.824008839761646</v>
      </c>
      <c r="H943" s="116">
        <v>4.53</v>
      </c>
      <c r="I943" s="113">
        <v>13</v>
      </c>
      <c r="J943" s="115" t="s">
        <v>271</v>
      </c>
    </row>
    <row r="944" spans="1:10" x14ac:dyDescent="0.25">
      <c r="A944" s="113">
        <v>941</v>
      </c>
      <c r="B944" s="114" t="s">
        <v>2025</v>
      </c>
      <c r="C944" s="115" t="s">
        <v>2026</v>
      </c>
      <c r="D944" s="115" t="s">
        <v>461</v>
      </c>
      <c r="E944" s="115" t="s">
        <v>1851</v>
      </c>
      <c r="F944" s="116">
        <v>99.496403101385795</v>
      </c>
      <c r="G944" s="116">
        <v>99.496403101385795</v>
      </c>
      <c r="H944" s="116">
        <v>4.34</v>
      </c>
      <c r="I944" s="113">
        <v>41</v>
      </c>
      <c r="J944" s="115" t="s">
        <v>271</v>
      </c>
    </row>
    <row r="945" spans="1:10" x14ac:dyDescent="0.25">
      <c r="A945" s="113">
        <v>942</v>
      </c>
      <c r="B945" s="114" t="s">
        <v>1999</v>
      </c>
      <c r="C945" s="115" t="s">
        <v>2000</v>
      </c>
      <c r="D945" s="115" t="s">
        <v>461</v>
      </c>
      <c r="E945" s="115" t="s">
        <v>1851</v>
      </c>
      <c r="F945" s="116">
        <v>100.30859375</v>
      </c>
      <c r="G945" s="116">
        <v>102.51339375000001</v>
      </c>
      <c r="H945" s="116">
        <v>4.0199999999999996</v>
      </c>
      <c r="I945" s="113">
        <v>191</v>
      </c>
      <c r="J945" s="115" t="s">
        <v>271</v>
      </c>
    </row>
    <row r="946" spans="1:10" x14ac:dyDescent="0.25">
      <c r="A946" s="113">
        <v>943</v>
      </c>
      <c r="B946" s="114" t="s">
        <v>2001</v>
      </c>
      <c r="C946" s="115" t="s">
        <v>2002</v>
      </c>
      <c r="D946" s="115" t="s">
        <v>461</v>
      </c>
      <c r="E946" s="115" t="s">
        <v>1851</v>
      </c>
      <c r="F946" s="116">
        <v>100.0546875</v>
      </c>
      <c r="G946" s="116">
        <v>100.2991875</v>
      </c>
      <c r="H946" s="116">
        <v>4.12</v>
      </c>
      <c r="I946" s="113">
        <v>163</v>
      </c>
      <c r="J946" s="115" t="s">
        <v>271</v>
      </c>
    </row>
    <row r="947" spans="1:10" x14ac:dyDescent="0.25">
      <c r="A947" s="113">
        <v>944</v>
      </c>
      <c r="B947" s="114" t="s">
        <v>2019</v>
      </c>
      <c r="C947" s="115" t="s">
        <v>2020</v>
      </c>
      <c r="D947" s="115" t="s">
        <v>461</v>
      </c>
      <c r="E947" s="115" t="s">
        <v>1851</v>
      </c>
      <c r="F947" s="116">
        <v>97.3984375</v>
      </c>
      <c r="G947" s="116">
        <v>97.901537500000003</v>
      </c>
      <c r="H947" s="116">
        <v>3.87</v>
      </c>
      <c r="I947" s="113">
        <v>436</v>
      </c>
      <c r="J947" s="115" t="s">
        <v>271</v>
      </c>
    </row>
    <row r="948" spans="1:10" x14ac:dyDescent="0.25">
      <c r="A948" s="113">
        <v>945</v>
      </c>
      <c r="B948" s="114" t="s">
        <v>2021</v>
      </c>
      <c r="C948" s="115" t="s">
        <v>2022</v>
      </c>
      <c r="D948" s="115" t="s">
        <v>461</v>
      </c>
      <c r="E948" s="115" t="s">
        <v>1851</v>
      </c>
      <c r="F948" s="116">
        <v>98.953125</v>
      </c>
      <c r="G948" s="116">
        <v>100.228425</v>
      </c>
      <c r="H948" s="116">
        <v>4.84</v>
      </c>
      <c r="I948" s="113">
        <v>6660</v>
      </c>
      <c r="J948" s="115" t="s">
        <v>271</v>
      </c>
    </row>
    <row r="949" spans="1:10" x14ac:dyDescent="0.25">
      <c r="A949" s="113">
        <v>946</v>
      </c>
      <c r="B949" s="114" t="s">
        <v>2197</v>
      </c>
      <c r="C949" s="115" t="s">
        <v>2198</v>
      </c>
      <c r="D949" s="115" t="s">
        <v>461</v>
      </c>
      <c r="E949" s="115" t="s">
        <v>1851</v>
      </c>
      <c r="F949" s="116">
        <v>99.193993693466311</v>
      </c>
      <c r="G949" s="116">
        <v>99.193993693466311</v>
      </c>
      <c r="H949" s="116">
        <v>4.18</v>
      </c>
      <c r="I949" s="113">
        <v>69</v>
      </c>
      <c r="J949" s="115" t="s">
        <v>271</v>
      </c>
    </row>
    <row r="950" spans="1:10" x14ac:dyDescent="0.25">
      <c r="A950" s="113">
        <v>947</v>
      </c>
      <c r="B950" s="114" t="s">
        <v>2199</v>
      </c>
      <c r="C950" s="115" t="s">
        <v>2200</v>
      </c>
      <c r="D950" s="115" t="s">
        <v>461</v>
      </c>
      <c r="E950" s="115" t="s">
        <v>1851</v>
      </c>
      <c r="F950" s="116">
        <v>98.876855246040876</v>
      </c>
      <c r="G950" s="116">
        <v>98.876855246040876</v>
      </c>
      <c r="H950" s="116">
        <v>4.13</v>
      </c>
      <c r="I950" s="113">
        <v>97</v>
      </c>
      <c r="J950" s="115" t="s">
        <v>271</v>
      </c>
    </row>
    <row r="951" spans="1:10" x14ac:dyDescent="0.25">
      <c r="A951" s="113">
        <v>948</v>
      </c>
      <c r="B951" s="114" t="s">
        <v>2201</v>
      </c>
      <c r="C951" s="115" t="s">
        <v>2202</v>
      </c>
      <c r="D951" s="115" t="s">
        <v>461</v>
      </c>
      <c r="E951" s="115" t="s">
        <v>1851</v>
      </c>
      <c r="F951" s="116">
        <v>98.592536764061478</v>
      </c>
      <c r="G951" s="116">
        <v>98.592536764061478</v>
      </c>
      <c r="H951" s="116">
        <v>4.05</v>
      </c>
      <c r="I951" s="113">
        <v>125</v>
      </c>
      <c r="J951" s="115" t="s">
        <v>271</v>
      </c>
    </row>
    <row r="952" spans="1:10" x14ac:dyDescent="0.25">
      <c r="A952" s="113">
        <v>949</v>
      </c>
      <c r="B952" s="114" t="s">
        <v>2203</v>
      </c>
      <c r="C952" s="115" t="s">
        <v>2204</v>
      </c>
      <c r="D952" s="115" t="s">
        <v>461</v>
      </c>
      <c r="E952" s="115" t="s">
        <v>1851</v>
      </c>
      <c r="F952" s="116">
        <v>98.327745495018746</v>
      </c>
      <c r="G952" s="116">
        <v>98.327745495018746</v>
      </c>
      <c r="H952" s="116">
        <v>3.98</v>
      </c>
      <c r="I952" s="113">
        <v>151</v>
      </c>
      <c r="J952" s="115" t="s">
        <v>271</v>
      </c>
    </row>
    <row r="953" spans="1:10" x14ac:dyDescent="0.25">
      <c r="A953" s="113">
        <v>950</v>
      </c>
      <c r="B953" s="114" t="s">
        <v>2208</v>
      </c>
      <c r="C953" s="115" t="s">
        <v>2209</v>
      </c>
      <c r="D953" s="115" t="s">
        <v>461</v>
      </c>
      <c r="E953" s="115" t="s">
        <v>1851</v>
      </c>
      <c r="F953" s="116">
        <v>98.038935346181603</v>
      </c>
      <c r="G953" s="116">
        <v>98.038935346181603</v>
      </c>
      <c r="H953" s="116">
        <v>3.96</v>
      </c>
      <c r="I953" s="113">
        <v>178</v>
      </c>
      <c r="J953" s="115" t="s">
        <v>271</v>
      </c>
    </row>
    <row r="954" spans="1:10" x14ac:dyDescent="0.25">
      <c r="A954" s="113">
        <v>951</v>
      </c>
      <c r="B954" s="114" t="s">
        <v>2210</v>
      </c>
      <c r="C954" s="115" t="s">
        <v>2211</v>
      </c>
      <c r="D954" s="115" t="s">
        <v>461</v>
      </c>
      <c r="E954" s="115" t="s">
        <v>1851</v>
      </c>
      <c r="F954" s="116">
        <v>97.790465185168287</v>
      </c>
      <c r="G954" s="116">
        <v>97.790465185168287</v>
      </c>
      <c r="H954" s="116">
        <v>3.87</v>
      </c>
      <c r="I954" s="113">
        <v>208</v>
      </c>
      <c r="J954" s="115" t="s">
        <v>271</v>
      </c>
    </row>
    <row r="955" spans="1:10" x14ac:dyDescent="0.25">
      <c r="A955" s="113">
        <v>952</v>
      </c>
      <c r="B955" s="114" t="s">
        <v>2301</v>
      </c>
      <c r="C955" s="115" t="s">
        <v>2302</v>
      </c>
      <c r="D955" s="115" t="s">
        <v>461</v>
      </c>
      <c r="E955" s="115" t="s">
        <v>1851</v>
      </c>
      <c r="F955" s="116">
        <v>100.421875</v>
      </c>
      <c r="G955" s="116">
        <v>100.659175</v>
      </c>
      <c r="H955" s="116">
        <v>3.82</v>
      </c>
      <c r="I955" s="113">
        <v>528</v>
      </c>
      <c r="J955" s="115" t="s">
        <v>271</v>
      </c>
    </row>
    <row r="956" spans="1:10" x14ac:dyDescent="0.25">
      <c r="A956" s="113">
        <v>953</v>
      </c>
      <c r="B956" s="114" t="s">
        <v>2303</v>
      </c>
      <c r="C956" s="115" t="s">
        <v>2304</v>
      </c>
      <c r="D956" s="115" t="s">
        <v>461</v>
      </c>
      <c r="E956" s="115" t="s">
        <v>1851</v>
      </c>
      <c r="F956" s="116">
        <v>97.525090869342037</v>
      </c>
      <c r="G956" s="116">
        <v>97.525090869342037</v>
      </c>
      <c r="H956" s="116">
        <v>3.84</v>
      </c>
      <c r="I956" s="113">
        <v>235</v>
      </c>
      <c r="J956" s="115" t="s">
        <v>271</v>
      </c>
    </row>
    <row r="957" spans="1:10" x14ac:dyDescent="0.25">
      <c r="A957" s="113">
        <v>954</v>
      </c>
      <c r="B957" s="114" t="s">
        <v>2305</v>
      </c>
      <c r="C957" s="115" t="s">
        <v>2306</v>
      </c>
      <c r="D957" s="115" t="s">
        <v>461</v>
      </c>
      <c r="E957" s="115" t="s">
        <v>1851</v>
      </c>
      <c r="F957" s="116">
        <v>97.248397123554483</v>
      </c>
      <c r="G957" s="116">
        <v>97.248397123554483</v>
      </c>
      <c r="H957" s="116">
        <v>3.83</v>
      </c>
      <c r="I957" s="113">
        <v>263</v>
      </c>
      <c r="J957" s="115" t="s">
        <v>271</v>
      </c>
    </row>
    <row r="958" spans="1:10" x14ac:dyDescent="0.25">
      <c r="A958" s="113">
        <v>955</v>
      </c>
      <c r="B958" s="114" t="s">
        <v>2307</v>
      </c>
      <c r="C958" s="115" t="s">
        <v>2308</v>
      </c>
      <c r="D958" s="115" t="s">
        <v>461</v>
      </c>
      <c r="E958" s="115" t="s">
        <v>1851</v>
      </c>
      <c r="F958" s="116">
        <v>99.602323888220184</v>
      </c>
      <c r="G958" s="116">
        <v>99.602323888220184</v>
      </c>
      <c r="H958" s="116">
        <v>4.3600000000000003</v>
      </c>
      <c r="I958" s="113">
        <v>32</v>
      </c>
      <c r="J958" s="115" t="s">
        <v>271</v>
      </c>
    </row>
    <row r="959" spans="1:10" x14ac:dyDescent="0.25">
      <c r="A959" s="113">
        <v>956</v>
      </c>
      <c r="B959" s="114" t="s">
        <v>1849</v>
      </c>
      <c r="C959" s="115" t="s">
        <v>1850</v>
      </c>
      <c r="D959" s="115" t="s">
        <v>461</v>
      </c>
      <c r="E959" s="115" t="s">
        <v>1851</v>
      </c>
      <c r="F959" s="116">
        <v>108.9140625</v>
      </c>
      <c r="G959" s="116">
        <v>109.0147625</v>
      </c>
      <c r="H959" s="116">
        <v>3.7</v>
      </c>
      <c r="I959" s="113">
        <v>1455</v>
      </c>
      <c r="J959" s="115" t="s">
        <v>271</v>
      </c>
    </row>
    <row r="960" spans="1:10" x14ac:dyDescent="0.25">
      <c r="A960" s="113">
        <v>957</v>
      </c>
      <c r="B960" s="114" t="s">
        <v>1852</v>
      </c>
      <c r="C960" s="115" t="s">
        <v>1853</v>
      </c>
      <c r="D960" s="115" t="s">
        <v>461</v>
      </c>
      <c r="E960" s="115" t="s">
        <v>1851</v>
      </c>
      <c r="F960" s="116">
        <v>86.1484375</v>
      </c>
      <c r="G960" s="116">
        <v>86.383337499999996</v>
      </c>
      <c r="H960" s="116">
        <v>3.82</v>
      </c>
      <c r="I960" s="113">
        <v>1912</v>
      </c>
      <c r="J960" s="115" t="s">
        <v>271</v>
      </c>
    </row>
    <row r="961" spans="1:10" x14ac:dyDescent="0.25">
      <c r="A961" s="113">
        <v>958</v>
      </c>
      <c r="B961" s="114" t="s">
        <v>1854</v>
      </c>
      <c r="C961" s="115" t="s">
        <v>1855</v>
      </c>
      <c r="D961" s="115" t="s">
        <v>461</v>
      </c>
      <c r="E961" s="115" t="s">
        <v>1851</v>
      </c>
      <c r="F961" s="116">
        <v>76.28125</v>
      </c>
      <c r="G961" s="116">
        <v>77.086749999999995</v>
      </c>
      <c r="H961" s="116">
        <v>4.92</v>
      </c>
      <c r="I961" s="113">
        <v>7026</v>
      </c>
      <c r="J961" s="115" t="s">
        <v>271</v>
      </c>
    </row>
    <row r="962" spans="1:10" x14ac:dyDescent="0.25">
      <c r="A962" s="113">
        <v>959</v>
      </c>
      <c r="B962" s="114" t="s">
        <v>1856</v>
      </c>
      <c r="C962" s="115" t="s">
        <v>1857</v>
      </c>
      <c r="D962" s="115" t="s">
        <v>461</v>
      </c>
      <c r="E962" s="115" t="s">
        <v>1851</v>
      </c>
      <c r="F962" s="116">
        <v>72.328125</v>
      </c>
      <c r="G962" s="116">
        <v>72.932225000000003</v>
      </c>
      <c r="H962" s="116">
        <v>4.7699999999999996</v>
      </c>
      <c r="I962" s="113">
        <v>5746</v>
      </c>
      <c r="J962" s="115" t="s">
        <v>271</v>
      </c>
    </row>
    <row r="963" spans="1:10" x14ac:dyDescent="0.25">
      <c r="A963" s="113">
        <v>960</v>
      </c>
      <c r="B963" s="114" t="s">
        <v>1858</v>
      </c>
      <c r="C963" s="115" t="s">
        <v>1859</v>
      </c>
      <c r="D963" s="115" t="s">
        <v>461</v>
      </c>
      <c r="E963" s="115" t="s">
        <v>1851</v>
      </c>
      <c r="F963" s="116">
        <v>98.37109375</v>
      </c>
      <c r="G963" s="116">
        <v>98.392693750000007</v>
      </c>
      <c r="H963" s="116">
        <v>4.09</v>
      </c>
      <c r="I963" s="113">
        <v>163</v>
      </c>
      <c r="J963" s="115" t="s">
        <v>271</v>
      </c>
    </row>
    <row r="964" spans="1:10" x14ac:dyDescent="0.25">
      <c r="A964" s="113">
        <v>961</v>
      </c>
      <c r="B964" s="114" t="s">
        <v>1860</v>
      </c>
      <c r="C964" s="115" t="s">
        <v>1861</v>
      </c>
      <c r="D964" s="115" t="s">
        <v>461</v>
      </c>
      <c r="E964" s="115" t="s">
        <v>1851</v>
      </c>
      <c r="F964" s="116">
        <v>99.759487930183354</v>
      </c>
      <c r="G964" s="116">
        <v>100.68828793018336</v>
      </c>
      <c r="H964" s="116">
        <v>4.2300000000000004</v>
      </c>
      <c r="I964" s="113">
        <v>71</v>
      </c>
      <c r="J964" s="115" t="s">
        <v>271</v>
      </c>
    </row>
    <row r="965" spans="1:10" x14ac:dyDescent="0.25">
      <c r="A965" s="113">
        <v>962</v>
      </c>
      <c r="B965" s="114" t="s">
        <v>1862</v>
      </c>
      <c r="C965" s="115" t="s">
        <v>1863</v>
      </c>
      <c r="D965" s="115" t="s">
        <v>461</v>
      </c>
      <c r="E965" s="115" t="s">
        <v>1851</v>
      </c>
      <c r="F965" s="116">
        <v>86.1875</v>
      </c>
      <c r="G965" s="116">
        <v>87.261499999999998</v>
      </c>
      <c r="H965" s="116">
        <v>4.93</v>
      </c>
      <c r="I965" s="113">
        <v>9948</v>
      </c>
      <c r="J965" s="115" t="s">
        <v>271</v>
      </c>
    </row>
    <row r="966" spans="1:10" x14ac:dyDescent="0.25">
      <c r="A966" s="113">
        <v>963</v>
      </c>
      <c r="B966" s="114" t="s">
        <v>1864</v>
      </c>
      <c r="C966" s="115" t="s">
        <v>1865</v>
      </c>
      <c r="D966" s="115" t="s">
        <v>461</v>
      </c>
      <c r="E966" s="115" t="s">
        <v>1851</v>
      </c>
      <c r="F966" s="116">
        <v>98.073517692483406</v>
      </c>
      <c r="G966" s="116">
        <v>98.367317692483397</v>
      </c>
      <c r="H966" s="116">
        <v>3.99</v>
      </c>
      <c r="I966" s="113">
        <v>222</v>
      </c>
      <c r="J966" s="115" t="s">
        <v>271</v>
      </c>
    </row>
    <row r="967" spans="1:10" x14ac:dyDescent="0.25">
      <c r="A967" s="113">
        <v>964</v>
      </c>
      <c r="B967" s="114" t="s">
        <v>1866</v>
      </c>
      <c r="C967" s="115" t="s">
        <v>1867</v>
      </c>
      <c r="D967" s="115" t="s">
        <v>461</v>
      </c>
      <c r="E967" s="115" t="s">
        <v>1851</v>
      </c>
      <c r="F967" s="116">
        <v>97.43359375</v>
      </c>
      <c r="G967" s="116">
        <v>97.558293750000004</v>
      </c>
      <c r="H967" s="116">
        <v>3.95</v>
      </c>
      <c r="I967" s="113">
        <v>313</v>
      </c>
      <c r="J967" s="115" t="s">
        <v>271</v>
      </c>
    </row>
    <row r="968" spans="1:10" x14ac:dyDescent="0.25">
      <c r="A968" s="113">
        <v>965</v>
      </c>
      <c r="B968" s="114" t="s">
        <v>1868</v>
      </c>
      <c r="C968" s="115" t="s">
        <v>1869</v>
      </c>
      <c r="D968" s="115" t="s">
        <v>461</v>
      </c>
      <c r="E968" s="115" t="s">
        <v>1851</v>
      </c>
      <c r="F968" s="116">
        <v>99.9609375</v>
      </c>
      <c r="G968" s="116">
        <v>100.6951375</v>
      </c>
      <c r="H968" s="116">
        <v>4.1100000000000003</v>
      </c>
      <c r="I968" s="113">
        <v>116</v>
      </c>
      <c r="J968" s="115" t="s">
        <v>271</v>
      </c>
    </row>
    <row r="969" spans="1:10" x14ac:dyDescent="0.25">
      <c r="A969" s="113">
        <v>966</v>
      </c>
      <c r="B969" s="114" t="s">
        <v>1870</v>
      </c>
      <c r="C969" s="115" t="s">
        <v>1871</v>
      </c>
      <c r="D969" s="115" t="s">
        <v>461</v>
      </c>
      <c r="E969" s="115" t="s">
        <v>1851</v>
      </c>
      <c r="F969" s="116">
        <v>99.855468579107054</v>
      </c>
      <c r="G969" s="116">
        <v>101.03076857910706</v>
      </c>
      <c r="H969" s="116">
        <v>4.3099999999999996</v>
      </c>
      <c r="I969" s="113">
        <v>40</v>
      </c>
      <c r="J969" s="115" t="s">
        <v>271</v>
      </c>
    </row>
    <row r="970" spans="1:10" x14ac:dyDescent="0.25">
      <c r="A970" s="113">
        <v>967</v>
      </c>
      <c r="B970" s="114" t="s">
        <v>1872</v>
      </c>
      <c r="C970" s="115" t="s">
        <v>1873</v>
      </c>
      <c r="D970" s="115" t="s">
        <v>461</v>
      </c>
      <c r="E970" s="115" t="s">
        <v>1851</v>
      </c>
      <c r="F970" s="116">
        <v>99.95173861482553</v>
      </c>
      <c r="G970" s="116">
        <v>101.26273861482554</v>
      </c>
      <c r="H970" s="116">
        <v>4.5</v>
      </c>
      <c r="I970" s="113">
        <v>10</v>
      </c>
      <c r="J970" s="115" t="s">
        <v>271</v>
      </c>
    </row>
    <row r="971" spans="1:10" x14ac:dyDescent="0.25">
      <c r="A971" s="113">
        <v>968</v>
      </c>
      <c r="B971" s="114" t="s">
        <v>1874</v>
      </c>
      <c r="C971" s="115" t="s">
        <v>1875</v>
      </c>
      <c r="D971" s="115" t="s">
        <v>461</v>
      </c>
      <c r="E971" s="115" t="s">
        <v>1851</v>
      </c>
      <c r="F971" s="116">
        <v>93.375</v>
      </c>
      <c r="G971" s="116">
        <v>94.146900000000002</v>
      </c>
      <c r="H971" s="116">
        <v>4.01</v>
      </c>
      <c r="I971" s="113">
        <v>2459</v>
      </c>
      <c r="J971" s="115" t="s">
        <v>271</v>
      </c>
    </row>
    <row r="972" spans="1:10" x14ac:dyDescent="0.25">
      <c r="A972" s="113">
        <v>969</v>
      </c>
      <c r="B972" s="114" t="s">
        <v>1908</v>
      </c>
      <c r="C972" s="115" t="s">
        <v>1909</v>
      </c>
      <c r="D972" s="115" t="s">
        <v>461</v>
      </c>
      <c r="E972" s="115" t="s">
        <v>2129</v>
      </c>
      <c r="F972" s="116">
        <v>100</v>
      </c>
      <c r="G972" s="116">
        <v>100.14879999999999</v>
      </c>
      <c r="H972" s="116">
        <v>0.35</v>
      </c>
      <c r="I972" s="113">
        <v>327</v>
      </c>
      <c r="J972" s="115" t="s">
        <v>271</v>
      </c>
    </row>
    <row r="973" spans="1:10" x14ac:dyDescent="0.25">
      <c r="A973" s="113">
        <v>970</v>
      </c>
      <c r="B973" s="114" t="s">
        <v>1910</v>
      </c>
      <c r="C973" s="115" t="s">
        <v>1911</v>
      </c>
      <c r="D973" s="115" t="s">
        <v>461</v>
      </c>
      <c r="E973" s="115" t="s">
        <v>2129</v>
      </c>
      <c r="F973" s="116">
        <v>100</v>
      </c>
      <c r="G973" s="116">
        <v>100.1147</v>
      </c>
      <c r="H973" s="116">
        <v>0.35</v>
      </c>
      <c r="I973" s="113">
        <v>62</v>
      </c>
      <c r="J973" s="115" t="s">
        <v>271</v>
      </c>
    </row>
    <row r="974" spans="1:10" x14ac:dyDescent="0.25">
      <c r="A974" s="113">
        <v>971</v>
      </c>
      <c r="B974" s="114" t="s">
        <v>2325</v>
      </c>
      <c r="C974" s="115" t="s">
        <v>2326</v>
      </c>
      <c r="D974" s="115" t="s">
        <v>461</v>
      </c>
      <c r="E974" s="115" t="s">
        <v>2129</v>
      </c>
      <c r="F974" s="116">
        <v>100</v>
      </c>
      <c r="G974" s="116">
        <v>100.03400000000001</v>
      </c>
      <c r="H974" s="116">
        <v>0.35</v>
      </c>
      <c r="I974" s="113">
        <v>685</v>
      </c>
      <c r="J974" s="115" t="s">
        <v>271</v>
      </c>
    </row>
    <row r="975" spans="1:10" x14ac:dyDescent="0.25">
      <c r="A975" s="113">
        <v>972</v>
      </c>
      <c r="B975" s="114" t="s">
        <v>1912</v>
      </c>
      <c r="C975" s="115" t="s">
        <v>1913</v>
      </c>
      <c r="D975" s="115" t="s">
        <v>461</v>
      </c>
      <c r="E975" s="115" t="s">
        <v>2129</v>
      </c>
      <c r="F975" s="116">
        <v>100</v>
      </c>
      <c r="G975" s="116">
        <v>100.002</v>
      </c>
      <c r="H975" s="116">
        <v>0.02</v>
      </c>
      <c r="I975" s="113">
        <v>3099</v>
      </c>
      <c r="J975" s="115" t="s">
        <v>271</v>
      </c>
    </row>
    <row r="976" spans="1:10" x14ac:dyDescent="0.25">
      <c r="A976" s="113">
        <v>973</v>
      </c>
      <c r="B976" s="114" t="s">
        <v>2408</v>
      </c>
      <c r="C976" s="115" t="s">
        <v>2409</v>
      </c>
      <c r="D976" s="115" t="s">
        <v>461</v>
      </c>
      <c r="E976" s="115" t="s">
        <v>2129</v>
      </c>
      <c r="F976" s="116">
        <v>90.416042251905154</v>
      </c>
      <c r="G976" s="116">
        <v>91.477742251905156</v>
      </c>
      <c r="H976" s="116">
        <v>20.51</v>
      </c>
      <c r="I976" s="113">
        <v>3579</v>
      </c>
      <c r="J976" s="115" t="s">
        <v>271</v>
      </c>
    </row>
    <row r="977" spans="1:10" x14ac:dyDescent="0.25">
      <c r="A977" s="113">
        <v>974</v>
      </c>
      <c r="B977" s="114" t="s">
        <v>1914</v>
      </c>
      <c r="C977" s="115" t="s">
        <v>1915</v>
      </c>
      <c r="D977" s="115" t="s">
        <v>451</v>
      </c>
      <c r="E977" s="115" t="s">
        <v>1916</v>
      </c>
      <c r="F977" s="116">
        <v>0.01</v>
      </c>
      <c r="G977" s="116">
        <v>0.01</v>
      </c>
      <c r="H977" s="116">
        <v>0</v>
      </c>
      <c r="I977" s="113">
        <v>0</v>
      </c>
      <c r="J977" s="115" t="s">
        <v>240</v>
      </c>
    </row>
    <row r="978" spans="1:10" x14ac:dyDescent="0.25">
      <c r="A978" s="113">
        <v>975</v>
      </c>
      <c r="B978" s="114" t="s">
        <v>1917</v>
      </c>
      <c r="C978" s="115" t="s">
        <v>1918</v>
      </c>
      <c r="D978" s="115" t="s">
        <v>451</v>
      </c>
      <c r="E978" s="115" t="s">
        <v>1916</v>
      </c>
      <c r="F978" s="116">
        <v>28000</v>
      </c>
      <c r="G978" s="116">
        <v>28000</v>
      </c>
      <c r="H978" s="116">
        <v>0</v>
      </c>
      <c r="I978" s="113">
        <v>0</v>
      </c>
      <c r="J978" s="115" t="s">
        <v>240</v>
      </c>
    </row>
    <row r="979" spans="1:10" x14ac:dyDescent="0.25">
      <c r="A979" s="113">
        <v>976</v>
      </c>
      <c r="B979" s="114" t="s">
        <v>2238</v>
      </c>
      <c r="C979" s="115" t="s">
        <v>2239</v>
      </c>
      <c r="D979" s="115" t="s">
        <v>461</v>
      </c>
      <c r="E979" s="115" t="s">
        <v>2240</v>
      </c>
      <c r="F979" s="116">
        <v>99.563476932888364</v>
      </c>
      <c r="G979" s="116">
        <v>103.89477693288836</v>
      </c>
      <c r="H979" s="116">
        <v>20.45</v>
      </c>
      <c r="I979" s="113">
        <v>1003</v>
      </c>
      <c r="J979" s="115" t="s">
        <v>271</v>
      </c>
    </row>
    <row r="980" spans="1:10" x14ac:dyDescent="0.25">
      <c r="A980" s="113">
        <v>977</v>
      </c>
      <c r="B980" s="114" t="s">
        <v>2225</v>
      </c>
      <c r="C980" s="115" t="s">
        <v>2226</v>
      </c>
      <c r="D980" s="115" t="s">
        <v>461</v>
      </c>
      <c r="E980" s="115" t="s">
        <v>1919</v>
      </c>
      <c r="F980" s="116">
        <v>100</v>
      </c>
      <c r="G980" s="116">
        <v>100.0817</v>
      </c>
      <c r="H980" s="116">
        <v>0.35</v>
      </c>
      <c r="I980" s="113">
        <v>636</v>
      </c>
      <c r="J980" s="115" t="s">
        <v>271</v>
      </c>
    </row>
    <row r="981" spans="1:10" x14ac:dyDescent="0.25">
      <c r="A981" s="113">
        <v>978</v>
      </c>
      <c r="B981" s="114" t="s">
        <v>1920</v>
      </c>
      <c r="C981" s="115" t="s">
        <v>1921</v>
      </c>
      <c r="D981" s="115" t="s">
        <v>461</v>
      </c>
      <c r="E981" s="115" t="s">
        <v>1919</v>
      </c>
      <c r="F981" s="116">
        <v>100</v>
      </c>
      <c r="G981" s="116">
        <v>100.0034</v>
      </c>
      <c r="H981" s="116">
        <v>0.02</v>
      </c>
      <c r="I981" s="113">
        <v>3099</v>
      </c>
      <c r="J981" s="115" t="s">
        <v>271</v>
      </c>
    </row>
    <row r="982" spans="1:10" x14ac:dyDescent="0.25">
      <c r="A982" s="113">
        <v>979</v>
      </c>
      <c r="B982" s="114" t="s">
        <v>1922</v>
      </c>
      <c r="C982" s="115" t="s">
        <v>1923</v>
      </c>
      <c r="D982" s="115" t="s">
        <v>461</v>
      </c>
      <c r="E982" s="115" t="s">
        <v>1919</v>
      </c>
      <c r="F982" s="116">
        <v>100</v>
      </c>
      <c r="G982" s="116">
        <v>100.0038</v>
      </c>
      <c r="H982" s="116">
        <v>0.02</v>
      </c>
      <c r="I982" s="113">
        <v>3099</v>
      </c>
      <c r="J982" s="115" t="s">
        <v>271</v>
      </c>
    </row>
    <row r="983" spans="1:10" x14ac:dyDescent="0.25">
      <c r="A983" s="113">
        <v>980</v>
      </c>
      <c r="B983" s="114" t="s">
        <v>1924</v>
      </c>
      <c r="C983" s="115" t="s">
        <v>1925</v>
      </c>
      <c r="D983" s="115" t="s">
        <v>461</v>
      </c>
      <c r="E983" s="115" t="s">
        <v>1919</v>
      </c>
      <c r="F983" s="116">
        <v>100</v>
      </c>
      <c r="G983" s="116">
        <v>100.94889999999999</v>
      </c>
      <c r="H983" s="116">
        <v>6.08</v>
      </c>
      <c r="I983" s="113">
        <v>1714</v>
      </c>
      <c r="J983" s="115" t="s">
        <v>271</v>
      </c>
    </row>
    <row r="984" spans="1:10" x14ac:dyDescent="0.25">
      <c r="A984" s="113">
        <v>981</v>
      </c>
      <c r="B984" s="114" t="s">
        <v>1926</v>
      </c>
      <c r="C984" s="115" t="s">
        <v>1927</v>
      </c>
      <c r="D984" s="115" t="s">
        <v>461</v>
      </c>
      <c r="E984" s="115" t="s">
        <v>1919</v>
      </c>
      <c r="F984" s="116">
        <v>100</v>
      </c>
      <c r="G984" s="116">
        <v>105.7983</v>
      </c>
      <c r="H984" s="116">
        <v>7.08</v>
      </c>
      <c r="I984" s="113">
        <v>2196</v>
      </c>
      <c r="J984" s="115" t="s">
        <v>271</v>
      </c>
    </row>
    <row r="985" spans="1:10" x14ac:dyDescent="0.25">
      <c r="A985" s="113">
        <v>982</v>
      </c>
      <c r="B985" s="114" t="s">
        <v>2337</v>
      </c>
      <c r="C985" s="115" t="s">
        <v>2338</v>
      </c>
      <c r="D985" s="115" t="s">
        <v>461</v>
      </c>
      <c r="E985" s="115" t="s">
        <v>1919</v>
      </c>
      <c r="F985" s="116">
        <v>90.418102095566198</v>
      </c>
      <c r="G985" s="116">
        <v>92.0864020955662</v>
      </c>
      <c r="H985" s="116">
        <v>20.5</v>
      </c>
      <c r="I985" s="113">
        <v>3567</v>
      </c>
      <c r="J985" s="115" t="s">
        <v>271</v>
      </c>
    </row>
    <row r="986" spans="1:10" x14ac:dyDescent="0.25">
      <c r="A986" s="113">
        <v>983</v>
      </c>
      <c r="B986" s="114" t="s">
        <v>2410</v>
      </c>
      <c r="C986" s="115" t="s">
        <v>2411</v>
      </c>
      <c r="D986" s="115" t="s">
        <v>461</v>
      </c>
      <c r="E986" s="115" t="s">
        <v>1919</v>
      </c>
      <c r="F986" s="116">
        <v>90.416042251905154</v>
      </c>
      <c r="G986" s="116">
        <v>91.477742251905156</v>
      </c>
      <c r="H986" s="116">
        <v>20.51</v>
      </c>
      <c r="I986" s="113">
        <v>3579</v>
      </c>
      <c r="J986" s="115" t="s">
        <v>271</v>
      </c>
    </row>
    <row r="987" spans="1:10" x14ac:dyDescent="0.25">
      <c r="A987" s="113">
        <v>984</v>
      </c>
      <c r="B987" s="114" t="s">
        <v>1928</v>
      </c>
      <c r="C987" s="115" t="s">
        <v>1929</v>
      </c>
      <c r="D987" s="115" t="s">
        <v>461</v>
      </c>
      <c r="E987" s="115" t="s">
        <v>1919</v>
      </c>
      <c r="F987" s="116">
        <v>100</v>
      </c>
      <c r="G987" s="116">
        <v>100.1186</v>
      </c>
      <c r="H987" s="116">
        <v>6.09</v>
      </c>
      <c r="I987" s="113">
        <v>2123</v>
      </c>
      <c r="J987" s="115" t="s">
        <v>271</v>
      </c>
    </row>
    <row r="988" spans="1:10" x14ac:dyDescent="0.25">
      <c r="A988" s="113">
        <v>985</v>
      </c>
      <c r="B988" s="114" t="s">
        <v>1930</v>
      </c>
      <c r="C988" s="115" t="s">
        <v>1931</v>
      </c>
      <c r="D988" s="115" t="s">
        <v>461</v>
      </c>
      <c r="E988" s="115" t="s">
        <v>1919</v>
      </c>
      <c r="F988" s="116">
        <v>100</v>
      </c>
      <c r="G988" s="116">
        <v>105.0664</v>
      </c>
      <c r="H988" s="116">
        <v>6.08</v>
      </c>
      <c r="I988" s="113">
        <v>2551</v>
      </c>
      <c r="J988" s="115" t="s">
        <v>271</v>
      </c>
    </row>
    <row r="989" spans="1:10" x14ac:dyDescent="0.25">
      <c r="A989" s="113">
        <v>986</v>
      </c>
      <c r="B989" s="114" t="s">
        <v>1932</v>
      </c>
      <c r="C989" s="115" t="s">
        <v>1933</v>
      </c>
      <c r="D989" s="115" t="s">
        <v>461</v>
      </c>
      <c r="E989" s="115" t="s">
        <v>1919</v>
      </c>
      <c r="F989" s="116">
        <v>100</v>
      </c>
      <c r="G989" s="116">
        <v>105.0664</v>
      </c>
      <c r="H989" s="116">
        <v>6.08</v>
      </c>
      <c r="I989" s="113">
        <v>2551</v>
      </c>
      <c r="J989" s="115" t="s">
        <v>271</v>
      </c>
    </row>
    <row r="990" spans="1:10" x14ac:dyDescent="0.25">
      <c r="A990" s="113">
        <v>987</v>
      </c>
      <c r="B990" s="114" t="s">
        <v>1934</v>
      </c>
      <c r="C990" s="115" t="s">
        <v>1935</v>
      </c>
      <c r="D990" s="115" t="s">
        <v>461</v>
      </c>
      <c r="E990" s="115" t="s">
        <v>1919</v>
      </c>
      <c r="F990" s="116">
        <v>100</v>
      </c>
      <c r="G990" s="116">
        <v>103.9311</v>
      </c>
      <c r="H990" s="116">
        <v>6.08</v>
      </c>
      <c r="I990" s="113">
        <v>2618</v>
      </c>
      <c r="J990" s="115" t="s">
        <v>271</v>
      </c>
    </row>
    <row r="991" spans="1:10" x14ac:dyDescent="0.25">
      <c r="A991" s="113">
        <v>988</v>
      </c>
      <c r="B991" s="114" t="s">
        <v>1936</v>
      </c>
      <c r="C991" s="115" t="s">
        <v>1937</v>
      </c>
      <c r="D991" s="115" t="s">
        <v>451</v>
      </c>
      <c r="E991" s="115" t="s">
        <v>1938</v>
      </c>
      <c r="F991" s="116">
        <v>24399.435000000001</v>
      </c>
      <c r="G991" s="116">
        <v>24399.435000000001</v>
      </c>
      <c r="H991" s="116">
        <v>0</v>
      </c>
      <c r="I991" s="113">
        <v>0</v>
      </c>
      <c r="J991" s="115" t="s">
        <v>240</v>
      </c>
    </row>
    <row r="992" spans="1:10" x14ac:dyDescent="0.25">
      <c r="A992" s="113">
        <v>989</v>
      </c>
      <c r="B992" s="114" t="s">
        <v>1939</v>
      </c>
      <c r="C992" s="115" t="s">
        <v>1940</v>
      </c>
      <c r="D992" s="115" t="s">
        <v>761</v>
      </c>
      <c r="E992" s="115" t="s">
        <v>1941</v>
      </c>
      <c r="F992" s="116">
        <v>44881.282500000001</v>
      </c>
      <c r="G992" s="116">
        <v>44881.282500000001</v>
      </c>
      <c r="H992" s="116">
        <v>0</v>
      </c>
      <c r="I992" s="113">
        <v>0</v>
      </c>
      <c r="J992" s="115" t="s">
        <v>240</v>
      </c>
    </row>
    <row r="993" spans="1:10" x14ac:dyDescent="0.25">
      <c r="A993" s="113">
        <v>990</v>
      </c>
      <c r="B993" s="114" t="s">
        <v>1942</v>
      </c>
      <c r="C993" s="115" t="s">
        <v>1943</v>
      </c>
      <c r="D993" s="115" t="s">
        <v>761</v>
      </c>
      <c r="E993" s="115" t="s">
        <v>1941</v>
      </c>
      <c r="F993" s="116">
        <v>46539.862500000003</v>
      </c>
      <c r="G993" s="116">
        <v>46539.862500000003</v>
      </c>
      <c r="H993" s="116">
        <v>0</v>
      </c>
      <c r="I993" s="113">
        <v>0</v>
      </c>
      <c r="J993" s="115" t="s">
        <v>240</v>
      </c>
    </row>
    <row r="994" spans="1:10" x14ac:dyDescent="0.25">
      <c r="A994" s="113">
        <v>991</v>
      </c>
      <c r="B994" s="114" t="s">
        <v>1944</v>
      </c>
      <c r="C994" s="115" t="s">
        <v>1945</v>
      </c>
      <c r="D994" s="115" t="s">
        <v>451</v>
      </c>
      <c r="E994" s="115" t="s">
        <v>1946</v>
      </c>
      <c r="F994" s="116">
        <v>58666.8825</v>
      </c>
      <c r="G994" s="116">
        <v>58666.8825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1947</v>
      </c>
      <c r="C995" s="115" t="s">
        <v>1948</v>
      </c>
      <c r="D995" s="115" t="s">
        <v>451</v>
      </c>
      <c r="E995" s="115" t="s">
        <v>1949</v>
      </c>
      <c r="F995" s="116">
        <v>1000</v>
      </c>
      <c r="G995" s="116">
        <v>1000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1950</v>
      </c>
      <c r="C996" s="115" t="s">
        <v>1951</v>
      </c>
      <c r="D996" s="115" t="s">
        <v>451</v>
      </c>
      <c r="E996" s="115" t="s">
        <v>1952</v>
      </c>
      <c r="F996" s="116">
        <v>0.01</v>
      </c>
      <c r="G996" s="116">
        <v>0.01</v>
      </c>
      <c r="H996" s="116">
        <v>0</v>
      </c>
      <c r="I996" s="113">
        <v>2824</v>
      </c>
      <c r="J996" s="115" t="s">
        <v>240</v>
      </c>
    </row>
    <row r="997" spans="1:10" x14ac:dyDescent="0.25">
      <c r="A997" s="113">
        <v>994</v>
      </c>
      <c r="B997" s="114" t="s">
        <v>1953</v>
      </c>
      <c r="C997" s="115" t="s">
        <v>1954</v>
      </c>
      <c r="D997" s="115" t="s">
        <v>451</v>
      </c>
      <c r="E997" s="115" t="s">
        <v>1952</v>
      </c>
      <c r="F997" s="116">
        <v>0.01</v>
      </c>
      <c r="G997" s="116">
        <v>0.01</v>
      </c>
      <c r="H997" s="116">
        <v>0</v>
      </c>
      <c r="I997" s="113">
        <v>2663</v>
      </c>
      <c r="J997" s="115" t="s">
        <v>240</v>
      </c>
    </row>
    <row r="998" spans="1:10" x14ac:dyDescent="0.25">
      <c r="A998" s="113">
        <v>995</v>
      </c>
      <c r="B998" s="114" t="s">
        <v>1955</v>
      </c>
      <c r="C998" s="115" t="s">
        <v>1956</v>
      </c>
      <c r="D998" s="115" t="s">
        <v>461</v>
      </c>
      <c r="E998" s="115" t="s">
        <v>1957</v>
      </c>
      <c r="F998" s="116">
        <v>100</v>
      </c>
      <c r="G998" s="116">
        <v>100.37779999999999</v>
      </c>
      <c r="H998" s="116">
        <v>4.24</v>
      </c>
      <c r="I998" s="113">
        <v>268</v>
      </c>
      <c r="J998" s="115" t="s">
        <v>271</v>
      </c>
    </row>
    <row r="999" spans="1:10" x14ac:dyDescent="0.25">
      <c r="A999" s="113">
        <v>996</v>
      </c>
      <c r="B999" s="114" t="s">
        <v>1958</v>
      </c>
      <c r="C999" s="115" t="s">
        <v>1959</v>
      </c>
      <c r="D999" s="115" t="s">
        <v>461</v>
      </c>
      <c r="E999" s="115" t="s">
        <v>1957</v>
      </c>
      <c r="F999" s="116">
        <v>100</v>
      </c>
      <c r="G999" s="116">
        <v>100.0797</v>
      </c>
      <c r="H999" s="116">
        <v>0.35</v>
      </c>
      <c r="I999" s="113">
        <v>98</v>
      </c>
      <c r="J999" s="115" t="s">
        <v>271</v>
      </c>
    </row>
    <row r="1000" spans="1:10" x14ac:dyDescent="0.25">
      <c r="A1000" s="113">
        <v>997</v>
      </c>
      <c r="B1000" s="114" t="s">
        <v>1960</v>
      </c>
      <c r="C1000" s="115" t="s">
        <v>1961</v>
      </c>
      <c r="D1000" s="115" t="s">
        <v>461</v>
      </c>
      <c r="E1000" s="115" t="s">
        <v>1957</v>
      </c>
      <c r="F1000" s="116">
        <v>100</v>
      </c>
      <c r="G1000" s="116">
        <v>100.09139999999999</v>
      </c>
      <c r="H1000" s="116">
        <v>0.35</v>
      </c>
      <c r="I1000" s="113">
        <v>266</v>
      </c>
      <c r="J1000" s="115" t="s">
        <v>271</v>
      </c>
    </row>
    <row r="1001" spans="1:10" x14ac:dyDescent="0.25">
      <c r="A1001" s="113">
        <v>998</v>
      </c>
      <c r="B1001" s="114" t="s">
        <v>2149</v>
      </c>
      <c r="C1001" s="115" t="s">
        <v>2150</v>
      </c>
      <c r="D1001" s="115" t="s">
        <v>461</v>
      </c>
      <c r="E1001" s="115" t="s">
        <v>1957</v>
      </c>
      <c r="F1001" s="116">
        <v>100</v>
      </c>
      <c r="G1001" s="116">
        <v>100.11960000000001</v>
      </c>
      <c r="H1001" s="116">
        <v>0.35</v>
      </c>
      <c r="I1001" s="113">
        <v>597</v>
      </c>
      <c r="J1001" s="115" t="s">
        <v>271</v>
      </c>
    </row>
    <row r="1002" spans="1:10" x14ac:dyDescent="0.25">
      <c r="A1002" s="113">
        <v>999</v>
      </c>
      <c r="B1002" s="114" t="s">
        <v>2327</v>
      </c>
      <c r="C1002" s="115" t="s">
        <v>2328</v>
      </c>
      <c r="D1002" s="115" t="s">
        <v>461</v>
      </c>
      <c r="E1002" s="115" t="s">
        <v>1957</v>
      </c>
      <c r="F1002" s="116">
        <v>100</v>
      </c>
      <c r="G1002" s="116">
        <v>100.03400000000001</v>
      </c>
      <c r="H1002" s="116">
        <v>0.35</v>
      </c>
      <c r="I1002" s="113">
        <v>685</v>
      </c>
      <c r="J1002" s="115" t="s">
        <v>271</v>
      </c>
    </row>
    <row r="1003" spans="1:10" x14ac:dyDescent="0.25">
      <c r="A1003" s="113">
        <v>1000</v>
      </c>
      <c r="B1003" s="114" t="s">
        <v>1962</v>
      </c>
      <c r="C1003" s="115" t="s">
        <v>1963</v>
      </c>
      <c r="D1003" s="115" t="s">
        <v>461</v>
      </c>
      <c r="E1003" s="115" t="s">
        <v>1957</v>
      </c>
      <c r="F1003" s="116">
        <v>100</v>
      </c>
      <c r="G1003" s="116">
        <v>100.0034</v>
      </c>
      <c r="H1003" s="116">
        <v>0.02</v>
      </c>
      <c r="I1003" s="113">
        <v>3099</v>
      </c>
      <c r="J1003" s="115" t="s">
        <v>271</v>
      </c>
    </row>
    <row r="1004" spans="1:10" x14ac:dyDescent="0.25">
      <c r="A1004" s="113">
        <v>1001</v>
      </c>
      <c r="B1004" s="114" t="s">
        <v>1964</v>
      </c>
      <c r="C1004" s="115" t="s">
        <v>1965</v>
      </c>
      <c r="D1004" s="115" t="s">
        <v>461</v>
      </c>
      <c r="E1004" s="115" t="s">
        <v>1957</v>
      </c>
      <c r="F1004" s="116">
        <v>100</v>
      </c>
      <c r="G1004" s="116">
        <v>100.94889999999999</v>
      </c>
      <c r="H1004" s="116">
        <v>6.08</v>
      </c>
      <c r="I1004" s="113">
        <v>1714</v>
      </c>
      <c r="J1004" s="115" t="s">
        <v>271</v>
      </c>
    </row>
    <row r="1005" spans="1:10" x14ac:dyDescent="0.25">
      <c r="A1005" s="113">
        <v>1002</v>
      </c>
      <c r="B1005" s="114" t="s">
        <v>1966</v>
      </c>
      <c r="C1005" s="115" t="s">
        <v>1967</v>
      </c>
      <c r="D1005" s="115" t="s">
        <v>461</v>
      </c>
      <c r="E1005" s="115" t="s">
        <v>1957</v>
      </c>
      <c r="F1005" s="116">
        <v>100</v>
      </c>
      <c r="G1005" s="116">
        <v>105.7983</v>
      </c>
      <c r="H1005" s="116">
        <v>7.08</v>
      </c>
      <c r="I1005" s="113">
        <v>2196</v>
      </c>
      <c r="J1005" s="115" t="s">
        <v>271</v>
      </c>
    </row>
    <row r="1006" spans="1:10" x14ac:dyDescent="0.25">
      <c r="A1006" s="113">
        <v>1003</v>
      </c>
      <c r="B1006" s="114" t="s">
        <v>2339</v>
      </c>
      <c r="C1006" s="115" t="s">
        <v>2340</v>
      </c>
      <c r="D1006" s="115" t="s">
        <v>461</v>
      </c>
      <c r="E1006" s="115" t="s">
        <v>1957</v>
      </c>
      <c r="F1006" s="116">
        <v>90.418102095566198</v>
      </c>
      <c r="G1006" s="116">
        <v>92.0864020955662</v>
      </c>
      <c r="H1006" s="116">
        <v>20.5</v>
      </c>
      <c r="I1006" s="113">
        <v>3567</v>
      </c>
      <c r="J1006" s="115" t="s">
        <v>271</v>
      </c>
    </row>
    <row r="1007" spans="1:10" x14ac:dyDescent="0.25">
      <c r="A1007" s="113">
        <v>1004</v>
      </c>
      <c r="B1007" s="114" t="s">
        <v>1968</v>
      </c>
      <c r="C1007" s="115" t="s">
        <v>1969</v>
      </c>
      <c r="D1007" s="115" t="s">
        <v>461</v>
      </c>
      <c r="E1007" s="115" t="s">
        <v>1957</v>
      </c>
      <c r="F1007" s="116">
        <v>100</v>
      </c>
      <c r="G1007" s="116">
        <v>100.1186</v>
      </c>
      <c r="H1007" s="116">
        <v>6.09</v>
      </c>
      <c r="I1007" s="113">
        <v>2123</v>
      </c>
      <c r="J1007" s="115" t="s">
        <v>271</v>
      </c>
    </row>
    <row r="1008" spans="1:10" x14ac:dyDescent="0.25">
      <c r="A1008" s="113">
        <v>1005</v>
      </c>
      <c r="B1008" s="114" t="s">
        <v>1970</v>
      </c>
      <c r="C1008" s="115" t="s">
        <v>1971</v>
      </c>
      <c r="D1008" s="115" t="s">
        <v>461</v>
      </c>
      <c r="E1008" s="115" t="s">
        <v>1957</v>
      </c>
      <c r="F1008" s="116">
        <v>100</v>
      </c>
      <c r="G1008" s="116">
        <v>105.0664</v>
      </c>
      <c r="H1008" s="116">
        <v>6.08</v>
      </c>
      <c r="I1008" s="113">
        <v>2551</v>
      </c>
      <c r="J1008" s="115" t="s">
        <v>271</v>
      </c>
    </row>
    <row r="1009" spans="1:10" x14ac:dyDescent="0.25">
      <c r="A1009" s="113">
        <v>1006</v>
      </c>
      <c r="B1009" s="114" t="s">
        <v>1972</v>
      </c>
      <c r="C1009" s="115" t="s">
        <v>1973</v>
      </c>
      <c r="D1009" s="115" t="s">
        <v>461</v>
      </c>
      <c r="E1009" s="115" t="s">
        <v>1957</v>
      </c>
      <c r="F1009" s="116">
        <v>100</v>
      </c>
      <c r="G1009" s="116">
        <v>105.0664</v>
      </c>
      <c r="H1009" s="116">
        <v>6.08</v>
      </c>
      <c r="I1009" s="113">
        <v>2551</v>
      </c>
      <c r="J1009" s="115" t="s">
        <v>271</v>
      </c>
    </row>
  </sheetData>
  <conditionalFormatting sqref="A4:A1009">
    <cfRule type="expression" dxfId="5" priority="9" stopIfTrue="1">
      <formula>A4&lt;&gt;""</formula>
    </cfRule>
  </conditionalFormatting>
  <conditionalFormatting sqref="A5:A1009">
    <cfRule type="expression" dxfId="4" priority="10" stopIfTrue="1">
      <formula>С4&lt;&gt;""</formula>
    </cfRule>
  </conditionalFormatting>
  <conditionalFormatting sqref="F4:I1009">
    <cfRule type="expression" dxfId="3" priority="1" stopIfTrue="1">
      <formula>F4&lt;&gt;""</formula>
    </cfRule>
  </conditionalFormatting>
  <conditionalFormatting sqref="G4:G1009">
    <cfRule type="expression" dxfId="2" priority="4" stopIfTrue="1">
      <formula>G&lt;&gt;""</formula>
    </cfRule>
  </conditionalFormatting>
  <conditionalFormatting sqref="H4:H1009">
    <cfRule type="expression" dxfId="1" priority="6" stopIfTrue="1">
      <formula>H&lt;&gt;""</formula>
    </cfRule>
  </conditionalFormatting>
  <conditionalFormatting sqref="I4:I1009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21.08.25</vt:lpstr>
      <vt:lpstr>Риск цены за 21.08.25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2025-08-21T14:48:04Z</dcterms:modified>
</cp:coreProperties>
</file>