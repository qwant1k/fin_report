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21562182-326D-4AA6-8A11-8E92A69714C6}" xr6:coauthVersionLast="47" xr6:coauthVersionMax="47" xr10:uidLastSave="{00000000-0000-0000-0000-000000000000}"/>
  <bookViews>
    <workbookView xWindow="-120" yWindow="-120" windowWidth="29040" windowHeight="15720" xr2:uid="{802F3854-2676-44FC-BFD8-A583190E1128}"/>
  </bookViews>
  <sheets>
    <sheet name="Лист1" sheetId="1" r:id="rId1"/>
    <sheet name="Расчет ДУ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G2" i="2"/>
  <c r="B2" i="2" l="1"/>
  <c r="F2" i="2"/>
  <c r="C2" i="2"/>
  <c r="G59" i="1"/>
  <c r="F59" i="1"/>
  <c r="G58" i="1"/>
  <c r="F58" i="1"/>
  <c r="E40" i="1"/>
  <c r="P34" i="1"/>
  <c r="P22" i="1"/>
  <c r="F24" i="1"/>
  <c r="H2" i="2" l="1"/>
  <c r="F54" i="1"/>
  <c r="G54" i="1" s="1"/>
</calcChain>
</file>

<file path=xl/sharedStrings.xml><?xml version="1.0" encoding="utf-8"?>
<sst xmlns="http://schemas.openxmlformats.org/spreadsheetml/2006/main" count="132" uniqueCount="99">
  <si>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</si>
  <si>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</si>
  <si>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</si>
  <si>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</si>
  <si>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</si>
  <si>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</si>
  <si>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</si>
  <si>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</si>
  <si>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</si>
  <si>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</si>
  <si>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</si>
  <si>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</si>
  <si>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</si>
  <si>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</si>
  <si>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</si>
  <si>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</si>
  <si>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</si>
  <si>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</si>
  <si>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</si>
  <si>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</si>
  <si>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</si>
  <si>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</si>
  <si>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</si>
  <si>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</si>
  <si>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</si>
  <si>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</si>
  <si>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</si>
  <si>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</si>
  <si>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</si>
  <si>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</si>
  <si>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</si>
  <si>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</si>
  <si>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</si>
  <si>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</si>
  <si>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</si>
  <si>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</si>
  <si>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</si>
  <si>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</si>
  <si>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</si>
  <si>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</si>
  <si>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</si>
  <si>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</si>
  <si>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</si>
  <si>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</si>
  <si>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</si>
  <si>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</si>
  <si>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</si>
  <si>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</si>
  <si>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</si>
  <si>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</si>
  <si>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облигации Министерства Республики Казахстан, Репо</t>
  </si>
  <si>
    <t>KZKD00001079</t>
  </si>
  <si>
    <t>Дисконтная облигация МЕККАМ Министерство финансов Республики Казахстан, Репо</t>
  </si>
  <si>
    <t>KZK100000365</t>
  </si>
  <si>
    <t>Купонные облигации Министерства Финансов Республики Казахстан, Репо</t>
  </si>
  <si>
    <t>XS2914770545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</si>
  <si>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</si>
  <si>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</si>
  <si>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</si>
  <si>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</si>
  <si>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</si>
  <si>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</si>
  <si>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</si>
  <si>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</si>
  <si>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</si>
  <si>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</si>
  <si>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</si>
  <si>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</si>
  <si>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</si>
  <si>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</si>
  <si>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</si>
  <si>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</si>
  <si>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</si>
  <si>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</si>
  <si>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</si>
  <si>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</si>
  <si>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</si>
  <si>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</si>
  <si>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</si>
  <si>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</si>
  <si>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</si>
  <si>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</si>
  <si>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</si>
  <si>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</si>
  <si>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</si>
  <si>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</si>
  <si>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</si>
  <si>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</si>
  <si>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>итого грязных</t>
  </si>
  <si>
    <t>среднее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</si>
  <si>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</si>
  <si>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</si>
  <si>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</si>
  <si>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</si>
  <si>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</si>
  <si>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июнь   (без учета корректировки)</t>
  </si>
  <si>
    <t>Фактическая комиссия за июнь</t>
  </si>
  <si>
    <t>Корректировка комиссии ДУ за июнь</t>
  </si>
  <si>
    <t>Комиссия ДУ за июль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</si>
</sst>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1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166" fontId="15" fillId="0" borderId="0" xfId="0" applyNumberFormat="1" applyFont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  <xf numFmtId="171" fontId="8" fillId="0" borderId="0" xfId="0" applyNumberFormat="1" applyFont="1"/>
    <xf numFmtId="0" fontId="2" fillId="0" borderId="12" xfId="0" applyFont="1" applyBorder="1"/>
    <xf numFmtId="0" fontId="2" fillId="0" borderId="13" xfId="0" applyFont="1" applyBorder="1"/>
    <xf numFmtId="4" fontId="7" fillId="0" borderId="14" xfId="0" applyNumberFormat="1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170" fontId="0" fillId="0" borderId="0" xfId="3" applyNumberFormat="1" applyFont="1"/>
    <xf numFmtId="171" fontId="0" fillId="0" borderId="0" xfId="0" applyNumberFormat="1"/>
    <xf numFmtId="43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43" fontId="8" fillId="0" borderId="0" xfId="2" applyFont="1"/>
    <xf numFmtId="43" fontId="0" fillId="0" borderId="2" xfId="2" applyFont="1" applyBorder="1"/>
    <xf numFmtId="43" fontId="0" fillId="0" borderId="2" xfId="2" applyFont="1" applyFill="1" applyBorder="1"/>
  </cellXfs>
  <cellStyles count="4">
    <cellStyle name="Обычный" xfId="0" builtinId="0"/>
    <cellStyle name="Финансовый" xfId="2" builtinId="3"/>
    <cellStyle name="Финансовый 2" xfId="1" xr:uid="{A368E36A-1B10-4B58-9BF6-B0DD9218B6D2}"/>
    <cellStyle name="Финансовый 4" xfId="3" xr:uid="{A9C95F29-55DB-4950-BFBC-DE03679649A3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95250</xdr:rowOff>
    </xdr:from>
    <xdr:to>
      <xdr:col>3</xdr:col>
      <xdr:colOff>2740521</xdr:colOff>
      <xdr:row>48</xdr:row>
      <xdr:rowOff>86920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A8E070F-5A74-43B7-B9D4-55E7CA14C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66750"/>
          <a:ext cx="7503021" cy="85641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107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20">
          <cell r="C20">
            <v>256654.43000000005</v>
          </cell>
          <cell r="D20">
            <v>513649.22000000026</v>
          </cell>
          <cell r="E20">
            <v>746588.95496010967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A7CB-5366-4BED-BEDA-F0819F68D7E6}">
  <dimension ref="A1:P65"/>
  <sheetViews>
    <sheetView tabSelected="1" topLeftCell="A41" zoomScale="85" zoomScaleNormal="85" workbookViewId="0">
      <selection activeCell="D55" sqref="D5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23.42578125" bestFit="1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22.57031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84.4221</v>
      </c>
      <c r="K7" s="21">
        <v>86.297849999999997</v>
      </c>
      <c r="L7" s="21">
        <v>117234375</v>
      </c>
      <c r="M7" s="21">
        <v>5393615625</v>
      </c>
      <c r="N7" s="25">
        <v>12.871284657285628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97.691599999999994</v>
      </c>
      <c r="K8" s="21">
        <v>97.958349999999996</v>
      </c>
      <c r="L8" s="21">
        <v>13337500</v>
      </c>
      <c r="M8" s="21">
        <v>4897917500</v>
      </c>
      <c r="N8" s="25">
        <v>11.6883542976611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86.545199999999994</v>
      </c>
      <c r="K9" s="21">
        <v>89.665199999999999</v>
      </c>
      <c r="L9" s="21">
        <v>117000000</v>
      </c>
      <c r="M9" s="21">
        <v>3362445000</v>
      </c>
      <c r="N9" s="25">
        <v>8.0241140171101399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84.87</v>
      </c>
      <c r="K10" s="21">
        <v>88.536666666666704</v>
      </c>
      <c r="L10" s="21">
        <v>137500000</v>
      </c>
      <c r="M10" s="21">
        <v>3320125000</v>
      </c>
      <c r="N10" s="25">
        <v>7.9231218803750902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82.987799999999993</v>
      </c>
      <c r="K11" s="21">
        <v>83.046411111111098</v>
      </c>
      <c r="L11" s="21">
        <v>2197916.6666666698</v>
      </c>
      <c r="M11" s="21">
        <v>3114240416.6666698</v>
      </c>
      <c r="N11" s="25">
        <v>7.4318004249960703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78.102000000000004</v>
      </c>
      <c r="K12" s="21">
        <v>81.907277777777793</v>
      </c>
      <c r="L12" s="21">
        <v>142697916.66666701</v>
      </c>
      <c r="M12" s="21">
        <v>3071522916.6666698</v>
      </c>
      <c r="N12" s="25">
        <v>7.3298596971846504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68.824200000000005</v>
      </c>
      <c r="K13" s="21">
        <v>71.265311111111103</v>
      </c>
      <c r="L13" s="21">
        <v>91541666.666666701</v>
      </c>
      <c r="M13" s="21">
        <v>2672449166.6666698</v>
      </c>
      <c r="N13" s="25">
        <v>6.3775130353847604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77.014300000000006</v>
      </c>
      <c r="K14" s="21">
        <v>77.132633333333303</v>
      </c>
      <c r="L14" s="21">
        <v>4437500</v>
      </c>
      <c r="M14" s="21">
        <v>2892473750</v>
      </c>
      <c r="N14" s="25">
        <v>6.9025780827636201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62.820099999999996</v>
      </c>
      <c r="K15" s="21">
        <v>64.568600000000004</v>
      </c>
      <c r="L15" s="21">
        <v>65568750</v>
      </c>
      <c r="M15" s="21">
        <v>2421322500</v>
      </c>
      <c r="N15" s="25">
        <v>5.7782262050960398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61.4587</v>
      </c>
      <c r="K16" s="21">
        <v>65.516116666666704</v>
      </c>
      <c r="L16" s="21">
        <v>152153125</v>
      </c>
      <c r="M16" s="21">
        <v>2456854375</v>
      </c>
      <c r="N16" s="25">
        <v>5.8630192102579697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85.63</v>
      </c>
      <c r="K17" s="21">
        <v>90.396666666666704</v>
      </c>
      <c r="L17" s="21">
        <v>95333333.333333299</v>
      </c>
      <c r="M17" s="21">
        <v>1807933333.3333299</v>
      </c>
      <c r="N17" s="25">
        <v>4.3144388092595296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85.63</v>
      </c>
      <c r="K18" s="21">
        <v>90.396666666666704</v>
      </c>
      <c r="L18" s="21">
        <v>143000000</v>
      </c>
      <c r="M18" s="21">
        <v>2711900000</v>
      </c>
      <c r="N18" s="25">
        <v>6.47165821388929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82.987799999999993</v>
      </c>
      <c r="K19" s="21">
        <v>83.046411111111098</v>
      </c>
      <c r="L19" s="21">
        <v>586111.11111111101</v>
      </c>
      <c r="M19" s="21">
        <v>830464111.11111104</v>
      </c>
      <c r="N19" s="25">
        <v>1.9818134466656201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72.618499999999997</v>
      </c>
      <c r="K20" s="21">
        <v>82.649888888888896</v>
      </c>
      <c r="L20" s="21">
        <v>100313888.888889</v>
      </c>
      <c r="M20" s="21">
        <v>826498888.88888896</v>
      </c>
      <c r="N20" s="25">
        <v>1.9723508695188401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93.235330027991196</v>
      </c>
      <c r="K21" s="21">
        <v>106.224496694658</v>
      </c>
      <c r="L21" s="21">
        <v>259783333.33333299</v>
      </c>
      <c r="M21" s="21">
        <v>2124489933.8931601</v>
      </c>
      <c r="N21" s="25">
        <v>5.0698671525516401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1442685416.6666701</v>
      </c>
      <c r="M22" s="35">
        <v>41904252517.226501</v>
      </c>
      <c r="N22" s="36">
        <v>100</v>
      </c>
      <c r="O22" s="41">
        <v>41904252517.226494</v>
      </c>
      <c r="P22" s="10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301009.05</v>
      </c>
      <c r="E24" s="102">
        <v>301009.05</v>
      </c>
      <c r="F24" s="10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18324</v>
      </c>
      <c r="E28" s="57" t="s">
        <v>35</v>
      </c>
      <c r="F28" s="58">
        <v>45869</v>
      </c>
      <c r="G28" s="58">
        <v>45870</v>
      </c>
      <c r="H28" s="59">
        <v>655.16099978170701</v>
      </c>
      <c r="I28" s="59">
        <v>655.43921905697448</v>
      </c>
      <c r="J28" s="60">
        <v>12005170.16</v>
      </c>
      <c r="K28" s="60">
        <v>12010268.25</v>
      </c>
      <c r="L28" s="61">
        <v>15.5</v>
      </c>
      <c r="M28" s="62">
        <v>0</v>
      </c>
      <c r="N28" s="63">
        <v>12005170.16</v>
      </c>
      <c r="O28" s="51"/>
    </row>
    <row r="29" spans="1:16" ht="26.25" thickBot="1" x14ac:dyDescent="0.3">
      <c r="A29" s="53">
        <v>2</v>
      </c>
      <c r="B29" s="54" t="s">
        <v>50</v>
      </c>
      <c r="C29" s="55" t="s">
        <v>51</v>
      </c>
      <c r="D29" s="56">
        <v>3032293</v>
      </c>
      <c r="E29" s="57" t="s">
        <v>35</v>
      </c>
      <c r="F29" s="58">
        <v>45869</v>
      </c>
      <c r="G29" s="58">
        <v>45870</v>
      </c>
      <c r="H29" s="59">
        <v>656.83300000033</v>
      </c>
      <c r="I29" s="59">
        <v>657.11372862384997</v>
      </c>
      <c r="J29" s="60">
        <v>1991710108.0699999</v>
      </c>
      <c r="K29" s="60">
        <v>1992561359.51</v>
      </c>
      <c r="L29" s="61">
        <v>15.6</v>
      </c>
      <c r="M29" s="62">
        <v>0</v>
      </c>
      <c r="N29" s="63">
        <v>1991710108.0699999</v>
      </c>
      <c r="O29" s="51"/>
    </row>
    <row r="30" spans="1:16" ht="39" thickBot="1" x14ac:dyDescent="0.3">
      <c r="A30" s="53">
        <v>3</v>
      </c>
      <c r="B30" s="54" t="s">
        <v>52</v>
      </c>
      <c r="C30" s="55" t="s">
        <v>53</v>
      </c>
      <c r="D30" s="56">
        <v>300411</v>
      </c>
      <c r="E30" s="57" t="s">
        <v>35</v>
      </c>
      <c r="F30" s="58">
        <v>45868</v>
      </c>
      <c r="G30" s="58">
        <v>45875</v>
      </c>
      <c r="H30" s="59">
        <v>96.5419999933425</v>
      </c>
      <c r="I30" s="59">
        <v>96.833054282299898</v>
      </c>
      <c r="J30" s="60">
        <v>29002278.760000002</v>
      </c>
      <c r="K30" s="60">
        <v>29089714.670000002</v>
      </c>
      <c r="L30" s="61">
        <v>15.72</v>
      </c>
      <c r="M30" s="62">
        <v>12490.84</v>
      </c>
      <c r="N30" s="63">
        <v>29014769.600000001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6076686</v>
      </c>
      <c r="E31" s="57" t="s">
        <v>35</v>
      </c>
      <c r="F31" s="58">
        <v>45868</v>
      </c>
      <c r="G31" s="58">
        <v>45875</v>
      </c>
      <c r="H31" s="59">
        <v>532.46600000065803</v>
      </c>
      <c r="I31" s="59">
        <v>534.07331791539002</v>
      </c>
      <c r="J31" s="60">
        <v>3235628687.6799998</v>
      </c>
      <c r="K31" s="60">
        <v>3245395853.9499998</v>
      </c>
      <c r="L31" s="61">
        <v>15.74</v>
      </c>
      <c r="M31" s="62">
        <v>1395309.47</v>
      </c>
      <c r="N31" s="63">
        <v>3237023997.1500001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44804</v>
      </c>
      <c r="E32" s="57" t="s">
        <v>35</v>
      </c>
      <c r="F32" s="58">
        <v>45867</v>
      </c>
      <c r="G32" s="58">
        <v>45881</v>
      </c>
      <c r="H32" s="59">
        <v>1027.11900008928</v>
      </c>
      <c r="I32" s="59">
        <v>1033.2875223194401</v>
      </c>
      <c r="J32" s="60">
        <v>46019039.68</v>
      </c>
      <c r="K32" s="60">
        <v>46295414.149999999</v>
      </c>
      <c r="L32" s="61">
        <v>15.6576</v>
      </c>
      <c r="M32" s="62">
        <v>39482.07</v>
      </c>
      <c r="N32" s="63">
        <v>46058521.75</v>
      </c>
      <c r="O32" s="51"/>
    </row>
    <row r="33" spans="1:16" ht="39" thickBot="1" x14ac:dyDescent="0.3">
      <c r="A33" s="53">
        <v>6</v>
      </c>
      <c r="B33" s="54" t="s">
        <v>58</v>
      </c>
      <c r="C33" s="55" t="s">
        <v>59</v>
      </c>
      <c r="D33" s="56">
        <v>7704094</v>
      </c>
      <c r="E33" s="57" t="s">
        <v>35</v>
      </c>
      <c r="F33" s="58">
        <v>45867</v>
      </c>
      <c r="G33" s="58">
        <v>45881</v>
      </c>
      <c r="H33" s="59">
        <v>766.03099999948097</v>
      </c>
      <c r="I33" s="59">
        <v>770.67335773161699</v>
      </c>
      <c r="J33" s="60">
        <v>5901574830.9099998</v>
      </c>
      <c r="K33" s="60">
        <v>5937339991.2600002</v>
      </c>
      <c r="L33" s="61">
        <v>15.8</v>
      </c>
      <c r="M33" s="62">
        <v>5109308.62</v>
      </c>
      <c r="N33" s="63">
        <v>5906684139.5299997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6556591</v>
      </c>
      <c r="N34" s="72">
        <v>11222496706.26</v>
      </c>
      <c r="O34" s="105">
        <v>11222496706.26</v>
      </c>
      <c r="P34" s="106">
        <f>N34-O34</f>
        <v>0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99">
        <v>53127050232.536499</v>
      </c>
      <c r="D40" s="107">
        <v>53127050232.536499</v>
      </c>
      <c r="E40" s="108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 t="s">
        <v>90</v>
      </c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101">
        <v>1648799790402.9299</v>
      </c>
      <c r="K51" s="43" t="s">
        <v>88</v>
      </c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>
        <f>'Расчет ДУ'!H2</f>
        <v>3988579.0427629142</v>
      </c>
      <c r="E52" s="87"/>
      <c r="F52" s="42"/>
      <c r="G52" s="43"/>
      <c r="H52" s="43"/>
      <c r="I52" s="43"/>
      <c r="J52" s="101">
        <v>53187090013</v>
      </c>
      <c r="K52" s="43" t="s">
        <v>89</v>
      </c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107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120">
        <v>677588.96</v>
      </c>
      <c r="E54" s="90"/>
      <c r="F54" s="112">
        <f>[1]Report!$E$20</f>
        <v>746588.95496010967</v>
      </c>
      <c r="G54" s="113">
        <f>(D54+D55-F54)</f>
        <v>5.0398902967572212E-3</v>
      </c>
      <c r="H54" s="43"/>
      <c r="I54" s="43"/>
      <c r="J54" s="119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120">
        <v>69000</v>
      </c>
      <c r="E55" s="90"/>
      <c r="F55" s="112"/>
      <c r="G55" s="11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121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121">
        <v>467293.39285095158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120">
        <v>256654.43</v>
      </c>
      <c r="E58" s="90"/>
      <c r="F58" s="42">
        <f>[1]Report!$C$20</f>
        <v>256654.43000000005</v>
      </c>
      <c r="G58" s="109">
        <f>D58-F58</f>
        <v>0</v>
      </c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120">
        <v>513649.22</v>
      </c>
      <c r="E59" s="90"/>
      <c r="F59" s="42">
        <f>[1]Report!$D$20</f>
        <v>513649.22000000026</v>
      </c>
      <c r="G59" s="109">
        <f>D59-F59</f>
        <v>0</v>
      </c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2">
        <v>11</v>
      </c>
      <c r="C62" s="93" t="s">
        <v>85</v>
      </c>
      <c r="D62" s="94">
        <v>0</v>
      </c>
      <c r="E62" s="95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10" t="s">
        <v>86</v>
      </c>
      <c r="C63" s="111"/>
      <c r="D63" s="96">
        <v>1516892.61</v>
      </c>
      <c r="E63" s="97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8" t="s">
        <v>87</v>
      </c>
      <c r="C65" s="100">
        <v>53125533339.926498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3">
    <mergeCell ref="B63:C63"/>
    <mergeCell ref="F54:F55"/>
    <mergeCell ref="G54:G5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EF42-E546-4F92-B4DE-133836FABFAF}">
  <dimension ref="A1:H3"/>
  <sheetViews>
    <sheetView workbookViewId="0">
      <selection activeCell="H2" sqref="H2"/>
    </sheetView>
  </sheetViews>
  <sheetFormatPr defaultRowHeight="15" x14ac:dyDescent="0.25"/>
  <cols>
    <col min="1" max="1" width="17.5703125" style="41" bestFit="1" customWidth="1"/>
    <col min="2" max="2" width="26.42578125" style="41" bestFit="1" customWidth="1"/>
    <col min="3" max="3" width="27.85546875" style="41" bestFit="1" customWidth="1"/>
    <col min="4" max="4" width="60.7109375" style="41" bestFit="1" customWidth="1"/>
    <col min="5" max="5" width="33.140625" style="41" bestFit="1" customWidth="1"/>
    <col min="6" max="6" width="38.85546875" style="41" bestFit="1" customWidth="1"/>
    <col min="7" max="7" width="24.140625" style="41" bestFit="1" customWidth="1"/>
    <col min="8" max="8" width="14.5703125" style="41" bestFit="1" customWidth="1"/>
    <col min="9" max="16384" width="9.140625" style="41"/>
  </cols>
  <sheetData>
    <row r="1" spans="1:8" x14ac:dyDescent="0.25">
      <c r="A1" s="41" t="s">
        <v>91</v>
      </c>
      <c r="B1" s="41" t="s">
        <v>92</v>
      </c>
      <c r="C1" s="41" t="s">
        <v>93</v>
      </c>
      <c r="D1" s="41" t="s">
        <v>95</v>
      </c>
      <c r="E1" s="41" t="s">
        <v>96</v>
      </c>
      <c r="F1" s="41" t="s">
        <v>97</v>
      </c>
      <c r="G1" s="41" t="s">
        <v>98</v>
      </c>
      <c r="H1" s="41" t="s">
        <v>94</v>
      </c>
    </row>
    <row r="2" spans="1:8" x14ac:dyDescent="0.25">
      <c r="A2" s="114">
        <v>53187090012.997902</v>
      </c>
      <c r="B2" s="115">
        <f>Лист1!D54+Лист1!D55+Лист1!D57+Лист1!D58+Лист1!D59</f>
        <v>1984186.0028509514</v>
      </c>
      <c r="C2" s="116">
        <f>A2*0.09%/12</f>
        <v>3989031.7509748428</v>
      </c>
      <c r="D2" s="115">
        <v>4029342.9277695199</v>
      </c>
      <c r="E2" s="115">
        <v>4029338.210889129</v>
      </c>
      <c r="F2" s="116">
        <f>E2-D2</f>
        <v>-4.7168803908862174</v>
      </c>
      <c r="G2" s="115">
        <f>(A2-B2-C2)*0.09%/12</f>
        <v>3988583.7596433051</v>
      </c>
      <c r="H2" s="115">
        <f>G2+F2</f>
        <v>3988579.0427629142</v>
      </c>
    </row>
    <row r="3" spans="1:8" x14ac:dyDescent="0.25">
      <c r="A3" s="117"/>
      <c r="B3" s="1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Расчет ДУ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2025-08-01T12:48:01Z</dcterms:created>
  <dcterms:modified xsi:type="dcterms:W3CDTF">2025-08-04T10:26:38Z</dcterms:modified>
</cp:coreProperties>
</file>