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12.2025\"/>
    </mc:Choice>
  </mc:AlternateContent>
  <xr:revisionPtr revIDLastSave="0" documentId="13_ncr:1_{147F4E80-24F5-4341-B4A5-36D030C2C4F0}" xr6:coauthVersionLast="47" xr6:coauthVersionMax="47" xr10:uidLastSave="{00000000-0000-0000-0000-000000000000}"/>
  <bookViews>
    <workbookView xWindow="-120" yWindow="-120" windowWidth="29040" windowHeight="15720" xr2:uid="{22DCD5E4-59B7-4724-B13C-064EE95C0445}"/>
  </bookViews>
  <sheets>
    <sheet name="Лист1" sheetId="1" r:id="rId1"/>
    <sheet name="Расчет ДУ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8" i="1" l="1"/>
  <c r="B2" i="2"/>
  <c r="C2" i="2"/>
  <c r="G55" i="1" l="1"/>
  <c r="D59" i="1"/>
  <c r="G54" i="1"/>
  <c r="G50" i="1"/>
  <c r="F2" i="2" l="1"/>
  <c r="G2" i="2"/>
  <c r="E36" i="1"/>
  <c r="F24" i="1"/>
  <c r="P30" i="1"/>
  <c r="P22" i="1"/>
  <c r="H2" i="2" l="1"/>
</calcChain>
</file>

<file path=xl/sharedStrings.xml><?xml version="1.0" encoding="utf-8"?>
<sst xmlns="http://schemas.openxmlformats.org/spreadsheetml/2006/main" count="117" uniqueCount="87">
  <si>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</si>
  <si>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</si>
  <si>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</si>
  <si>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</si>
  <si>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</si>
  <si>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</si>
  <si>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</si>
  <si>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</si>
  <si>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</si>
  <si>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</si>
  <si>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</si>
  <si>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</si>
  <si>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</si>
  <si>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</si>
  <si>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</si>
  <si>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</si>
  <si>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</si>
  <si>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</si>
  <si>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</si>
  <si>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</si>
  <si>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</si>
  <si>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</si>
  <si>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</si>
  <si>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</si>
  <si>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</si>
  <si>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</si>
  <si>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</si>
  <si>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</si>
  <si>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</si>
  <si>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</si>
  <si>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</si>
  <si>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</si>
  <si>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</si>
  <si>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</si>
  <si>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</si>
  <si>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</si>
  <si>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</si>
  <si>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</si>
  <si>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</si>
  <si>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</si>
  <si>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</si>
  <si>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</si>
  <si>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</si>
  <si>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</si>
  <si>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</si>
  <si>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</si>
  <si>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</si>
  <si>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</si>
  <si>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</si>
  <si>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Купонные облигации Министерства Республики Казахстан, Репо</t>
  </si>
  <si>
    <t>KZKD00001079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</si>
  <si>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</si>
  <si>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</si>
  <si>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</si>
  <si>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</si>
  <si>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</si>
  <si>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</si>
  <si>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</si>
  <si>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</si>
  <si>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</si>
  <si>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</si>
  <si>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</si>
  <si>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</si>
  <si>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</si>
  <si>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</si>
  <si>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</si>
  <si>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</si>
  <si>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</si>
  <si>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</si>
  <si>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</si>
  <si>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</si>
  <si>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</si>
  <si>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</si>
  <si>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</si>
  <si>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</si>
  <si>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</si>
  <si>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</si>
  <si>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</si>
  <si>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</si>
  <si>
    <t xml:space="preserve">Средняя грязная </t>
  </si>
  <si>
    <t xml:space="preserve">Сумма комиссий кроме ДУ </t>
  </si>
  <si>
    <t xml:space="preserve">Месячная доля комиссии ДУ </t>
  </si>
  <si>
    <t>К оплате</t>
  </si>
  <si>
    <t>Оплаченная комиссия ДУ за ноябрь   (без учета корректировки)</t>
  </si>
  <si>
    <t>Фактическая комиссия за ноябрь</t>
  </si>
  <si>
    <t>Корректировка комиссии ДУ за ноябрь</t>
  </si>
  <si>
    <t>Комиссия ДУ за декабрь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</si>
</sst>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#,##0.0"/>
    <numFmt numFmtId="171" formatCode="_-* #,##0.00\ _₸_-;\-* #,##0.00\ _₸_-;_-* &quot;-&quot;??\ _₸_-;_-@_-"/>
    <numFmt numFmtId="172" formatCode="_-* #,##0.00\ _₽_-;\-* #,##0.00\ _₽_-;_-* &quot;-&quot;??\ _₽_-;_-@_-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b/>
      <sz val="10"/>
      <name val="Times New Roman"/>
      <family val="1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2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13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4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5" fillId="7" borderId="3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0" fontId="0" fillId="0" borderId="1" xfId="0" applyBorder="1"/>
    <xf numFmtId="0" fontId="10" fillId="6" borderId="1" xfId="0" applyFont="1" applyFill="1" applyBorder="1"/>
    <xf numFmtId="166" fontId="0" fillId="0" borderId="1" xfId="0" applyNumberFormat="1" applyBorder="1"/>
    <xf numFmtId="43" fontId="0" fillId="0" borderId="0" xfId="2" applyFont="1"/>
    <xf numFmtId="170" fontId="0" fillId="0" borderId="0" xfId="0" applyNumberFormat="1" applyProtection="1">
      <protection locked="0"/>
    </xf>
    <xf numFmtId="4" fontId="0" fillId="0" borderId="0" xfId="0" applyNumberFormat="1"/>
    <xf numFmtId="4" fontId="7" fillId="0" borderId="0" xfId="0" applyNumberFormat="1" applyFont="1"/>
    <xf numFmtId="168" fontId="8" fillId="0" borderId="0" xfId="0" applyNumberFormat="1" applyFont="1"/>
    <xf numFmtId="170" fontId="8" fillId="0" borderId="0" xfId="0" applyNumberFormat="1" applyFont="1"/>
    <xf numFmtId="166" fontId="7" fillId="0" borderId="0" xfId="0" applyNumberFormat="1" applyFont="1"/>
    <xf numFmtId="0" fontId="2" fillId="0" borderId="12" xfId="0" applyFont="1" applyBorder="1"/>
    <xf numFmtId="0" fontId="2" fillId="0" borderId="13" xfId="0" applyFont="1" applyBorder="1"/>
    <xf numFmtId="170" fontId="0" fillId="0" borderId="0" xfId="3" applyNumberFormat="1" applyFont="1"/>
    <xf numFmtId="171" fontId="0" fillId="0" borderId="0" xfId="0" applyNumberFormat="1"/>
    <xf numFmtId="43" fontId="0" fillId="0" borderId="0" xfId="0" applyNumberFormat="1"/>
    <xf numFmtId="170" fontId="0" fillId="0" borderId="0" xfId="2" applyNumberFormat="1" applyFont="1"/>
    <xf numFmtId="166" fontId="0" fillId="0" borderId="0" xfId="0" applyNumberFormat="1"/>
    <xf numFmtId="170" fontId="0" fillId="0" borderId="0" xfId="0" applyNumberFormat="1"/>
    <xf numFmtId="14" fontId="0" fillId="0" borderId="0" xfId="0" applyNumberFormat="1"/>
    <xf numFmtId="172" fontId="7" fillId="0" borderId="14" xfId="0" applyNumberFormat="1" applyFont="1" applyBorder="1" applyAlignment="1">
      <alignment horizontal="center"/>
    </xf>
    <xf numFmtId="172" fontId="7" fillId="0" borderId="0" xfId="0" applyNumberFormat="1" applyFont="1"/>
    <xf numFmtId="43" fontId="8" fillId="0" borderId="0" xfId="2" applyFont="1" applyAlignment="1">
      <alignment horizontal="center"/>
    </xf>
    <xf numFmtId="43" fontId="8" fillId="0" borderId="0" xfId="2" applyFont="1"/>
    <xf numFmtId="43" fontId="0" fillId="0" borderId="2" xfId="2" applyFont="1" applyBorder="1"/>
    <xf numFmtId="43" fontId="0" fillId="0" borderId="2" xfId="2" applyFont="1" applyFill="1" applyBorder="1"/>
    <xf numFmtId="43" fontId="0" fillId="0" borderId="5" xfId="2" applyFont="1" applyFill="1" applyBorder="1"/>
  </cellXfs>
  <cellStyles count="4">
    <cellStyle name="Обычный" xfId="0" builtinId="0"/>
    <cellStyle name="Финансовый" xfId="2" builtinId="3"/>
    <cellStyle name="Финансовый 2" xfId="1" xr:uid="{023DEA19-CD9F-431E-8180-619EB8D2D509}"/>
    <cellStyle name="Финансовый 4" xfId="3" xr:uid="{E8C69B4C-BC66-4A24-A955-35F4C60CFF9C}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3</xdr:row>
      <xdr:rowOff>95250</xdr:rowOff>
    </xdr:from>
    <xdr:to>
      <xdr:col>3</xdr:col>
      <xdr:colOff>2740521</xdr:colOff>
      <xdr:row>48</xdr:row>
      <xdr:rowOff>86920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E60AA8F-0E83-4F60-AEDB-D1771CE7B0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666750"/>
          <a:ext cx="7503021" cy="85641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89DCC-249A-4B6E-9500-F5C854AE51AC}">
  <dimension ref="A1:P61"/>
  <sheetViews>
    <sheetView tabSelected="1" topLeftCell="A40" workbookViewId="0">
      <selection activeCell="E52" sqref="E52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5.7109375" customWidth="1"/>
    <col min="12" max="12" width="18.28515625" customWidth="1"/>
    <col min="13" max="13" width="20.5703125" customWidth="1"/>
    <col min="14" max="14" width="16.8554687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46022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5193162499.999999</v>
      </c>
      <c r="J7" s="24">
        <v>88.150099999999995</v>
      </c>
      <c r="K7" s="21">
        <v>92.31335</v>
      </c>
      <c r="L7" s="21">
        <v>260203124.99999997</v>
      </c>
      <c r="M7" s="21">
        <v>5769584375</v>
      </c>
      <c r="N7" s="25">
        <v>12.800285437822744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4852015000</v>
      </c>
      <c r="J8" s="24">
        <v>99.674300000000002</v>
      </c>
      <c r="K8" s="21">
        <v>104.386883333333</v>
      </c>
      <c r="L8" s="21">
        <v>235629166.66666701</v>
      </c>
      <c r="M8" s="21">
        <v>5219344166.6666698</v>
      </c>
      <c r="N8" s="25">
        <v>11.5795334272355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3432300000</v>
      </c>
      <c r="J9" s="24">
        <v>88.996099999999998</v>
      </c>
      <c r="K9" s="21">
        <v>96.449433333333303</v>
      </c>
      <c r="L9" s="21">
        <v>279500000</v>
      </c>
      <c r="M9" s="21">
        <v>3616853750</v>
      </c>
      <c r="N9" s="25">
        <v>8.0242799788952901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3445181250</v>
      </c>
      <c r="J10" s="24">
        <v>87.473299999999995</v>
      </c>
      <c r="K10" s="21">
        <v>95.723299999999995</v>
      </c>
      <c r="L10" s="21">
        <v>309375000</v>
      </c>
      <c r="M10" s="21">
        <v>3589623750</v>
      </c>
      <c r="N10" s="25">
        <v>7.9638680410818496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3376140000</v>
      </c>
      <c r="J11" s="24">
        <v>85.552499999999995</v>
      </c>
      <c r="K11" s="21">
        <v>90.0069444444444</v>
      </c>
      <c r="L11" s="21">
        <v>167041666.66666701</v>
      </c>
      <c r="M11" s="21">
        <v>3375260416.6666698</v>
      </c>
      <c r="N11" s="25">
        <v>7.4882858022711298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3251640000</v>
      </c>
      <c r="J12" s="24">
        <v>81.294300000000007</v>
      </c>
      <c r="K12" s="21">
        <v>89.391244444444496</v>
      </c>
      <c r="L12" s="21">
        <v>303635416.66666698</v>
      </c>
      <c r="M12" s="21">
        <v>3352171666.6666698</v>
      </c>
      <c r="N12" s="25">
        <v>7.4370615595539098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2881203750</v>
      </c>
      <c r="J13" s="24">
        <v>72.270700000000005</v>
      </c>
      <c r="K13" s="21">
        <v>78.232644444444404</v>
      </c>
      <c r="L13" s="21">
        <v>223572916.66666701</v>
      </c>
      <c r="M13" s="21">
        <v>2933724166.6666698</v>
      </c>
      <c r="N13" s="25">
        <v>6.5087022371818604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3257906250</v>
      </c>
      <c r="J14" s="24">
        <v>80.155199999999994</v>
      </c>
      <c r="K14" s="21">
        <v>84.711033333333305</v>
      </c>
      <c r="L14" s="21">
        <v>170843750</v>
      </c>
      <c r="M14" s="21">
        <v>3176663750</v>
      </c>
      <c r="N14" s="25">
        <v>7.0476831773492199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2686012500</v>
      </c>
      <c r="J15" s="24">
        <v>66.316699999999997</v>
      </c>
      <c r="K15" s="21">
        <v>71.427700000000002</v>
      </c>
      <c r="L15" s="21">
        <v>191662500</v>
      </c>
      <c r="M15" s="21">
        <v>2678538750</v>
      </c>
      <c r="N15" s="25">
        <v>5.9425529341130297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2645306250</v>
      </c>
      <c r="J16" s="24">
        <v>65.103899999999996</v>
      </c>
      <c r="K16" s="21">
        <v>72.523816666666704</v>
      </c>
      <c r="L16" s="21">
        <v>278246875</v>
      </c>
      <c r="M16" s="21">
        <v>2719643125</v>
      </c>
      <c r="N16" s="25">
        <v>6.0337462850627297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1884776000</v>
      </c>
      <c r="J17" s="24">
        <v>88.371700000000004</v>
      </c>
      <c r="K17" s="21">
        <v>98.138366666666698</v>
      </c>
      <c r="L17" s="21">
        <v>195333333.33333299</v>
      </c>
      <c r="M17" s="21">
        <v>1962767333.3333299</v>
      </c>
      <c r="N17" s="25">
        <v>4.3545566685123402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2832450000</v>
      </c>
      <c r="J18" s="24">
        <v>88.371700000000004</v>
      </c>
      <c r="K18" s="21">
        <v>98.138366666666698</v>
      </c>
      <c r="L18" s="21">
        <v>293000000</v>
      </c>
      <c r="M18" s="21">
        <v>2944151000</v>
      </c>
      <c r="N18" s="25">
        <v>6.5318350027685099</v>
      </c>
    </row>
    <row r="19" spans="1:16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85.552499999999995</v>
      </c>
      <c r="K19" s="21">
        <v>90.0069444444444</v>
      </c>
      <c r="L19" s="21">
        <v>44544444.444444403</v>
      </c>
      <c r="M19" s="21">
        <v>900069444.44444394</v>
      </c>
      <c r="N19" s="25">
        <v>1.99687621393897</v>
      </c>
    </row>
    <row r="20" spans="1:16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858060000</v>
      </c>
      <c r="J20" s="24">
        <v>76.199200000000005</v>
      </c>
      <c r="K20" s="21">
        <v>79.942255555555604</v>
      </c>
      <c r="L20" s="21">
        <v>37430555.555555597</v>
      </c>
      <c r="M20" s="21">
        <v>799422555.55555606</v>
      </c>
      <c r="N20" s="25">
        <v>1.77358302287499</v>
      </c>
    </row>
    <row r="21" spans="1:16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97.155226999562899</v>
      </c>
      <c r="K21" s="21">
        <v>101.80272699956301</v>
      </c>
      <c r="L21" s="21">
        <v>92950000</v>
      </c>
      <c r="M21" s="21">
        <v>2036054539.9912601</v>
      </c>
      <c r="N21" s="25">
        <v>4.5171502113378796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43495812500</v>
      </c>
      <c r="J22" s="32"/>
      <c r="K22" s="33"/>
      <c r="L22" s="34">
        <v>3082968750</v>
      </c>
      <c r="M22" s="35">
        <v>45073872789.991302</v>
      </c>
      <c r="N22" s="36">
        <v>100</v>
      </c>
      <c r="O22" s="41">
        <v>45073872789.991264</v>
      </c>
      <c r="P22" s="99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910169.24</v>
      </c>
      <c r="E24" s="102">
        <v>910169.24</v>
      </c>
      <c r="F24" s="103">
        <f>D24-E24</f>
        <v>0</v>
      </c>
      <c r="G24" s="11"/>
      <c r="H24" s="11"/>
      <c r="I24" s="11"/>
      <c r="J24" s="11"/>
      <c r="K24" s="11"/>
      <c r="L24" s="11"/>
    </row>
    <row r="25" spans="1:16" s="6" customFormat="1" ht="30" customHeight="1" x14ac:dyDescent="0.3">
      <c r="A25" s="42"/>
      <c r="B25" s="43"/>
      <c r="C25" s="44"/>
      <c r="D25" s="44"/>
      <c r="E25" s="45"/>
      <c r="F25" s="42"/>
      <c r="G25" s="43"/>
      <c r="H25" s="43"/>
      <c r="I25" s="43"/>
      <c r="J25" s="43"/>
      <c r="K25" s="43"/>
      <c r="L25" s="43"/>
      <c r="M25" s="43"/>
      <c r="N25" s="46"/>
      <c r="O25" s="42"/>
    </row>
    <row r="26" spans="1:16" s="6" customFormat="1" ht="30" customHeight="1" thickBot="1" x14ac:dyDescent="0.3">
      <c r="A26" s="47"/>
      <c r="B26" s="48" t="s">
        <v>36</v>
      </c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</row>
    <row r="27" spans="1:16" ht="39" thickBot="1" x14ac:dyDescent="0.3">
      <c r="A27" s="50" t="s">
        <v>4</v>
      </c>
      <c r="B27" s="51" t="s">
        <v>5</v>
      </c>
      <c r="C27" s="51" t="s">
        <v>37</v>
      </c>
      <c r="D27" s="51" t="s">
        <v>38</v>
      </c>
      <c r="E27" s="51" t="s">
        <v>39</v>
      </c>
      <c r="F27" s="51" t="s">
        <v>40</v>
      </c>
      <c r="G27" s="51" t="s">
        <v>41</v>
      </c>
      <c r="H27" s="51" t="s">
        <v>42</v>
      </c>
      <c r="I27" s="51" t="s">
        <v>43</v>
      </c>
      <c r="J27" s="51" t="s">
        <v>44</v>
      </c>
      <c r="K27" s="51" t="s">
        <v>45</v>
      </c>
      <c r="L27" s="51" t="s">
        <v>46</v>
      </c>
      <c r="M27" s="51" t="s">
        <v>47</v>
      </c>
      <c r="N27" s="51" t="s">
        <v>48</v>
      </c>
      <c r="O27" s="52"/>
    </row>
    <row r="28" spans="1:16" ht="26.25" thickBot="1" x14ac:dyDescent="0.3">
      <c r="A28" s="54">
        <v>1</v>
      </c>
      <c r="B28" s="55" t="s">
        <v>49</v>
      </c>
      <c r="C28" s="56" t="s">
        <v>50</v>
      </c>
      <c r="D28" s="57">
        <v>98712</v>
      </c>
      <c r="E28" s="58" t="s">
        <v>35</v>
      </c>
      <c r="F28" s="59">
        <v>46022</v>
      </c>
      <c r="G28" s="59">
        <v>46027</v>
      </c>
      <c r="H28" s="60">
        <v>729.66199995947807</v>
      </c>
      <c r="I28" s="60">
        <v>731.36121282113629</v>
      </c>
      <c r="J28" s="61">
        <v>72026395.340000004</v>
      </c>
      <c r="K28" s="61">
        <v>72194128.040000007</v>
      </c>
      <c r="L28" s="62">
        <v>17</v>
      </c>
      <c r="M28" s="63">
        <v>0</v>
      </c>
      <c r="N28" s="64">
        <v>72026395.340000004</v>
      </c>
      <c r="O28" s="52"/>
    </row>
    <row r="29" spans="1:16" ht="26.25" thickBot="1" x14ac:dyDescent="0.3">
      <c r="A29" s="54">
        <v>2</v>
      </c>
      <c r="B29" s="55" t="s">
        <v>49</v>
      </c>
      <c r="C29" s="56" t="s">
        <v>50</v>
      </c>
      <c r="D29" s="57">
        <v>16949673</v>
      </c>
      <c r="E29" s="58" t="s">
        <v>35</v>
      </c>
      <c r="F29" s="59">
        <v>46022</v>
      </c>
      <c r="G29" s="59">
        <v>46027</v>
      </c>
      <c r="H29" s="60">
        <v>729.66200000023605</v>
      </c>
      <c r="I29" s="60">
        <v>731.36121287708602</v>
      </c>
      <c r="J29" s="61">
        <v>12367532300.530001</v>
      </c>
      <c r="K29" s="61">
        <v>12396333403.15</v>
      </c>
      <c r="L29" s="62">
        <v>17</v>
      </c>
      <c r="M29" s="63">
        <v>0</v>
      </c>
      <c r="N29" s="64">
        <v>12367532300.530001</v>
      </c>
      <c r="O29" s="52"/>
    </row>
    <row r="30" spans="1:16" ht="15.75" thickBot="1" x14ac:dyDescent="0.3">
      <c r="A30" s="65"/>
      <c r="B30" s="66"/>
      <c r="C30" s="67"/>
      <c r="D30" s="68"/>
      <c r="E30" s="69"/>
      <c r="F30" s="70"/>
      <c r="G30" s="70"/>
      <c r="H30" s="69"/>
      <c r="I30" s="69"/>
      <c r="J30" s="71"/>
      <c r="K30" s="69"/>
      <c r="L30" s="72"/>
      <c r="M30" s="73">
        <v>0</v>
      </c>
      <c r="N30" s="73">
        <v>12439558695.870001</v>
      </c>
      <c r="O30" s="100">
        <v>12439558695.870001</v>
      </c>
      <c r="P30" s="101">
        <f>N30-O30</f>
        <v>0</v>
      </c>
    </row>
    <row r="31" spans="1:16" ht="18.75" x14ac:dyDescent="0.3">
      <c r="A31" s="42"/>
      <c r="B31" s="43"/>
      <c r="C31" s="44"/>
      <c r="D31" s="44"/>
      <c r="E31" s="45"/>
      <c r="F31" s="42"/>
      <c r="G31" s="43"/>
      <c r="H31" s="43"/>
      <c r="I31" s="43"/>
      <c r="J31" s="43"/>
      <c r="K31" s="43"/>
      <c r="L31" s="43"/>
      <c r="M31" s="43"/>
      <c r="N31" s="75">
        <v>0</v>
      </c>
      <c r="O31" s="74"/>
    </row>
    <row r="32" spans="1:16" ht="27.75" thickBot="1" x14ac:dyDescent="0.35">
      <c r="A32" s="76"/>
      <c r="B32" s="77" t="s">
        <v>51</v>
      </c>
      <c r="C32" s="43"/>
      <c r="D32" s="43"/>
      <c r="E32" s="42"/>
      <c r="F32" s="42"/>
      <c r="G32" s="43"/>
      <c r="H32" s="43"/>
      <c r="I32" s="43"/>
      <c r="J32" s="43"/>
      <c r="K32" s="43"/>
      <c r="L32" s="43"/>
      <c r="M32" s="43"/>
      <c r="N32" s="75">
        <v>0</v>
      </c>
      <c r="O32" s="74"/>
    </row>
    <row r="33" spans="1:15" ht="25.5" x14ac:dyDescent="0.3">
      <c r="A33" s="76"/>
      <c r="B33" s="78" t="s">
        <v>52</v>
      </c>
      <c r="C33" s="78" t="s">
        <v>53</v>
      </c>
      <c r="D33" s="78" t="s">
        <v>39</v>
      </c>
      <c r="E33" s="78" t="s">
        <v>54</v>
      </c>
      <c r="F33" s="78" t="s">
        <v>55</v>
      </c>
      <c r="G33" s="78" t="s">
        <v>56</v>
      </c>
      <c r="H33" s="78" t="s">
        <v>57</v>
      </c>
      <c r="I33" s="43"/>
      <c r="J33" s="43"/>
      <c r="K33" s="43"/>
      <c r="L33" s="43"/>
      <c r="M33" s="43"/>
      <c r="N33" s="75">
        <v>0</v>
      </c>
      <c r="O33" s="74"/>
    </row>
    <row r="34" spans="1:15" ht="18.75" x14ac:dyDescent="0.3">
      <c r="A34" s="76"/>
      <c r="B34" s="79">
        <v>1</v>
      </c>
      <c r="C34" s="80"/>
      <c r="D34" s="80"/>
      <c r="E34" s="81"/>
      <c r="F34" s="81"/>
      <c r="G34" s="80"/>
      <c r="H34" s="80"/>
      <c r="I34" s="43"/>
      <c r="J34" s="43"/>
      <c r="K34" s="43"/>
      <c r="L34" s="43"/>
      <c r="M34" s="43"/>
      <c r="N34" s="75">
        <v>0</v>
      </c>
      <c r="O34" s="74"/>
    </row>
    <row r="35" spans="1:15" ht="19.5" thickBot="1" x14ac:dyDescent="0.35">
      <c r="A35" s="76"/>
      <c r="B35" s="42"/>
      <c r="C35" s="43"/>
      <c r="D35" s="43"/>
      <c r="E35" s="42"/>
      <c r="F35" s="42"/>
      <c r="G35" s="43"/>
      <c r="H35" s="43"/>
      <c r="I35" s="43"/>
      <c r="J35" s="43"/>
      <c r="K35" s="43"/>
      <c r="L35" s="43"/>
      <c r="M35" s="43"/>
      <c r="N35" s="75">
        <v>0</v>
      </c>
      <c r="O35" s="74"/>
    </row>
    <row r="36" spans="1:15" ht="19.5" thickBot="1" x14ac:dyDescent="0.35">
      <c r="A36" s="76"/>
      <c r="B36" s="82" t="s">
        <v>58</v>
      </c>
      <c r="C36" s="98">
        <v>57514341655.101303</v>
      </c>
      <c r="D36" s="104">
        <v>57514341655.101265</v>
      </c>
      <c r="E36" s="105">
        <f>C36-D36</f>
        <v>0</v>
      </c>
      <c r="F36" s="42"/>
      <c r="G36" s="43"/>
      <c r="H36" s="43"/>
      <c r="I36" s="43"/>
      <c r="J36" s="43"/>
      <c r="K36" s="43"/>
      <c r="L36" s="43"/>
      <c r="M36" s="43"/>
      <c r="N36" s="75">
        <v>0</v>
      </c>
      <c r="O36" s="74"/>
    </row>
    <row r="37" spans="1:15" ht="18.75" x14ac:dyDescent="0.3">
      <c r="A37" s="76"/>
      <c r="B37" s="42"/>
      <c r="C37" s="43"/>
      <c r="D37" s="43"/>
      <c r="E37" s="42"/>
      <c r="F37" s="42"/>
      <c r="G37" s="43"/>
      <c r="H37" s="43"/>
      <c r="I37" s="43"/>
      <c r="J37" s="43"/>
      <c r="K37" s="43"/>
      <c r="L37" s="43"/>
      <c r="M37" s="43"/>
      <c r="N37" s="75">
        <v>0</v>
      </c>
      <c r="O37" s="74"/>
    </row>
    <row r="38" spans="1:15" ht="18.75" x14ac:dyDescent="0.3">
      <c r="A38" s="76"/>
      <c r="B38" s="42"/>
      <c r="C38" s="43"/>
      <c r="D38" s="43"/>
      <c r="E38" s="42"/>
      <c r="F38" s="42"/>
      <c r="G38" s="43"/>
      <c r="H38" s="43"/>
      <c r="I38" s="43"/>
      <c r="J38" s="43"/>
      <c r="K38" s="43"/>
      <c r="L38" s="43"/>
      <c r="M38" s="43"/>
      <c r="N38" s="75">
        <v>0</v>
      </c>
      <c r="O38" s="74"/>
    </row>
    <row r="39" spans="1:15" ht="18.75" x14ac:dyDescent="0.3">
      <c r="A39" s="76"/>
      <c r="B39" s="53" t="s">
        <v>59</v>
      </c>
      <c r="C39" s="43"/>
      <c r="D39" s="43"/>
      <c r="E39" s="42"/>
      <c r="F39" s="42"/>
      <c r="G39" s="43"/>
      <c r="H39" s="43"/>
      <c r="I39" s="43"/>
      <c r="J39" s="43"/>
      <c r="K39" s="43"/>
      <c r="L39" s="43"/>
      <c r="M39" s="43"/>
      <c r="N39" s="75">
        <v>0</v>
      </c>
      <c r="O39" s="74"/>
    </row>
    <row r="40" spans="1:15" ht="18.75" x14ac:dyDescent="0.3">
      <c r="A40" s="76"/>
      <c r="B40" s="42"/>
      <c r="C40" s="43"/>
      <c r="D40" s="43"/>
      <c r="E40" s="42"/>
      <c r="F40" s="42"/>
      <c r="G40" s="43"/>
      <c r="H40" s="43"/>
      <c r="I40" s="43"/>
      <c r="J40" s="43"/>
      <c r="K40" s="43"/>
      <c r="L40" s="43"/>
      <c r="M40" s="43"/>
      <c r="N40" s="75">
        <v>0</v>
      </c>
      <c r="O40" s="74"/>
    </row>
    <row r="41" spans="1:15" ht="19.5" thickBot="1" x14ac:dyDescent="0.35">
      <c r="A41" s="76"/>
      <c r="B41" s="42" t="s">
        <v>60</v>
      </c>
      <c r="C41" s="43"/>
      <c r="D41" s="43"/>
      <c r="E41" s="42"/>
      <c r="F41" s="42"/>
      <c r="G41" s="43"/>
      <c r="H41" s="43"/>
      <c r="I41" s="43"/>
      <c r="J41" s="43"/>
      <c r="K41" s="43"/>
      <c r="L41" s="43"/>
      <c r="M41" s="43"/>
      <c r="N41" s="75">
        <v>0</v>
      </c>
    </row>
    <row r="42" spans="1:15" ht="25.5" x14ac:dyDescent="0.3">
      <c r="A42" s="76"/>
      <c r="B42" s="78" t="s">
        <v>52</v>
      </c>
      <c r="C42" s="78" t="s">
        <v>53</v>
      </c>
      <c r="D42" s="78" t="s">
        <v>39</v>
      </c>
      <c r="E42" s="78" t="s">
        <v>54</v>
      </c>
      <c r="F42" s="78" t="s">
        <v>55</v>
      </c>
      <c r="G42" s="78" t="s">
        <v>56</v>
      </c>
      <c r="H42" s="78" t="s">
        <v>57</v>
      </c>
      <c r="I42" s="43"/>
      <c r="J42" s="43"/>
      <c r="K42" s="43"/>
      <c r="L42" s="43"/>
      <c r="M42" s="43"/>
      <c r="N42" s="75">
        <v>0</v>
      </c>
    </row>
    <row r="43" spans="1:15" ht="18" x14ac:dyDescent="0.25">
      <c r="A43" s="42"/>
      <c r="B43" s="79">
        <v>1</v>
      </c>
      <c r="C43" s="80"/>
      <c r="D43" s="80"/>
      <c r="E43" s="81"/>
      <c r="F43" s="81"/>
      <c r="G43" s="80"/>
      <c r="H43" s="80"/>
      <c r="I43" s="43"/>
      <c r="J43" s="43"/>
      <c r="K43" s="43"/>
      <c r="L43" s="43"/>
      <c r="M43" s="43"/>
      <c r="N43" s="75">
        <v>0</v>
      </c>
    </row>
    <row r="44" spans="1:15" ht="18.75" x14ac:dyDescent="0.3">
      <c r="A44" s="76"/>
      <c r="B44" s="42"/>
      <c r="C44" s="43"/>
      <c r="D44" s="43"/>
      <c r="E44" s="42"/>
      <c r="F44" s="42"/>
      <c r="G44" s="43"/>
      <c r="H44" s="43"/>
      <c r="I44" s="43"/>
      <c r="J44" s="43"/>
      <c r="K44" s="43"/>
      <c r="L44" s="43"/>
      <c r="M44" s="43"/>
      <c r="N44" s="75">
        <v>0</v>
      </c>
    </row>
    <row r="45" spans="1:15" ht="19.5" thickBot="1" x14ac:dyDescent="0.35">
      <c r="A45" s="76"/>
      <c r="B45" s="42" t="s">
        <v>61</v>
      </c>
      <c r="C45" s="43"/>
      <c r="D45" s="43"/>
      <c r="E45" s="42"/>
      <c r="F45" s="42"/>
      <c r="G45" s="43"/>
      <c r="H45" s="43"/>
      <c r="I45" s="43"/>
      <c r="J45" s="43"/>
      <c r="K45" s="43"/>
      <c r="L45" s="43"/>
      <c r="M45" s="43"/>
      <c r="N45" s="75">
        <v>0</v>
      </c>
    </row>
    <row r="46" spans="1:15" ht="19.5" thickBot="1" x14ac:dyDescent="0.35">
      <c r="A46" s="76"/>
      <c r="B46" s="83" t="s">
        <v>62</v>
      </c>
      <c r="C46" s="83" t="s">
        <v>53</v>
      </c>
      <c r="D46" s="83" t="s">
        <v>63</v>
      </c>
      <c r="E46" s="83" t="s">
        <v>64</v>
      </c>
      <c r="F46" s="42"/>
      <c r="G46" s="43"/>
      <c r="H46" s="43"/>
      <c r="I46" s="43"/>
      <c r="J46" s="43"/>
      <c r="K46" s="43"/>
      <c r="L46" s="43"/>
      <c r="M46" s="43"/>
      <c r="N46" s="75">
        <v>0</v>
      </c>
    </row>
    <row r="47" spans="1:15" ht="19.5" thickBot="1" x14ac:dyDescent="0.35">
      <c r="A47" s="76"/>
      <c r="B47" s="84" t="s">
        <v>65</v>
      </c>
      <c r="C47" s="84">
        <v>1</v>
      </c>
      <c r="D47" s="84">
        <v>2</v>
      </c>
      <c r="E47" s="84">
        <v>3</v>
      </c>
      <c r="F47" s="42"/>
      <c r="G47" s="43"/>
      <c r="H47" s="43"/>
      <c r="I47" s="43"/>
      <c r="J47" s="43"/>
      <c r="K47" s="43"/>
      <c r="L47" s="43"/>
      <c r="M47" s="43"/>
      <c r="N47" s="75">
        <v>0</v>
      </c>
    </row>
    <row r="48" spans="1:15" ht="30.75" x14ac:dyDescent="0.3">
      <c r="A48" s="76"/>
      <c r="B48" s="85">
        <v>1</v>
      </c>
      <c r="C48" s="86" t="s">
        <v>66</v>
      </c>
      <c r="D48" s="121">
        <f>'Расчет ДУ'!H2</f>
        <v>4260392.8653157931</v>
      </c>
      <c r="E48" s="87"/>
      <c r="F48" s="42"/>
      <c r="G48" s="43"/>
      <c r="H48" s="43"/>
      <c r="I48" s="43"/>
      <c r="J48" s="43"/>
      <c r="K48" s="43"/>
      <c r="L48" s="43"/>
      <c r="M48" s="43"/>
      <c r="N48" s="75">
        <v>0</v>
      </c>
    </row>
    <row r="49" spans="1:14" ht="30.75" x14ac:dyDescent="0.3">
      <c r="A49" s="76"/>
      <c r="B49" s="88">
        <v>2</v>
      </c>
      <c r="C49" s="89" t="s">
        <v>67</v>
      </c>
      <c r="D49" s="99"/>
      <c r="E49" s="90"/>
      <c r="F49" s="42"/>
      <c r="G49" s="43"/>
      <c r="H49" s="43"/>
      <c r="I49" s="43"/>
      <c r="J49" s="43"/>
      <c r="K49" s="43"/>
      <c r="L49" s="43"/>
      <c r="M49" s="43"/>
      <c r="N49" s="75">
        <v>0</v>
      </c>
    </row>
    <row r="50" spans="1:14" ht="30.75" x14ac:dyDescent="0.3">
      <c r="A50" s="76"/>
      <c r="B50" s="88">
        <v>3</v>
      </c>
      <c r="C50" s="89" t="s">
        <v>68</v>
      </c>
      <c r="D50" s="119">
        <v>723766.58</v>
      </c>
      <c r="E50" s="90"/>
      <c r="F50" s="115">
        <v>796766.58929994656</v>
      </c>
      <c r="G50" s="117">
        <f>D50+D51-F50</f>
        <v>-9.2999465996399522E-3</v>
      </c>
      <c r="H50" s="43"/>
      <c r="I50" s="43"/>
      <c r="J50" s="43"/>
      <c r="K50" s="43"/>
      <c r="L50" s="43"/>
      <c r="M50" s="43"/>
      <c r="N50" s="75">
        <v>0</v>
      </c>
    </row>
    <row r="51" spans="1:14" ht="30.75" x14ac:dyDescent="0.3">
      <c r="A51" s="76"/>
      <c r="B51" s="88">
        <v>4</v>
      </c>
      <c r="C51" s="89" t="s">
        <v>69</v>
      </c>
      <c r="D51" s="119">
        <v>73000</v>
      </c>
      <c r="E51" s="90"/>
      <c r="F51" s="115">
        <v>796766.58929994656</v>
      </c>
      <c r="G51" s="117"/>
      <c r="H51" s="43"/>
      <c r="I51" s="43"/>
      <c r="J51" s="43"/>
      <c r="K51" s="43"/>
      <c r="L51" s="43"/>
      <c r="M51" s="43"/>
      <c r="N51" s="75">
        <v>0</v>
      </c>
    </row>
    <row r="52" spans="1:14" ht="30.75" x14ac:dyDescent="0.3">
      <c r="A52" s="76"/>
      <c r="B52" s="88">
        <v>5</v>
      </c>
      <c r="C52" s="89" t="s">
        <v>70</v>
      </c>
      <c r="D52" s="120"/>
      <c r="E52" s="90"/>
      <c r="F52" s="42"/>
      <c r="G52" s="118"/>
      <c r="H52" s="43"/>
      <c r="I52" s="43"/>
      <c r="J52" s="43"/>
      <c r="K52" s="43"/>
      <c r="L52" s="43"/>
      <c r="M52" s="43"/>
      <c r="N52" s="75">
        <v>0</v>
      </c>
    </row>
    <row r="53" spans="1:14" ht="30.75" x14ac:dyDescent="0.3">
      <c r="A53" s="76"/>
      <c r="B53" s="88">
        <v>6</v>
      </c>
      <c r="C53" s="89" t="s">
        <v>71</v>
      </c>
      <c r="D53" s="119">
        <v>481502.20128394914</v>
      </c>
      <c r="E53" s="90"/>
      <c r="F53" s="42"/>
      <c r="G53" s="118"/>
      <c r="H53" s="43"/>
      <c r="I53" s="43"/>
      <c r="J53" s="43"/>
      <c r="K53" s="43"/>
      <c r="L53" s="43"/>
      <c r="M53" s="43"/>
      <c r="N53" s="75">
        <v>0</v>
      </c>
    </row>
    <row r="54" spans="1:14" ht="18.75" x14ac:dyDescent="0.3">
      <c r="A54" s="76"/>
      <c r="B54" s="88">
        <v>7</v>
      </c>
      <c r="C54" s="89" t="s">
        <v>72</v>
      </c>
      <c r="D54" s="119">
        <v>316482.71999999997</v>
      </c>
      <c r="E54" s="90"/>
      <c r="F54" s="116">
        <v>316482.72000000003</v>
      </c>
      <c r="G54" s="118">
        <f>D54-F54</f>
        <v>0</v>
      </c>
      <c r="H54" s="43"/>
      <c r="I54" s="43"/>
      <c r="J54" s="43"/>
      <c r="K54" s="43"/>
      <c r="L54" s="43"/>
      <c r="M54" s="43"/>
      <c r="N54" s="75">
        <v>0</v>
      </c>
    </row>
    <row r="55" spans="1:14" ht="18.75" x14ac:dyDescent="0.3">
      <c r="A55" s="76"/>
      <c r="B55" s="88">
        <v>8</v>
      </c>
      <c r="C55" s="89" t="s">
        <v>73</v>
      </c>
      <c r="D55" s="119">
        <v>633288.61</v>
      </c>
      <c r="E55" s="90"/>
      <c r="F55" s="116">
        <v>633288.60999999987</v>
      </c>
      <c r="G55" s="118">
        <f>D55-F55</f>
        <v>0</v>
      </c>
      <c r="H55" s="43"/>
      <c r="I55" s="43"/>
      <c r="J55" s="43"/>
      <c r="K55" s="43"/>
      <c r="L55" s="43"/>
      <c r="M55" s="43"/>
      <c r="N55" s="75">
        <v>0</v>
      </c>
    </row>
    <row r="56" spans="1:14" ht="18.75" x14ac:dyDescent="0.3">
      <c r="A56" s="76"/>
      <c r="B56" s="88">
        <v>9</v>
      </c>
      <c r="C56" s="89" t="s">
        <v>74</v>
      </c>
      <c r="D56" s="91"/>
      <c r="E56" s="90"/>
      <c r="F56" s="42"/>
      <c r="G56" s="43"/>
      <c r="H56" s="43"/>
      <c r="I56" s="43"/>
      <c r="J56" s="43"/>
      <c r="K56" s="43"/>
      <c r="L56" s="43"/>
      <c r="M56" s="43"/>
      <c r="N56" s="75">
        <v>0</v>
      </c>
    </row>
    <row r="57" spans="1:14" ht="45.75" x14ac:dyDescent="0.3">
      <c r="A57" s="76"/>
      <c r="B57" s="88">
        <v>10</v>
      </c>
      <c r="C57" s="89" t="s">
        <v>75</v>
      </c>
      <c r="D57" s="91"/>
      <c r="E57" s="90"/>
      <c r="F57" s="42"/>
      <c r="G57" s="43"/>
      <c r="H57" s="43"/>
      <c r="I57" s="43"/>
      <c r="J57" s="43"/>
      <c r="K57" s="43"/>
      <c r="L57" s="43"/>
      <c r="M57" s="43"/>
      <c r="N57" s="75">
        <v>0</v>
      </c>
    </row>
    <row r="58" spans="1:14" ht="46.5" thickBot="1" x14ac:dyDescent="0.35">
      <c r="A58" s="76"/>
      <c r="B58" s="92">
        <v>11</v>
      </c>
      <c r="C58" s="93" t="s">
        <v>76</v>
      </c>
      <c r="D58" s="94"/>
      <c r="E58" s="95"/>
      <c r="F58" s="42"/>
      <c r="G58" s="43"/>
      <c r="H58" s="43"/>
      <c r="I58" s="43"/>
      <c r="J58" s="43"/>
      <c r="K58" s="43"/>
      <c r="L58" s="43"/>
      <c r="M58" s="43"/>
      <c r="N58" s="75">
        <v>0</v>
      </c>
    </row>
    <row r="59" spans="1:14" ht="19.5" thickBot="1" x14ac:dyDescent="0.35">
      <c r="A59" s="76"/>
      <c r="B59" s="106" t="s">
        <v>77</v>
      </c>
      <c r="C59" s="107"/>
      <c r="D59" s="98">
        <f>SUM(D48:D58)</f>
        <v>6488432.9765997427</v>
      </c>
      <c r="E59" s="96"/>
      <c r="F59" s="42"/>
      <c r="G59" s="43"/>
      <c r="H59" s="43"/>
      <c r="I59" s="43"/>
      <c r="J59" s="43"/>
      <c r="K59" s="43"/>
      <c r="L59" s="43"/>
      <c r="M59" s="43"/>
      <c r="N59" s="75">
        <v>0</v>
      </c>
    </row>
    <row r="60" spans="1:14" ht="15.75" thickBot="1" x14ac:dyDescent="0.3">
      <c r="A60" s="74"/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</row>
    <row r="61" spans="1:14" ht="15.75" thickBot="1" x14ac:dyDescent="0.3">
      <c r="A61" s="74"/>
      <c r="B61" s="97" t="s">
        <v>78</v>
      </c>
      <c r="C61" s="98">
        <v>57512595117.191299</v>
      </c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</row>
  </sheetData>
  <mergeCells count="3">
    <mergeCell ref="B59:C59"/>
    <mergeCell ref="F50:F51"/>
    <mergeCell ref="G50:G51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A193D-BBB2-4608-BB15-A710C3894927}">
  <dimension ref="A1:H37"/>
  <sheetViews>
    <sheetView workbookViewId="0">
      <selection activeCell="C2" sqref="C2"/>
    </sheetView>
  </sheetViews>
  <sheetFormatPr defaultRowHeight="15" x14ac:dyDescent="0.25"/>
  <cols>
    <col min="1" max="1" width="17.5703125" style="41" bestFit="1" customWidth="1"/>
    <col min="2" max="2" width="26.42578125" style="41" bestFit="1" customWidth="1"/>
    <col min="3" max="3" width="27.85546875" style="41" bestFit="1" customWidth="1"/>
    <col min="4" max="4" width="60.7109375" style="41" bestFit="1" customWidth="1"/>
    <col min="5" max="5" width="33.140625" style="41" bestFit="1" customWidth="1"/>
    <col min="6" max="6" width="38.85546875" style="41" bestFit="1" customWidth="1"/>
    <col min="7" max="7" width="24.140625" style="41" bestFit="1" customWidth="1"/>
    <col min="8" max="8" width="14.5703125" style="41" bestFit="1" customWidth="1"/>
    <col min="9" max="16384" width="9.140625" style="41"/>
  </cols>
  <sheetData>
    <row r="1" spans="1:8" x14ac:dyDescent="0.25">
      <c r="A1" s="41" t="s">
        <v>79</v>
      </c>
      <c r="B1" s="41" t="s">
        <v>80</v>
      </c>
      <c r="C1" s="41" t="s">
        <v>81</v>
      </c>
      <c r="D1" s="41" t="s">
        <v>83</v>
      </c>
      <c r="E1" s="41" t="s">
        <v>84</v>
      </c>
      <c r="F1" s="41" t="s">
        <v>85</v>
      </c>
      <c r="G1" s="41" t="s">
        <v>86</v>
      </c>
      <c r="H1" s="41" t="s">
        <v>82</v>
      </c>
    </row>
    <row r="2" spans="1:8" x14ac:dyDescent="0.25">
      <c r="A2" s="108">
        <v>56811786041.823761</v>
      </c>
      <c r="B2" s="109">
        <f>Лист1!D50+Лист1!D51+Лист1!D54+Лист1!D55+Лист1!D53</f>
        <v>2228040.1112839486</v>
      </c>
      <c r="C2" s="110">
        <f>A2*0.09%/12</f>
        <v>4260883.9531367822</v>
      </c>
      <c r="D2" s="109">
        <v>4135270.1665401994</v>
      </c>
      <c r="E2" s="109">
        <v>4135265.7480240422</v>
      </c>
      <c r="F2" s="110">
        <f>E2-D2</f>
        <v>-4.418516157194972</v>
      </c>
      <c r="G2" s="109">
        <f>(A2-B2-C2)*0.09%/12</f>
        <v>4260397.2838319503</v>
      </c>
      <c r="H2" s="109">
        <f>G2+F2</f>
        <v>4260392.8653157931</v>
      </c>
    </row>
    <row r="3" spans="1:8" x14ac:dyDescent="0.25">
      <c r="A3" s="111"/>
      <c r="B3" s="112"/>
    </row>
    <row r="5" spans="1:8" x14ac:dyDescent="0.25">
      <c r="D5" s="113"/>
    </row>
    <row r="8" spans="1:8" x14ac:dyDescent="0.25">
      <c r="D8" s="114"/>
      <c r="E8" s="113"/>
      <c r="F8" s="113"/>
      <c r="G8" s="113"/>
    </row>
    <row r="9" spans="1:8" x14ac:dyDescent="0.25">
      <c r="D9" s="114"/>
      <c r="E9" s="113"/>
      <c r="F9" s="113"/>
      <c r="G9" s="113"/>
    </row>
    <row r="10" spans="1:8" x14ac:dyDescent="0.25">
      <c r="D10" s="114"/>
      <c r="E10" s="113"/>
      <c r="F10" s="113"/>
      <c r="G10" s="113"/>
    </row>
    <row r="11" spans="1:8" x14ac:dyDescent="0.25">
      <c r="D11" s="114"/>
      <c r="E11" s="113"/>
      <c r="F11" s="113"/>
      <c r="G11" s="113"/>
    </row>
    <row r="12" spans="1:8" x14ac:dyDescent="0.25">
      <c r="D12" s="114"/>
      <c r="E12" s="113"/>
      <c r="F12" s="113"/>
      <c r="G12" s="113"/>
    </row>
    <row r="13" spans="1:8" x14ac:dyDescent="0.25">
      <c r="D13" s="114"/>
      <c r="E13" s="113"/>
      <c r="F13" s="113"/>
      <c r="G13" s="113"/>
    </row>
    <row r="14" spans="1:8" x14ac:dyDescent="0.25">
      <c r="D14" s="114"/>
      <c r="E14" s="113"/>
      <c r="F14" s="113"/>
      <c r="G14" s="113"/>
    </row>
    <row r="15" spans="1:8" x14ac:dyDescent="0.25">
      <c r="D15" s="114"/>
      <c r="E15" s="113"/>
      <c r="F15" s="113"/>
      <c r="G15" s="113"/>
    </row>
    <row r="16" spans="1:8" x14ac:dyDescent="0.25">
      <c r="D16" s="114"/>
      <c r="E16" s="113"/>
      <c r="F16" s="113"/>
      <c r="G16" s="113"/>
    </row>
    <row r="17" spans="4:7" x14ac:dyDescent="0.25">
      <c r="D17" s="114"/>
      <c r="E17" s="113"/>
      <c r="F17" s="113"/>
      <c r="G17" s="113"/>
    </row>
    <row r="18" spans="4:7" x14ac:dyDescent="0.25">
      <c r="D18" s="114"/>
      <c r="E18" s="113"/>
      <c r="F18" s="113"/>
      <c r="G18" s="113"/>
    </row>
    <row r="19" spans="4:7" x14ac:dyDescent="0.25">
      <c r="D19" s="114"/>
      <c r="E19" s="113"/>
      <c r="F19" s="113"/>
      <c r="G19" s="113"/>
    </row>
    <row r="20" spans="4:7" x14ac:dyDescent="0.25">
      <c r="D20" s="114"/>
      <c r="E20" s="113"/>
      <c r="F20" s="113"/>
      <c r="G20" s="113"/>
    </row>
    <row r="21" spans="4:7" x14ac:dyDescent="0.25">
      <c r="D21" s="114"/>
      <c r="E21" s="113"/>
      <c r="F21" s="113"/>
      <c r="G21" s="113"/>
    </row>
    <row r="22" spans="4:7" x14ac:dyDescent="0.25">
      <c r="D22" s="114"/>
      <c r="E22" s="113"/>
      <c r="F22" s="113"/>
      <c r="G22" s="113"/>
    </row>
    <row r="23" spans="4:7" x14ac:dyDescent="0.25">
      <c r="D23" s="114"/>
      <c r="E23" s="113"/>
      <c r="F23" s="113"/>
      <c r="G23" s="113"/>
    </row>
    <row r="24" spans="4:7" x14ac:dyDescent="0.25">
      <c r="D24" s="114"/>
      <c r="E24" s="113"/>
      <c r="F24" s="113"/>
      <c r="G24" s="113"/>
    </row>
    <row r="25" spans="4:7" x14ac:dyDescent="0.25">
      <c r="D25" s="114"/>
      <c r="E25" s="113"/>
      <c r="F25" s="113"/>
      <c r="G25" s="113"/>
    </row>
    <row r="26" spans="4:7" x14ac:dyDescent="0.25">
      <c r="D26" s="114"/>
      <c r="E26" s="113"/>
      <c r="F26" s="113"/>
      <c r="G26" s="113"/>
    </row>
    <row r="27" spans="4:7" x14ac:dyDescent="0.25">
      <c r="D27" s="114"/>
      <c r="E27" s="113"/>
      <c r="F27" s="113"/>
      <c r="G27" s="113"/>
    </row>
    <row r="28" spans="4:7" x14ac:dyDescent="0.25">
      <c r="D28" s="114"/>
      <c r="E28" s="113"/>
      <c r="F28" s="113"/>
      <c r="G28" s="113"/>
    </row>
    <row r="29" spans="4:7" x14ac:dyDescent="0.25">
      <c r="D29" s="114"/>
      <c r="E29" s="113"/>
      <c r="F29" s="113"/>
      <c r="G29" s="113"/>
    </row>
    <row r="30" spans="4:7" x14ac:dyDescent="0.25">
      <c r="D30" s="114"/>
      <c r="E30" s="113"/>
      <c r="F30" s="113"/>
      <c r="G30" s="113"/>
    </row>
    <row r="31" spans="4:7" x14ac:dyDescent="0.25">
      <c r="D31" s="114"/>
      <c r="E31" s="113"/>
      <c r="F31" s="113"/>
      <c r="G31" s="113"/>
    </row>
    <row r="32" spans="4:7" x14ac:dyDescent="0.25">
      <c r="D32" s="114"/>
      <c r="E32" s="113"/>
      <c r="F32" s="113"/>
      <c r="G32" s="113"/>
    </row>
    <row r="33" spans="4:7" x14ac:dyDescent="0.25">
      <c r="D33" s="114"/>
      <c r="E33" s="113"/>
      <c r="F33" s="113"/>
      <c r="G33" s="113"/>
    </row>
    <row r="34" spans="4:7" x14ac:dyDescent="0.25">
      <c r="D34" s="114"/>
      <c r="E34" s="113"/>
      <c r="F34" s="113"/>
      <c r="G34" s="113"/>
    </row>
    <row r="35" spans="4:7" x14ac:dyDescent="0.25">
      <c r="D35" s="114"/>
      <c r="E35" s="113"/>
      <c r="F35" s="113"/>
      <c r="G35" s="113"/>
    </row>
    <row r="36" spans="4:7" x14ac:dyDescent="0.25">
      <c r="D36" s="114"/>
      <c r="E36" s="113"/>
      <c r="F36" s="113"/>
      <c r="G36" s="113"/>
    </row>
    <row r="37" spans="4:7" x14ac:dyDescent="0.25">
      <c r="D37" s="114"/>
      <c r="E37" s="113"/>
      <c r="F37" s="113"/>
      <c r="G37" s="11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Расчет ДУ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Дамир Сәкен</cp:lastModifiedBy>
  <dcterms:created xsi:type="dcterms:W3CDTF">2026-01-03T07:52:27Z</dcterms:created>
  <dcterms:modified xsi:type="dcterms:W3CDTF">2026-01-05T10:23:12Z</dcterms:modified>
</cp:coreProperties>
</file>