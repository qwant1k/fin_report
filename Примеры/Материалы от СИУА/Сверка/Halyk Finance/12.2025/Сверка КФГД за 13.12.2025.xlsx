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33A1DFDD-51E0-4B35-B0F4-6A4F459448C1}" xr6:coauthVersionLast="47" xr6:coauthVersionMax="47" xr10:uidLastSave="{00000000-0000-0000-0000-000000000000}"/>
  <bookViews>
    <workbookView xWindow="-120" yWindow="-120" windowWidth="29040" windowHeight="15720" xr2:uid="{722AEFD9-452C-40FB-BF9F-2031865CD63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<sst xmlns="http://schemas.openxmlformats.org/spreadsheetml/2006/main" count="115" uniqueCount="81">
  <si>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</si>
  <si>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</si>
  <si>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</si>
  <si>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</si>
  <si>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</si>
  <si>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</si>
  <si>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</si>
  <si>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</si>
  <si>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</si>
  <si>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</si>
  <si>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</si>
  <si>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</si>
  <si>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</si>
  <si>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</si>
  <si>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</si>
  <si>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</si>
  <si>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</si>
  <si>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</si>
  <si>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</si>
  <si>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</si>
  <si>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</si>
  <si>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</si>
  <si>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</si>
  <si>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</si>
  <si>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</si>
  <si>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</si>
  <si>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</si>
  <si>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</si>
  <si>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</si>
  <si>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</si>
  <si>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</si>
  <si>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</si>
  <si>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</si>
  <si>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</si>
  <si>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</si>
  <si>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</si>
  <si>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</si>
  <si>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</si>
  <si>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</si>
  <si>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</si>
  <si>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</si>
  <si>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</si>
  <si>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</si>
  <si>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</si>
  <si>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</si>
  <si>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</si>
  <si>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</si>
  <si>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</si>
  <si>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</si>
  <si>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</si>
  <si>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МЕУКАМ Министерство финансов Республики Казахстан, Репо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</si>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</sst>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\ _₽_-;\-* #,##0.00\ _₽_-;_-* &quot;-&quot;??\ _₽_-;_-@_-"/>
    <numFmt numFmtId="171" formatCode="#,##0.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  <xf numFmtId="170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4" fontId="17" fillId="8" borderId="2" xfId="6" applyNumberFormat="1" applyFont="1" applyFill="1" applyBorder="1" applyAlignment="1">
      <alignment horizontal="right"/>
    </xf>
    <xf numFmtId="168" fontId="8" fillId="0" borderId="0" xfId="0" applyNumberFormat="1" applyFont="1"/>
    <xf numFmtId="43" fontId="0" fillId="0" borderId="0" xfId="2" applyFont="1"/>
    <xf numFmtId="171" fontId="0" fillId="0" borderId="0" xfId="0" applyNumberFormat="1" applyProtection="1">
      <protection locked="0"/>
    </xf>
    <xf numFmtId="4" fontId="0" fillId="0" borderId="0" xfId="0" applyNumberFormat="1"/>
    <xf numFmtId="171" fontId="8" fillId="0" borderId="0" xfId="0" applyNumberFormat="1" applyFont="1"/>
    <xf numFmtId="166" fontId="7" fillId="0" borderId="0" xfId="0" applyNumberFormat="1" applyFont="1"/>
    <xf numFmtId="0" fontId="2" fillId="0" borderId="12" xfId="0" applyFont="1" applyBorder="1"/>
    <xf numFmtId="0" fontId="2" fillId="0" borderId="13" xfId="0" applyFont="1" applyBorder="1"/>
  </cellXfs>
  <cellStyles count="9">
    <cellStyle name="Comma 3" xfId="7" xr:uid="{19F97C7E-33FD-4DC9-AFD6-016CCF145A65}"/>
    <cellStyle name="Percent 2 2" xfId="8" xr:uid="{1FA5B78A-13C7-4015-8A49-1223A87DEF01}"/>
    <cellStyle name="Обычный" xfId="0" builtinId="0"/>
    <cellStyle name="Обычный 2" xfId="3" xr:uid="{813B0163-E5F7-470D-A5DA-02A51D40EE4E}"/>
    <cellStyle name="Обычный_DVII02 2" xfId="6" xr:uid="{109AFF71-BE40-419F-9148-49C69D9E3DAC}"/>
    <cellStyle name="Процентный 2" xfId="5" xr:uid="{647B87CF-AE0A-4461-96DC-FA066B163E13}"/>
    <cellStyle name="Финансовый" xfId="2" builtinId="3"/>
    <cellStyle name="Финансовый 2" xfId="1" xr:uid="{541DE7CB-49F4-4AAC-A12C-23C29CE8BF7A}"/>
    <cellStyle name="Финансовый 3" xfId="4" xr:uid="{D73EF73B-76BF-4EFF-92F1-EEB5866EA2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816E-8D0B-4C20-AAD0-2F83D555350D}">
  <dimension ref="A1:P63"/>
  <sheetViews>
    <sheetView tabSelected="1" topLeftCell="A37" workbookViewId="0">
      <selection activeCell="D38" sqref="D38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7.7109375" customWidth="1"/>
    <col min="12" max="12" width="18.28515625" customWidth="1"/>
    <col min="13" max="13" width="20.5703125" customWidth="1"/>
    <col min="14" max="14" width="16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46004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87.194999999999993</v>
      </c>
      <c r="K7" s="21">
        <v>91.09899999999999</v>
      </c>
      <c r="L7" s="21">
        <v>244000000.00000003</v>
      </c>
      <c r="M7" s="21">
        <v>5693687499.999999</v>
      </c>
      <c r="N7" s="25">
        <v>12.834329892814514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99.343599999999995</v>
      </c>
      <c r="K8" s="21">
        <v>103.552322222222</v>
      </c>
      <c r="L8" s="21">
        <v>210436111.11111099</v>
      </c>
      <c r="M8" s="21">
        <v>5177616111.1111097</v>
      </c>
      <c r="N8" s="25">
        <v>11.6710362534564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87.950500000000005</v>
      </c>
      <c r="K9" s="21">
        <v>94.9127222222222</v>
      </c>
      <c r="L9" s="21">
        <v>261083333.33333299</v>
      </c>
      <c r="M9" s="21">
        <v>3559227083.3333302</v>
      </c>
      <c r="N9" s="25">
        <v>8.0229718527650196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86.375900000000001</v>
      </c>
      <c r="K10" s="21">
        <v>94.106455555555598</v>
      </c>
      <c r="L10" s="21">
        <v>289895833.33333302</v>
      </c>
      <c r="M10" s="21">
        <v>3528992083.3333302</v>
      </c>
      <c r="N10" s="25">
        <v>7.9548181361605801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84.482399999999998</v>
      </c>
      <c r="K11" s="21">
        <v>88.438649999999996</v>
      </c>
      <c r="L11" s="21">
        <v>148359375</v>
      </c>
      <c r="M11" s="21">
        <v>3316449375</v>
      </c>
      <c r="N11" s="25">
        <v>7.4757185657921204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80.283000000000001</v>
      </c>
      <c r="K12" s="21">
        <v>87.893555555555594</v>
      </c>
      <c r="L12" s="21">
        <v>285395833.33333302</v>
      </c>
      <c r="M12" s="21">
        <v>3296008333.3333302</v>
      </c>
      <c r="N12" s="25">
        <v>7.4296417356002999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71.379000000000005</v>
      </c>
      <c r="K13" s="21">
        <v>76.9419166666667</v>
      </c>
      <c r="L13" s="21">
        <v>208609375</v>
      </c>
      <c r="M13" s="21">
        <v>2885321875</v>
      </c>
      <c r="N13" s="25">
        <v>6.5038997645557703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79.260400000000004</v>
      </c>
      <c r="K14" s="21">
        <v>83.313316666666694</v>
      </c>
      <c r="L14" s="21">
        <v>151984375</v>
      </c>
      <c r="M14" s="21">
        <v>3124249375</v>
      </c>
      <c r="N14" s="25">
        <v>7.0424741691864101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65.588899999999995</v>
      </c>
      <c r="K15" s="21">
        <v>70.318816666666706</v>
      </c>
      <c r="L15" s="21">
        <v>177371875</v>
      </c>
      <c r="M15" s="21">
        <v>2636955625</v>
      </c>
      <c r="N15" s="25">
        <v>5.9440491604013896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64.400599999999997</v>
      </c>
      <c r="K16" s="21">
        <v>71.439433333333298</v>
      </c>
      <c r="L16" s="21">
        <v>263956250</v>
      </c>
      <c r="M16" s="21">
        <v>2678978750</v>
      </c>
      <c r="N16" s="25">
        <v>6.0387748806621104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87.286600000000007</v>
      </c>
      <c r="K17" s="21">
        <v>96.486599999999996</v>
      </c>
      <c r="L17" s="21">
        <v>184000000</v>
      </c>
      <c r="M17" s="21">
        <v>1929732000</v>
      </c>
      <c r="N17" s="25">
        <v>4.3498729237810698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87.286600000000007</v>
      </c>
      <c r="K18" s="21">
        <v>96.486599999999996</v>
      </c>
      <c r="L18" s="21">
        <v>276000000</v>
      </c>
      <c r="M18" s="21">
        <v>2894598000</v>
      </c>
      <c r="N18" s="25">
        <v>6.5248093856716096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84.482399999999998</v>
      </c>
      <c r="K19" s="21">
        <v>88.438649999999996</v>
      </c>
      <c r="L19" s="21">
        <v>39562500</v>
      </c>
      <c r="M19" s="21">
        <v>884386500</v>
      </c>
      <c r="N19" s="25">
        <v>1.9935249508779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75.512</v>
      </c>
      <c r="K20" s="21">
        <v>78.745999999999995</v>
      </c>
      <c r="L20" s="21">
        <v>32340000</v>
      </c>
      <c r="M20" s="21">
        <v>787460000</v>
      </c>
      <c r="N20" s="25">
        <v>1.7750397115043099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94.492204418680998</v>
      </c>
      <c r="K21" s="21">
        <v>98.464426640903199</v>
      </c>
      <c r="L21" s="21">
        <v>79444444.444444507</v>
      </c>
      <c r="M21" s="21">
        <v>1969288532.8180599</v>
      </c>
      <c r="N21" s="25">
        <v>4.4390386167705396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2852439305.5555601</v>
      </c>
      <c r="M22" s="35">
        <v>44362951143.929199</v>
      </c>
      <c r="N22" s="36">
        <v>100</v>
      </c>
      <c r="O22" s="41">
        <v>44362951143.929169</v>
      </c>
      <c r="P22" s="103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1063969.8799999999</v>
      </c>
      <c r="E24" s="101">
        <v>1063969.8799999999</v>
      </c>
      <c r="F24" s="102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28</v>
      </c>
      <c r="D28" s="57">
        <v>16812</v>
      </c>
      <c r="E28" s="58" t="s">
        <v>35</v>
      </c>
      <c r="F28" s="59">
        <v>46003</v>
      </c>
      <c r="G28" s="59">
        <v>46006</v>
      </c>
      <c r="H28" s="60">
        <v>714.17</v>
      </c>
      <c r="I28" s="60">
        <v>715.16788127527957</v>
      </c>
      <c r="J28" s="61">
        <v>12006626.039999999</v>
      </c>
      <c r="K28" s="61">
        <v>12023402.42</v>
      </c>
      <c r="L28" s="62">
        <v>17</v>
      </c>
      <c r="M28" s="63">
        <v>5592.13</v>
      </c>
      <c r="N28" s="64">
        <v>12012218.17</v>
      </c>
      <c r="O28" s="52"/>
    </row>
    <row r="29" spans="1:16" ht="26.25" thickBot="1" x14ac:dyDescent="0.3">
      <c r="A29" s="54">
        <v>2</v>
      </c>
      <c r="B29" s="55" t="s">
        <v>50</v>
      </c>
      <c r="C29" s="56" t="s">
        <v>29</v>
      </c>
      <c r="D29" s="57">
        <v>2063630</v>
      </c>
      <c r="E29" s="58" t="s">
        <v>35</v>
      </c>
      <c r="F29" s="59">
        <v>46003</v>
      </c>
      <c r="G29" s="59">
        <v>46006</v>
      </c>
      <c r="H29" s="60">
        <v>964.53300000000002</v>
      </c>
      <c r="I29" s="60">
        <v>965.88070364357998</v>
      </c>
      <c r="J29" s="61">
        <v>1990439234.79</v>
      </c>
      <c r="K29" s="61">
        <v>1993220396.46</v>
      </c>
      <c r="L29" s="62">
        <v>17</v>
      </c>
      <c r="M29" s="63">
        <v>927053.89</v>
      </c>
      <c r="N29" s="64">
        <v>1991366288.6800001</v>
      </c>
      <c r="O29" s="52"/>
    </row>
    <row r="30" spans="1:16" ht="26.25" thickBot="1" x14ac:dyDescent="0.3">
      <c r="A30" s="54">
        <v>3</v>
      </c>
      <c r="B30" s="55" t="s">
        <v>51</v>
      </c>
      <c r="C30" s="56" t="s">
        <v>52</v>
      </c>
      <c r="D30" s="57">
        <v>128310</v>
      </c>
      <c r="E30" s="58" t="s">
        <v>35</v>
      </c>
      <c r="F30" s="59">
        <v>46000</v>
      </c>
      <c r="G30" s="59">
        <v>46008</v>
      </c>
      <c r="H30" s="60">
        <v>506.70470002338101</v>
      </c>
      <c r="I30" s="60">
        <v>508.60935437612</v>
      </c>
      <c r="J30" s="61">
        <v>65015280.060000002</v>
      </c>
      <c r="K30" s="61">
        <v>65259666.259999998</v>
      </c>
      <c r="L30" s="62">
        <v>17.149999999999999</v>
      </c>
      <c r="M30" s="63">
        <v>122193.1</v>
      </c>
      <c r="N30" s="64">
        <v>65137473.159999996</v>
      </c>
      <c r="O30" s="52"/>
    </row>
    <row r="31" spans="1:16" ht="26.25" thickBot="1" x14ac:dyDescent="0.3">
      <c r="A31" s="54">
        <v>4</v>
      </c>
      <c r="B31" s="55" t="s">
        <v>51</v>
      </c>
      <c r="C31" s="56" t="s">
        <v>52</v>
      </c>
      <c r="D31" s="57">
        <v>20223630</v>
      </c>
      <c r="E31" s="58" t="s">
        <v>35</v>
      </c>
      <c r="F31" s="59">
        <v>46000</v>
      </c>
      <c r="G31" s="59">
        <v>46008</v>
      </c>
      <c r="H31" s="60">
        <v>506.704699999951</v>
      </c>
      <c r="I31" s="60">
        <v>508.60935437901099</v>
      </c>
      <c r="J31" s="61">
        <v>10247408372.059999</v>
      </c>
      <c r="K31" s="61">
        <v>10285927397.5</v>
      </c>
      <c r="L31" s="62">
        <v>17.149999999999999</v>
      </c>
      <c r="M31" s="63">
        <v>19259512.719999999</v>
      </c>
      <c r="N31" s="64">
        <v>10266667884.780001</v>
      </c>
      <c r="O31" s="52"/>
    </row>
    <row r="32" spans="1:16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20314351.84</v>
      </c>
      <c r="N32" s="73">
        <v>12335183864.790001</v>
      </c>
      <c r="O32" s="104">
        <v>12335183864.786665</v>
      </c>
      <c r="P32" s="105">
        <f>N32-O32</f>
        <v>3.3359527587890625E-3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5">
        <v>0</v>
      </c>
      <c r="O33" s="74"/>
    </row>
    <row r="34" spans="1:15" ht="27.75" thickBot="1" x14ac:dyDescent="0.35">
      <c r="A34" s="76"/>
      <c r="B34" s="77" t="s">
        <v>53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5" ht="25.5" x14ac:dyDescent="0.3">
      <c r="A35" s="76"/>
      <c r="B35" s="78" t="s">
        <v>54</v>
      </c>
      <c r="C35" s="78" t="s">
        <v>55</v>
      </c>
      <c r="D35" s="78" t="s">
        <v>39</v>
      </c>
      <c r="E35" s="78" t="s">
        <v>56</v>
      </c>
      <c r="F35" s="78" t="s">
        <v>57</v>
      </c>
      <c r="G35" s="78" t="s">
        <v>58</v>
      </c>
      <c r="H35" s="78" t="s">
        <v>59</v>
      </c>
      <c r="I35" s="43"/>
      <c r="J35" s="43"/>
      <c r="K35" s="43"/>
      <c r="L35" s="43"/>
      <c r="M35" s="43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3"/>
      <c r="J36" s="43"/>
      <c r="K36" s="43"/>
      <c r="L36" s="43"/>
      <c r="M36" s="43"/>
      <c r="N36" s="75">
        <v>0</v>
      </c>
      <c r="O36" s="74"/>
    </row>
    <row r="37" spans="1:15" ht="19.5" thickBot="1" x14ac:dyDescent="0.35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9.5" thickBot="1" x14ac:dyDescent="0.35">
      <c r="A38" s="76"/>
      <c r="B38" s="82" t="s">
        <v>60</v>
      </c>
      <c r="C38" s="100">
        <v>56699198978.595802</v>
      </c>
      <c r="D38" s="106">
        <v>56699198978.595833</v>
      </c>
      <c r="E38" s="107">
        <f>C38-D38</f>
        <v>0</v>
      </c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53" t="s">
        <v>61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5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42" t="s">
        <v>62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25.5" x14ac:dyDescent="0.3">
      <c r="A44" s="76"/>
      <c r="B44" s="78" t="s">
        <v>54</v>
      </c>
      <c r="C44" s="78" t="s">
        <v>55</v>
      </c>
      <c r="D44" s="78" t="s">
        <v>39</v>
      </c>
      <c r="E44" s="78" t="s">
        <v>56</v>
      </c>
      <c r="F44" s="78" t="s">
        <v>57</v>
      </c>
      <c r="G44" s="78" t="s">
        <v>58</v>
      </c>
      <c r="H44" s="78" t="s">
        <v>59</v>
      </c>
      <c r="I44" s="43"/>
      <c r="J44" s="43"/>
      <c r="K44" s="43"/>
      <c r="L44" s="43"/>
      <c r="M44" s="43"/>
      <c r="N44" s="75">
        <v>0</v>
      </c>
    </row>
    <row r="45" spans="1:15" ht="18" x14ac:dyDescent="0.25">
      <c r="A45" s="42"/>
      <c r="B45" s="79">
        <v>1</v>
      </c>
      <c r="C45" s="80"/>
      <c r="D45" s="80"/>
      <c r="E45" s="81"/>
      <c r="F45" s="81"/>
      <c r="G45" s="80"/>
      <c r="H45" s="80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42" t="s">
        <v>63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83" t="s">
        <v>64</v>
      </c>
      <c r="C48" s="83" t="s">
        <v>55</v>
      </c>
      <c r="D48" s="83" t="s">
        <v>65</v>
      </c>
      <c r="E48" s="83" t="s">
        <v>66</v>
      </c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4" t="s">
        <v>67</v>
      </c>
      <c r="C49" s="84">
        <v>1</v>
      </c>
      <c r="D49" s="84">
        <v>2</v>
      </c>
      <c r="E49" s="84">
        <v>3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5">
        <v>1</v>
      </c>
      <c r="C50" s="86" t="s">
        <v>68</v>
      </c>
      <c r="D50" s="87"/>
      <c r="E50" s="88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9">
        <v>2</v>
      </c>
      <c r="C51" s="90" t="s">
        <v>69</v>
      </c>
      <c r="D51" s="41"/>
      <c r="E51" s="91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3</v>
      </c>
      <c r="C52" s="90" t="s">
        <v>70</v>
      </c>
      <c r="D52" s="92">
        <v>300832.07</v>
      </c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4</v>
      </c>
      <c r="C53" s="90" t="s">
        <v>71</v>
      </c>
      <c r="D53" s="92">
        <v>30000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5</v>
      </c>
      <c r="C54" s="90" t="s">
        <v>72</v>
      </c>
      <c r="D54" s="93">
        <v>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6</v>
      </c>
      <c r="C55" s="90" t="s">
        <v>73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9">
        <v>7</v>
      </c>
      <c r="C56" s="90" t="s">
        <v>74</v>
      </c>
      <c r="D56" s="92">
        <v>136823.76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8</v>
      </c>
      <c r="C57" s="90" t="s">
        <v>75</v>
      </c>
      <c r="D57" s="92">
        <v>273795.28000000003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9</v>
      </c>
      <c r="C58" s="90" t="s">
        <v>76</v>
      </c>
      <c r="D58" s="92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45.75" x14ac:dyDescent="0.3">
      <c r="A59" s="76"/>
      <c r="B59" s="89">
        <v>10</v>
      </c>
      <c r="C59" s="90" t="s">
        <v>77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6.5" thickBot="1" x14ac:dyDescent="0.35">
      <c r="A60" s="76"/>
      <c r="B60" s="94">
        <v>11</v>
      </c>
      <c r="C60" s="95" t="s">
        <v>78</v>
      </c>
      <c r="D60" s="96"/>
      <c r="E60" s="97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9.5" thickBot="1" x14ac:dyDescent="0.35">
      <c r="A61" s="76"/>
      <c r="B61" s="108" t="s">
        <v>79</v>
      </c>
      <c r="C61" s="109"/>
      <c r="D61" s="100">
        <v>741451.11</v>
      </c>
      <c r="E61" s="98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99" t="s">
        <v>80</v>
      </c>
      <c r="C63" s="100">
        <v>56698457527.485802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2025-12-15T08:29:55Z</dcterms:created>
  <dcterms:modified xsi:type="dcterms:W3CDTF">2025-12-17T06:41:21Z</dcterms:modified>
</cp:coreProperties>
</file>