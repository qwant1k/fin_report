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2.2025\"/>
    </mc:Choice>
  </mc:AlternateContent>
  <xr:revisionPtr revIDLastSave="0" documentId="13_ncr:1_{70DFA237-9037-4177-8FF4-ED25B620F1EB}" xr6:coauthVersionLast="47" xr6:coauthVersionMax="47" xr10:uidLastSave="{00000000-0000-0000-0000-000000000000}"/>
  <bookViews>
    <workbookView xWindow="-120" yWindow="-120" windowWidth="29040" windowHeight="15720" xr2:uid="{7A772435-090E-4536-A3E4-4D3003688BC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1" l="1"/>
  <c r="P32" i="1"/>
  <c r="P22" i="1"/>
  <c r="F24" i="1"/>
</calcChain>
</file>

<file path=xl/sharedStrings.xml><?xml version="1.0" encoding="utf-8"?>
<sst xmlns="http://schemas.openxmlformats.org/spreadsheetml/2006/main" count="115" uniqueCount="81">
  <si>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</si>
  <si>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</si>
  <si>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</si>
  <si>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</si>
  <si>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</si>
  <si>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</si>
  <si>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</si>
  <si>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</si>
  <si>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</si>
  <si>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</si>
  <si>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</si>
  <si>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</si>
  <si>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</si>
  <si>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</si>
  <si>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</si>
  <si>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</si>
  <si>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</si>
  <si>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</si>
  <si>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</si>
  <si>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</si>
  <si>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</si>
  <si>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</si>
  <si>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</si>
  <si>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</si>
  <si>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</si>
  <si>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</si>
  <si>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</si>
  <si>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</si>
  <si>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</si>
  <si>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</si>
  <si>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</si>
  <si>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</si>
  <si>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</si>
  <si>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</si>
  <si>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</si>
  <si>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</si>
  <si>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</si>
  <si>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</si>
  <si>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</si>
  <si>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</si>
  <si>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</si>
  <si>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</si>
  <si>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</si>
  <si>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</si>
  <si>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</si>
  <si>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</si>
  <si>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</si>
  <si>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</si>
  <si>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</si>
  <si>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Двадцатилетние  МЕУКАМ, эмиссия №4, Репо</t>
  </si>
  <si>
    <t>Купонные МЕУКАМ Министерство финансов Республики Казахстан, Репо</t>
  </si>
  <si>
    <t>Купонные облигации Министерства Финансов Республики Казахстан, Репо</t>
  </si>
  <si>
    <t>XS2914770545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</si>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</sst>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  <xf numFmtId="0" fontId="2" fillId="0" borderId="12" xfId="0" applyFont="1" applyBorder="1"/>
    <xf numFmtId="0" fontId="2" fillId="0" borderId="13" xfId="0" applyFont="1" applyBorder="1"/>
  </cellXfs>
  <cellStyles count="3">
    <cellStyle name="Обычный" xfId="0" builtinId="0"/>
    <cellStyle name="Финансовый" xfId="2" builtinId="3"/>
    <cellStyle name="Финансовый 2" xfId="1" xr:uid="{89B6206C-0372-4FC3-BFCE-A80935C6E5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73F8-4674-4A0F-82A9-E8709DA5AE53}">
  <dimension ref="A1:P63"/>
  <sheetViews>
    <sheetView tabSelected="1" topLeftCell="A20" workbookViewId="0">
      <selection activeCell="D38" sqref="D38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6" customWidth="1"/>
    <col min="12" max="12" width="18.28515625" customWidth="1"/>
    <col min="13" max="13" width="20.5703125" customWidth="1"/>
    <col min="14" max="14" width="19.71093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46003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87.194999999999993</v>
      </c>
      <c r="K7" s="21">
        <v>91.083749999999995</v>
      </c>
      <c r="L7" s="21">
        <v>243046875.00000003</v>
      </c>
      <c r="M7" s="21">
        <v>5692734375</v>
      </c>
      <c r="N7" s="25">
        <v>12.836105072641907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99.343599999999995</v>
      </c>
      <c r="K8" s="21">
        <v>103.52268333333301</v>
      </c>
      <c r="L8" s="21">
        <v>208954166.66666701</v>
      </c>
      <c r="M8" s="21">
        <v>5176134166.6666698</v>
      </c>
      <c r="N8" s="25">
        <v>11.6712633431847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87.950500000000005</v>
      </c>
      <c r="K9" s="21">
        <v>94.8838333333333</v>
      </c>
      <c r="L9" s="21">
        <v>260000000</v>
      </c>
      <c r="M9" s="21">
        <v>3558143750</v>
      </c>
      <c r="N9" s="25">
        <v>8.0229822840740095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86.375900000000001</v>
      </c>
      <c r="K10" s="21">
        <v>94.075900000000004</v>
      </c>
      <c r="L10" s="21">
        <v>288750000</v>
      </c>
      <c r="M10" s="21">
        <v>3527846250</v>
      </c>
      <c r="N10" s="25">
        <v>7.9546668019488802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84.482399999999998</v>
      </c>
      <c r="K11" s="21">
        <v>88.4093444444444</v>
      </c>
      <c r="L11" s="21">
        <v>147260416.66666701</v>
      </c>
      <c r="M11" s="21">
        <v>3315350416.6666698</v>
      </c>
      <c r="N11" s="25">
        <v>7.4755264338080902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80.283000000000001</v>
      </c>
      <c r="K12" s="21">
        <v>87.864944444444404</v>
      </c>
      <c r="L12" s="21">
        <v>284322916.66666698</v>
      </c>
      <c r="M12" s="21">
        <v>3294935416.6666698</v>
      </c>
      <c r="N12" s="25">
        <v>7.4294942342013801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71.379000000000005</v>
      </c>
      <c r="K13" s="21">
        <v>76.918444444444404</v>
      </c>
      <c r="L13" s="21">
        <v>207729166.66666701</v>
      </c>
      <c r="M13" s="21">
        <v>2884441666.6666698</v>
      </c>
      <c r="N13" s="25">
        <v>6.5039037253937702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79.260400000000004</v>
      </c>
      <c r="K14" s="21">
        <v>83.283733333333302</v>
      </c>
      <c r="L14" s="21">
        <v>150875000</v>
      </c>
      <c r="M14" s="21">
        <v>3123140000</v>
      </c>
      <c r="N14" s="25">
        <v>7.0421260778693604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65.588899999999995</v>
      </c>
      <c r="K15" s="21">
        <v>70.296400000000006</v>
      </c>
      <c r="L15" s="21">
        <v>176531250</v>
      </c>
      <c r="M15" s="21">
        <v>2636115000</v>
      </c>
      <c r="N15" s="25">
        <v>5.9439711910969697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64.400599999999997</v>
      </c>
      <c r="K16" s="21">
        <v>71.417016666666697</v>
      </c>
      <c r="L16" s="21">
        <v>263115625</v>
      </c>
      <c r="M16" s="21">
        <v>2678138125</v>
      </c>
      <c r="N16" s="25">
        <v>6.0387258753045501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87.286600000000007</v>
      </c>
      <c r="K17" s="21">
        <v>96.453266666666707</v>
      </c>
      <c r="L17" s="21">
        <v>183333333.33333299</v>
      </c>
      <c r="M17" s="21">
        <v>1929065333.3333299</v>
      </c>
      <c r="N17" s="25">
        <v>4.3496997540233302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87.286600000000007</v>
      </c>
      <c r="K18" s="21">
        <v>96.453266666666707</v>
      </c>
      <c r="L18" s="21">
        <v>275000000</v>
      </c>
      <c r="M18" s="21">
        <v>2893598000</v>
      </c>
      <c r="N18" s="25">
        <v>6.5245496310349997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84.482399999999998</v>
      </c>
      <c r="K19" s="21">
        <v>88.4093444444444</v>
      </c>
      <c r="L19" s="21">
        <v>39269444.444444403</v>
      </c>
      <c r="M19" s="21">
        <v>884093444.44444394</v>
      </c>
      <c r="N19" s="25">
        <v>1.99347371568216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75.512</v>
      </c>
      <c r="K20" s="21">
        <v>78.716055555555599</v>
      </c>
      <c r="L20" s="21">
        <v>32040555.555555601</v>
      </c>
      <c r="M20" s="21">
        <v>787160555.55555606</v>
      </c>
      <c r="N20" s="25">
        <v>1.7749072650434901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94.492204418680998</v>
      </c>
      <c r="K21" s="21">
        <v>98.424704418681003</v>
      </c>
      <c r="L21" s="21">
        <v>78650000</v>
      </c>
      <c r="M21" s="21">
        <v>1968494088.37362</v>
      </c>
      <c r="N21" s="25">
        <v>4.4386045946923698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2838878750</v>
      </c>
      <c r="M22" s="35">
        <v>44349390588.373596</v>
      </c>
      <c r="N22" s="36">
        <v>100</v>
      </c>
      <c r="O22" s="41">
        <v>44349390588.373619</v>
      </c>
      <c r="P22" s="103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1063969.8799999999</v>
      </c>
      <c r="E24" s="101">
        <v>1063969.8799999999</v>
      </c>
      <c r="F24" s="102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26.2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28</v>
      </c>
      <c r="D28" s="57">
        <v>16812</v>
      </c>
      <c r="E28" s="58" t="s">
        <v>35</v>
      </c>
      <c r="F28" s="59">
        <v>46003</v>
      </c>
      <c r="G28" s="59">
        <v>46006</v>
      </c>
      <c r="H28" s="60">
        <v>714.17</v>
      </c>
      <c r="I28" s="60">
        <v>715.16788127527957</v>
      </c>
      <c r="J28" s="61">
        <v>12006626.039999999</v>
      </c>
      <c r="K28" s="61">
        <v>12023402.42</v>
      </c>
      <c r="L28" s="62">
        <v>17</v>
      </c>
      <c r="M28" s="63">
        <v>0</v>
      </c>
      <c r="N28" s="64">
        <v>12006626.039999999</v>
      </c>
      <c r="O28" s="52"/>
    </row>
    <row r="29" spans="1:16" ht="26.25" thickBot="1" x14ac:dyDescent="0.3">
      <c r="A29" s="54">
        <v>2</v>
      </c>
      <c r="B29" s="55" t="s">
        <v>50</v>
      </c>
      <c r="C29" s="56" t="s">
        <v>29</v>
      </c>
      <c r="D29" s="57">
        <v>2063630</v>
      </c>
      <c r="E29" s="58" t="s">
        <v>35</v>
      </c>
      <c r="F29" s="59">
        <v>46003</v>
      </c>
      <c r="G29" s="59">
        <v>46006</v>
      </c>
      <c r="H29" s="60">
        <v>964.53300000000002</v>
      </c>
      <c r="I29" s="60">
        <v>965.88070364357998</v>
      </c>
      <c r="J29" s="61">
        <v>1990439234.79</v>
      </c>
      <c r="K29" s="61">
        <v>1993220396.46</v>
      </c>
      <c r="L29" s="62">
        <v>17</v>
      </c>
      <c r="M29" s="63">
        <v>0</v>
      </c>
      <c r="N29" s="64">
        <v>1990439234.79</v>
      </c>
      <c r="O29" s="52"/>
    </row>
    <row r="30" spans="1:16" ht="26.25" thickBot="1" x14ac:dyDescent="0.3">
      <c r="A30" s="54">
        <v>3</v>
      </c>
      <c r="B30" s="55" t="s">
        <v>51</v>
      </c>
      <c r="C30" s="56" t="s">
        <v>52</v>
      </c>
      <c r="D30" s="57">
        <v>128310</v>
      </c>
      <c r="E30" s="58" t="s">
        <v>35</v>
      </c>
      <c r="F30" s="59">
        <v>46000</v>
      </c>
      <c r="G30" s="59">
        <v>46008</v>
      </c>
      <c r="H30" s="60">
        <v>506.70470002338101</v>
      </c>
      <c r="I30" s="60">
        <v>508.60935437612</v>
      </c>
      <c r="J30" s="61">
        <v>65015280.060000002</v>
      </c>
      <c r="K30" s="61">
        <v>65259666.259999998</v>
      </c>
      <c r="L30" s="62">
        <v>17.149999999999999</v>
      </c>
      <c r="M30" s="63">
        <v>91644.82</v>
      </c>
      <c r="N30" s="64">
        <v>65106924.880000003</v>
      </c>
      <c r="O30" s="52"/>
    </row>
    <row r="31" spans="1:16" ht="26.25" thickBot="1" x14ac:dyDescent="0.3">
      <c r="A31" s="54">
        <v>4</v>
      </c>
      <c r="B31" s="55" t="s">
        <v>51</v>
      </c>
      <c r="C31" s="56" t="s">
        <v>52</v>
      </c>
      <c r="D31" s="57">
        <v>20223630</v>
      </c>
      <c r="E31" s="58" t="s">
        <v>35</v>
      </c>
      <c r="F31" s="59">
        <v>46000</v>
      </c>
      <c r="G31" s="59">
        <v>46008</v>
      </c>
      <c r="H31" s="60">
        <v>506.704699999951</v>
      </c>
      <c r="I31" s="60">
        <v>508.60935437901099</v>
      </c>
      <c r="J31" s="61">
        <v>10247408372.059999</v>
      </c>
      <c r="K31" s="61">
        <v>10285927397.5</v>
      </c>
      <c r="L31" s="62">
        <v>17.149999999999999</v>
      </c>
      <c r="M31" s="63">
        <v>14444634.539999999</v>
      </c>
      <c r="N31" s="64">
        <v>10261853006.6</v>
      </c>
      <c r="O31" s="52"/>
    </row>
    <row r="32" spans="1:16" ht="15.75" thickBot="1" x14ac:dyDescent="0.3">
      <c r="A32" s="65"/>
      <c r="B32" s="66"/>
      <c r="C32" s="67"/>
      <c r="D32" s="68"/>
      <c r="E32" s="69"/>
      <c r="F32" s="70"/>
      <c r="G32" s="70"/>
      <c r="H32" s="69"/>
      <c r="I32" s="69"/>
      <c r="J32" s="71"/>
      <c r="K32" s="69"/>
      <c r="L32" s="72"/>
      <c r="M32" s="73">
        <v>14536279.369999999</v>
      </c>
      <c r="N32" s="73">
        <v>12329405792.32</v>
      </c>
      <c r="O32" s="104">
        <v>12329405792.315002</v>
      </c>
      <c r="P32" s="105">
        <f>N32-O32</f>
        <v>4.99725341796875E-3</v>
      </c>
    </row>
    <row r="33" spans="1:15" ht="18.75" x14ac:dyDescent="0.3">
      <c r="A33" s="42"/>
      <c r="B33" s="43"/>
      <c r="C33" s="44"/>
      <c r="D33" s="44"/>
      <c r="E33" s="45"/>
      <c r="F33" s="42"/>
      <c r="G33" s="43"/>
      <c r="H33" s="43"/>
      <c r="I33" s="43"/>
      <c r="J33" s="43"/>
      <c r="K33" s="43"/>
      <c r="L33" s="43"/>
      <c r="M33" s="43"/>
      <c r="N33" s="75">
        <v>0</v>
      </c>
      <c r="O33" s="74"/>
    </row>
    <row r="34" spans="1:15" ht="27.75" thickBot="1" x14ac:dyDescent="0.35">
      <c r="A34" s="76"/>
      <c r="B34" s="77" t="s">
        <v>53</v>
      </c>
      <c r="C34" s="43"/>
      <c r="D34" s="43"/>
      <c r="E34" s="42"/>
      <c r="F34" s="42"/>
      <c r="G34" s="43"/>
      <c r="H34" s="43"/>
      <c r="I34" s="43"/>
      <c r="J34" s="43"/>
      <c r="K34" s="43"/>
      <c r="L34" s="43"/>
      <c r="M34" s="43"/>
      <c r="N34" s="75">
        <v>0</v>
      </c>
      <c r="O34" s="74"/>
    </row>
    <row r="35" spans="1:15" ht="25.5" x14ac:dyDescent="0.3">
      <c r="A35" s="76"/>
      <c r="B35" s="78" t="s">
        <v>54</v>
      </c>
      <c r="C35" s="78" t="s">
        <v>55</v>
      </c>
      <c r="D35" s="78" t="s">
        <v>39</v>
      </c>
      <c r="E35" s="78" t="s">
        <v>56</v>
      </c>
      <c r="F35" s="78" t="s">
        <v>57</v>
      </c>
      <c r="G35" s="78" t="s">
        <v>58</v>
      </c>
      <c r="H35" s="78" t="s">
        <v>59</v>
      </c>
      <c r="I35" s="43"/>
      <c r="J35" s="43"/>
      <c r="K35" s="43"/>
      <c r="L35" s="43"/>
      <c r="M35" s="43"/>
      <c r="N35" s="75">
        <v>0</v>
      </c>
      <c r="O35" s="74"/>
    </row>
    <row r="36" spans="1:15" ht="18.75" x14ac:dyDescent="0.3">
      <c r="A36" s="76"/>
      <c r="B36" s="79">
        <v>1</v>
      </c>
      <c r="C36" s="80"/>
      <c r="D36" s="80"/>
      <c r="E36" s="81"/>
      <c r="F36" s="81"/>
      <c r="G36" s="80"/>
      <c r="H36" s="80"/>
      <c r="I36" s="43"/>
      <c r="J36" s="43"/>
      <c r="K36" s="43"/>
      <c r="L36" s="43"/>
      <c r="M36" s="43"/>
      <c r="N36" s="75">
        <v>0</v>
      </c>
      <c r="O36" s="74"/>
    </row>
    <row r="37" spans="1:15" ht="19.5" thickBot="1" x14ac:dyDescent="0.35">
      <c r="A37" s="76"/>
      <c r="B37" s="42"/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5">
        <v>0</v>
      </c>
      <c r="O37" s="74"/>
    </row>
    <row r="38" spans="1:15" ht="19.5" thickBot="1" x14ac:dyDescent="0.35">
      <c r="A38" s="76"/>
      <c r="B38" s="82" t="s">
        <v>60</v>
      </c>
      <c r="C38" s="100">
        <v>56679860350.568604</v>
      </c>
      <c r="D38" s="106">
        <v>56679860350.568619</v>
      </c>
      <c r="E38" s="107">
        <f>C38-D38</f>
        <v>0</v>
      </c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5" ht="18.75" x14ac:dyDescent="0.3">
      <c r="A39" s="76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5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5" ht="18.75" x14ac:dyDescent="0.3">
      <c r="A41" s="76"/>
      <c r="B41" s="53" t="s">
        <v>61</v>
      </c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5" ht="18.75" x14ac:dyDescent="0.3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5" ht="19.5" thickBot="1" x14ac:dyDescent="0.35">
      <c r="A43" s="76"/>
      <c r="B43" s="42" t="s">
        <v>62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5" ht="25.5" x14ac:dyDescent="0.3">
      <c r="A44" s="76"/>
      <c r="B44" s="78" t="s">
        <v>54</v>
      </c>
      <c r="C44" s="78" t="s">
        <v>55</v>
      </c>
      <c r="D44" s="78" t="s">
        <v>39</v>
      </c>
      <c r="E44" s="78" t="s">
        <v>56</v>
      </c>
      <c r="F44" s="78" t="s">
        <v>57</v>
      </c>
      <c r="G44" s="78" t="s">
        <v>58</v>
      </c>
      <c r="H44" s="78" t="s">
        <v>59</v>
      </c>
      <c r="I44" s="43"/>
      <c r="J44" s="43"/>
      <c r="K44" s="43"/>
      <c r="L44" s="43"/>
      <c r="M44" s="43"/>
      <c r="N44" s="75">
        <v>0</v>
      </c>
    </row>
    <row r="45" spans="1:15" ht="18" x14ac:dyDescent="0.25">
      <c r="A45" s="42"/>
      <c r="B45" s="79">
        <v>1</v>
      </c>
      <c r="C45" s="80"/>
      <c r="D45" s="80"/>
      <c r="E45" s="81"/>
      <c r="F45" s="81"/>
      <c r="G45" s="80"/>
      <c r="H45" s="80"/>
      <c r="I45" s="43"/>
      <c r="J45" s="43"/>
      <c r="K45" s="43"/>
      <c r="L45" s="43"/>
      <c r="M45" s="43"/>
      <c r="N45" s="75">
        <v>0</v>
      </c>
    </row>
    <row r="46" spans="1:15" ht="18.75" x14ac:dyDescent="0.3">
      <c r="A46" s="76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5" ht="19.5" thickBot="1" x14ac:dyDescent="0.35">
      <c r="A47" s="76"/>
      <c r="B47" s="42" t="s">
        <v>63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5" ht="19.5" thickBot="1" x14ac:dyDescent="0.35">
      <c r="A48" s="76"/>
      <c r="B48" s="83" t="s">
        <v>64</v>
      </c>
      <c r="C48" s="83" t="s">
        <v>55</v>
      </c>
      <c r="D48" s="83" t="s">
        <v>65</v>
      </c>
      <c r="E48" s="83" t="s">
        <v>66</v>
      </c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84" t="s">
        <v>67</v>
      </c>
      <c r="C49" s="84">
        <v>1</v>
      </c>
      <c r="D49" s="84">
        <v>2</v>
      </c>
      <c r="E49" s="84">
        <v>3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30.75" x14ac:dyDescent="0.3">
      <c r="A50" s="76"/>
      <c r="B50" s="85">
        <v>1</v>
      </c>
      <c r="C50" s="86" t="s">
        <v>68</v>
      </c>
      <c r="D50" s="87"/>
      <c r="E50" s="88"/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9">
        <v>2</v>
      </c>
      <c r="C51" s="90" t="s">
        <v>69</v>
      </c>
      <c r="D51" s="41"/>
      <c r="E51" s="91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9">
        <v>3</v>
      </c>
      <c r="C52" s="90" t="s">
        <v>70</v>
      </c>
      <c r="D52" s="92">
        <v>277531.03000000003</v>
      </c>
      <c r="E52" s="91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4</v>
      </c>
      <c r="C53" s="90" t="s">
        <v>71</v>
      </c>
      <c r="D53" s="92">
        <v>30000</v>
      </c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5</v>
      </c>
      <c r="C54" s="90" t="s">
        <v>72</v>
      </c>
      <c r="D54" s="93">
        <v>0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6</v>
      </c>
      <c r="C55" s="90" t="s">
        <v>73</v>
      </c>
      <c r="D55" s="93">
        <v>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18.75" x14ac:dyDescent="0.3">
      <c r="A56" s="76"/>
      <c r="B56" s="89">
        <v>7</v>
      </c>
      <c r="C56" s="90" t="s">
        <v>74</v>
      </c>
      <c r="D56" s="92">
        <v>136823.76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18.75" x14ac:dyDescent="0.3">
      <c r="A57" s="76"/>
      <c r="B57" s="89">
        <v>8</v>
      </c>
      <c r="C57" s="90" t="s">
        <v>75</v>
      </c>
      <c r="D57" s="92">
        <v>273795.28000000003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9</v>
      </c>
      <c r="C58" s="90" t="s">
        <v>76</v>
      </c>
      <c r="D58" s="92"/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45.75" x14ac:dyDescent="0.3">
      <c r="A59" s="76"/>
      <c r="B59" s="89">
        <v>10</v>
      </c>
      <c r="C59" s="90" t="s">
        <v>77</v>
      </c>
      <c r="D59" s="92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46.5" thickBot="1" x14ac:dyDescent="0.35">
      <c r="A60" s="76"/>
      <c r="B60" s="94">
        <v>11</v>
      </c>
      <c r="C60" s="95" t="s">
        <v>78</v>
      </c>
      <c r="D60" s="96"/>
      <c r="E60" s="97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9.5" thickBot="1" x14ac:dyDescent="0.35">
      <c r="A61" s="76"/>
      <c r="B61" s="108" t="s">
        <v>79</v>
      </c>
      <c r="C61" s="109"/>
      <c r="D61" s="100">
        <v>718150.07</v>
      </c>
      <c r="E61" s="98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5.75" thickBot="1" x14ac:dyDescent="0.3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</row>
    <row r="63" spans="1:14" ht="15.75" thickBot="1" x14ac:dyDescent="0.3">
      <c r="A63" s="74"/>
      <c r="B63" s="99" t="s">
        <v>80</v>
      </c>
      <c r="C63" s="100">
        <v>56679142200.498596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</sheetData>
  <mergeCells count="1">
    <mergeCell ref="B61:C6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2025-12-15T08:26:23Z</dcterms:created>
  <dcterms:modified xsi:type="dcterms:W3CDTF">2025-12-17T06:48:45Z</dcterms:modified>
</cp:coreProperties>
</file>