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5959D2CE-F1A4-4D6F-BD5B-6957F61B11F0}" xr6:coauthVersionLast="47" xr6:coauthVersionMax="47" xr10:uidLastSave="{00000000-0000-0000-0000-000000000000}"/>
  <bookViews>
    <workbookView xWindow="-120" yWindow="-120" windowWidth="29040" windowHeight="15720" xr2:uid="{4078D52E-6FCF-47B6-A931-2274CF3BECC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P32" i="1"/>
  <c r="P22" i="1"/>
  <c r="F24" i="1"/>
</calcChain>
</file>

<file path=xl/sharedStrings.xml><?xml version="1.0" encoding="utf-8"?>
<sst xmlns="http://schemas.openxmlformats.org/spreadsheetml/2006/main" count="115" uniqueCount="83">
  <si>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</si>
  <si>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</si>
  <si>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</si>
  <si>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</si>
  <si>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</si>
  <si>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</si>
  <si>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</si>
  <si>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</si>
  <si>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</si>
  <si>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</si>
  <si>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</si>
  <si>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</si>
  <si>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</si>
  <si>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</si>
  <si>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</si>
  <si>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</si>
  <si>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</si>
  <si>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</si>
  <si>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</si>
  <si>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</si>
  <si>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</si>
  <si>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</si>
  <si>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</si>
  <si>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</si>
  <si>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</si>
  <si>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</si>
  <si>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</si>
  <si>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</si>
  <si>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</si>
  <si>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</si>
  <si>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</si>
  <si>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</si>
  <si>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</si>
  <si>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</si>
  <si>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</si>
  <si>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</si>
  <si>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</si>
  <si>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</si>
  <si>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</si>
  <si>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</si>
  <si>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</si>
  <si>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</si>
  <si>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</si>
  <si>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</si>
  <si>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</si>
  <si>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</si>
  <si>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</si>
  <si>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</si>
  <si>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</si>
  <si>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Министерства финансов РК, Репо</t>
  </si>
  <si>
    <t>XS3093655341</t>
  </si>
  <si>
    <t>Пятнадцатилетние МЕUКАМ, эмиссия №4, Репо</t>
  </si>
  <si>
    <t>KZKD00000444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</si>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</sst>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b/>
      <sz val="8"/>
      <color rgb="FF000000"/>
      <name val="Arial"/>
      <family val="2"/>
      <charset val="204"/>
    </font>
    <font>
      <sz val="10"/>
      <color theme="0"/>
      <name val="Arial Cyr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5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3" xfId="0" applyFont="1" applyBorder="1" applyAlignment="1">
      <alignment wrapText="1"/>
    </xf>
    <xf numFmtId="0" fontId="10" fillId="4" borderId="4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/>
    </xf>
    <xf numFmtId="0" fontId="8" fillId="0" borderId="3" xfId="0" applyFont="1" applyBorder="1"/>
    <xf numFmtId="0" fontId="7" fillId="0" borderId="3" xfId="0" applyFont="1" applyBorder="1"/>
    <xf numFmtId="0" fontId="10" fillId="0" borderId="1" xfId="0" applyFont="1" applyBorder="1"/>
    <xf numFmtId="0" fontId="14" fillId="7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top"/>
    </xf>
    <xf numFmtId="0" fontId="2" fillId="0" borderId="7" xfId="0" applyFont="1" applyBorder="1" applyAlignment="1">
      <alignment wrapText="1"/>
    </xf>
    <xf numFmtId="43" fontId="0" fillId="0" borderId="7" xfId="1" applyFont="1" applyFill="1" applyBorder="1"/>
    <xf numFmtId="0" fontId="0" fillId="0" borderId="6" xfId="0" applyBorder="1"/>
    <xf numFmtId="0" fontId="0" fillId="0" borderId="8" xfId="0" applyBorder="1" applyAlignment="1">
      <alignment horizontal="center" vertical="top"/>
    </xf>
    <xf numFmtId="0" fontId="2" fillId="0" borderId="3" xfId="0" applyFont="1" applyBorder="1" applyAlignment="1">
      <alignment wrapText="1"/>
    </xf>
    <xf numFmtId="0" fontId="0" fillId="0" borderId="9" xfId="0" applyBorder="1"/>
    <xf numFmtId="43" fontId="0" fillId="0" borderId="3" xfId="1" applyFont="1" applyBorder="1"/>
    <xf numFmtId="43" fontId="0" fillId="0" borderId="3" xfId="1" applyFont="1" applyFill="1" applyBorder="1"/>
    <xf numFmtId="0" fontId="0" fillId="0" borderId="10" xfId="0" applyBorder="1" applyAlignment="1">
      <alignment horizontal="center" vertical="top"/>
    </xf>
    <xf numFmtId="0" fontId="2" fillId="0" borderId="11" xfId="0" applyFont="1" applyBorder="1" applyAlignment="1">
      <alignment wrapText="1"/>
    </xf>
    <xf numFmtId="43" fontId="0" fillId="0" borderId="11" xfId="1" applyFont="1" applyBorder="1"/>
    <xf numFmtId="0" fontId="0" fillId="0" borderId="12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3" xfId="0" applyFont="1" applyBorder="1"/>
    <xf numFmtId="0" fontId="2" fillId="0" borderId="2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FB861A8F-4950-40E0-9936-D39830478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8DEF9-7E0B-4053-B072-E9644421871C}">
  <dimension ref="A1:P63"/>
  <sheetViews>
    <sheetView tabSelected="1" topLeftCell="A21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4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45993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87.351100000000002</v>
      </c>
      <c r="K7" s="21">
        <v>91.087350000000001</v>
      </c>
      <c r="L7" s="21">
        <v>233515625</v>
      </c>
      <c r="M7" s="21">
        <v>5692959375</v>
      </c>
      <c r="N7" s="25">
        <v>13.056033652372573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99.076099999999997</v>
      </c>
      <c r="K8" s="21">
        <v>102.958794444444</v>
      </c>
      <c r="L8" s="21">
        <v>194134722.222222</v>
      </c>
      <c r="M8" s="21">
        <v>5147939722.2222204</v>
      </c>
      <c r="N8" s="25">
        <v>11.8061046683156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88.139600000000002</v>
      </c>
      <c r="K9" s="21">
        <v>94.784044444444405</v>
      </c>
      <c r="L9" s="21">
        <v>249166666.66666701</v>
      </c>
      <c r="M9" s="21">
        <v>3554401666.6666698</v>
      </c>
      <c r="N9" s="25">
        <v>8.1515403004345508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86.029700000000005</v>
      </c>
      <c r="K10" s="21">
        <v>93.424144444444494</v>
      </c>
      <c r="L10" s="21">
        <v>277291666.66666698</v>
      </c>
      <c r="M10" s="21">
        <v>3503405416.6666698</v>
      </c>
      <c r="N10" s="25">
        <v>8.0345872866700994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83.927499999999995</v>
      </c>
      <c r="K11" s="21">
        <v>87.561388888888899</v>
      </c>
      <c r="L11" s="21">
        <v>136270833.33333299</v>
      </c>
      <c r="M11" s="21">
        <v>3283552083.3333302</v>
      </c>
      <c r="N11" s="25">
        <v>7.5303833516848302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78.542500000000004</v>
      </c>
      <c r="K12" s="21">
        <v>85.838333333333296</v>
      </c>
      <c r="L12" s="21">
        <v>273593750</v>
      </c>
      <c r="M12" s="21">
        <v>3218937500</v>
      </c>
      <c r="N12" s="25">
        <v>7.3821985291936203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69.034899999999993</v>
      </c>
      <c r="K13" s="21">
        <v>74.339622222222204</v>
      </c>
      <c r="L13" s="21">
        <v>198927083.33333299</v>
      </c>
      <c r="M13" s="21">
        <v>2787735833.3333302</v>
      </c>
      <c r="N13" s="25">
        <v>6.3932957283618199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76.713200000000001</v>
      </c>
      <c r="K14" s="21">
        <v>80.440700000000007</v>
      </c>
      <c r="L14" s="21">
        <v>139781250</v>
      </c>
      <c r="M14" s="21">
        <v>3016526250</v>
      </c>
      <c r="N14" s="25">
        <v>6.9179956572701196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62.398200000000003</v>
      </c>
      <c r="K15" s="21">
        <v>66.881533333333294</v>
      </c>
      <c r="L15" s="21">
        <v>168125000</v>
      </c>
      <c r="M15" s="21">
        <v>2508057500</v>
      </c>
      <c r="N15" s="25">
        <v>5.7518912335617003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60.986699999999999</v>
      </c>
      <c r="K16" s="21">
        <v>67.778949999999995</v>
      </c>
      <c r="L16" s="21">
        <v>254709375</v>
      </c>
      <c r="M16" s="21">
        <v>2541710625</v>
      </c>
      <c r="N16" s="25">
        <v>5.8290701318403304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86.273300000000006</v>
      </c>
      <c r="K17" s="21">
        <v>95.106633333333306</v>
      </c>
      <c r="L17" s="21">
        <v>176666666.66666701</v>
      </c>
      <c r="M17" s="21">
        <v>1902132666.6666701</v>
      </c>
      <c r="N17" s="25">
        <v>4.3622844414337996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86.273300000000006</v>
      </c>
      <c r="K18" s="21">
        <v>95.106633333333306</v>
      </c>
      <c r="L18" s="21">
        <v>265000000</v>
      </c>
      <c r="M18" s="21">
        <v>2853199000</v>
      </c>
      <c r="N18" s="25">
        <v>6.5434266621506998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83.927499999999995</v>
      </c>
      <c r="K19" s="21">
        <v>87.561388888888899</v>
      </c>
      <c r="L19" s="21">
        <v>36338888.888888903</v>
      </c>
      <c r="M19" s="21">
        <v>875613888.88888896</v>
      </c>
      <c r="N19" s="25">
        <v>2.0081022271159501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71.393600000000006</v>
      </c>
      <c r="K20" s="21">
        <v>74.298211111111101</v>
      </c>
      <c r="L20" s="21">
        <v>29046111.111111101</v>
      </c>
      <c r="M20" s="21">
        <v>742982111.11111104</v>
      </c>
      <c r="N20" s="25">
        <v>1.70392915297722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95.209514696746197</v>
      </c>
      <c r="K21" s="21">
        <v>98.744792474524004</v>
      </c>
      <c r="L21" s="21">
        <v>70705555.555555597</v>
      </c>
      <c r="M21" s="21">
        <v>1974895849.4904799</v>
      </c>
      <c r="N21" s="25">
        <v>4.5291569766170401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2703273194.4444399</v>
      </c>
      <c r="M22" s="35">
        <v>43604049488.379402</v>
      </c>
      <c r="N22" s="36">
        <v>100</v>
      </c>
      <c r="O22" s="41">
        <v>43604049488.379364</v>
      </c>
      <c r="P22" s="10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876606.57</v>
      </c>
      <c r="E24" s="103">
        <v>876606.57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116994</v>
      </c>
      <c r="E28" s="58" t="s">
        <v>35</v>
      </c>
      <c r="F28" s="59">
        <v>45993</v>
      </c>
      <c r="G28" s="59">
        <v>46000</v>
      </c>
      <c r="H28" s="60">
        <v>530.21910003931828</v>
      </c>
      <c r="I28" s="60">
        <v>531.96505632767492</v>
      </c>
      <c r="J28" s="61">
        <v>62032453.390000001</v>
      </c>
      <c r="K28" s="61">
        <v>62236719.799999997</v>
      </c>
      <c r="L28" s="62">
        <v>17.170100000000001</v>
      </c>
      <c r="M28" s="63">
        <v>0</v>
      </c>
      <c r="N28" s="64">
        <v>62032453.390000001</v>
      </c>
      <c r="O28" s="52"/>
    </row>
    <row r="29" spans="1:16" ht="26.25" thickBot="1" x14ac:dyDescent="0.3">
      <c r="A29" s="54">
        <v>2</v>
      </c>
      <c r="B29" s="55" t="s">
        <v>51</v>
      </c>
      <c r="C29" s="56" t="s">
        <v>52</v>
      </c>
      <c r="D29" s="57">
        <v>2124000</v>
      </c>
      <c r="E29" s="58" t="s">
        <v>35</v>
      </c>
      <c r="F29" s="59">
        <v>45993</v>
      </c>
      <c r="G29" s="59">
        <v>45994</v>
      </c>
      <c r="H29" s="60">
        <v>942.26800000000003</v>
      </c>
      <c r="I29" s="60">
        <v>942.70712270244803</v>
      </c>
      <c r="J29" s="61">
        <v>2001377232</v>
      </c>
      <c r="K29" s="61">
        <v>2002309928.6199999</v>
      </c>
      <c r="L29" s="62">
        <v>17.010000000000002</v>
      </c>
      <c r="M29" s="63">
        <v>0</v>
      </c>
      <c r="N29" s="64">
        <v>2001377232</v>
      </c>
      <c r="O29" s="52"/>
    </row>
    <row r="30" spans="1:16" ht="26.25" thickBot="1" x14ac:dyDescent="0.3">
      <c r="A30" s="54">
        <v>3</v>
      </c>
      <c r="B30" s="55" t="s">
        <v>49</v>
      </c>
      <c r="C30" s="56" t="s">
        <v>50</v>
      </c>
      <c r="D30" s="57">
        <v>15856461</v>
      </c>
      <c r="E30" s="58" t="s">
        <v>35</v>
      </c>
      <c r="F30" s="59">
        <v>45993</v>
      </c>
      <c r="G30" s="59">
        <v>46000</v>
      </c>
      <c r="H30" s="60">
        <v>530.21910000030903</v>
      </c>
      <c r="I30" s="60">
        <v>531.96606298593395</v>
      </c>
      <c r="J30" s="61">
        <v>8407398480.6099997</v>
      </c>
      <c r="K30" s="61">
        <v>8435099131.0600004</v>
      </c>
      <c r="L30" s="62">
        <v>17.18</v>
      </c>
      <c r="M30" s="63">
        <v>0</v>
      </c>
      <c r="N30" s="64">
        <v>8407398480.6099997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3547970</v>
      </c>
      <c r="E31" s="58" t="s">
        <v>35</v>
      </c>
      <c r="F31" s="59">
        <v>45993</v>
      </c>
      <c r="G31" s="59">
        <v>46000</v>
      </c>
      <c r="H31" s="60">
        <v>507.624100000846</v>
      </c>
      <c r="I31" s="60">
        <v>509.29661710499198</v>
      </c>
      <c r="J31" s="61">
        <v>1801035078.0799999</v>
      </c>
      <c r="K31" s="61">
        <v>1806969118.5899999</v>
      </c>
      <c r="L31" s="62">
        <v>17.18</v>
      </c>
      <c r="M31" s="63">
        <v>0</v>
      </c>
      <c r="N31" s="64">
        <v>1801035078.0799999</v>
      </c>
      <c r="O31" s="52"/>
    </row>
    <row r="32" spans="1:16" ht="15.75" thickBot="1" x14ac:dyDescent="0.3">
      <c r="A32" s="65"/>
      <c r="B32" s="66"/>
      <c r="C32" s="67"/>
      <c r="D32" s="68"/>
      <c r="E32" s="69"/>
      <c r="F32" s="70"/>
      <c r="G32" s="70"/>
      <c r="H32" s="69"/>
      <c r="I32" s="69"/>
      <c r="J32" s="71"/>
      <c r="K32" s="69"/>
      <c r="L32" s="72"/>
      <c r="M32" s="73">
        <v>0</v>
      </c>
      <c r="N32" s="73">
        <v>12271843244.08</v>
      </c>
      <c r="O32" s="106">
        <v>12271843244.079998</v>
      </c>
      <c r="P32" s="107">
        <f>N32-O32</f>
        <v>0</v>
      </c>
    </row>
    <row r="33" spans="1:15" ht="18.75" x14ac:dyDescent="0.3">
      <c r="A33" s="42"/>
      <c r="B33" s="43"/>
      <c r="C33" s="44"/>
      <c r="D33" s="44"/>
      <c r="E33" s="45"/>
      <c r="F33" s="42"/>
      <c r="G33" s="43"/>
      <c r="H33" s="43"/>
      <c r="I33" s="43"/>
      <c r="J33" s="43"/>
      <c r="K33" s="43"/>
      <c r="L33" s="43"/>
      <c r="M33" s="43"/>
      <c r="N33" s="75">
        <v>0</v>
      </c>
      <c r="O33" s="74"/>
    </row>
    <row r="34" spans="1:15" ht="27.75" thickBot="1" x14ac:dyDescent="0.35">
      <c r="A34" s="76"/>
      <c r="B34" s="77" t="s">
        <v>55</v>
      </c>
      <c r="C34" s="43"/>
      <c r="D34" s="43"/>
      <c r="E34" s="42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5" ht="25.5" x14ac:dyDescent="0.3">
      <c r="A35" s="76"/>
      <c r="B35" s="78" t="s">
        <v>56</v>
      </c>
      <c r="C35" s="78" t="s">
        <v>57</v>
      </c>
      <c r="D35" s="78" t="s">
        <v>39</v>
      </c>
      <c r="E35" s="78" t="s">
        <v>58</v>
      </c>
      <c r="F35" s="78" t="s">
        <v>59</v>
      </c>
      <c r="G35" s="78" t="s">
        <v>60</v>
      </c>
      <c r="H35" s="78" t="s">
        <v>61</v>
      </c>
      <c r="I35" s="43"/>
      <c r="J35" s="43"/>
      <c r="K35" s="43"/>
      <c r="L35" s="43"/>
      <c r="M35" s="43"/>
      <c r="N35" s="75">
        <v>0</v>
      </c>
      <c r="O35" s="74"/>
    </row>
    <row r="36" spans="1:15" ht="18.75" x14ac:dyDescent="0.3">
      <c r="A36" s="76"/>
      <c r="B36" s="79">
        <v>1</v>
      </c>
      <c r="C36" s="80"/>
      <c r="D36" s="80"/>
      <c r="E36" s="81"/>
      <c r="F36" s="81"/>
      <c r="G36" s="80"/>
      <c r="H36" s="80"/>
      <c r="I36" s="43"/>
      <c r="J36" s="43"/>
      <c r="K36" s="43"/>
      <c r="L36" s="43"/>
      <c r="M36" s="43"/>
      <c r="N36" s="75">
        <v>0</v>
      </c>
      <c r="O36" s="74"/>
    </row>
    <row r="37" spans="1:15" ht="19.5" thickBot="1" x14ac:dyDescent="0.35">
      <c r="A37" s="76"/>
      <c r="B37" s="42"/>
      <c r="C37" s="43"/>
      <c r="D37" s="43"/>
      <c r="E37" s="42"/>
      <c r="F37" s="42"/>
      <c r="G37" s="43"/>
      <c r="H37" s="43"/>
      <c r="I37" s="43"/>
      <c r="J37" s="43"/>
      <c r="K37" s="43"/>
      <c r="L37" s="43"/>
      <c r="M37" s="43"/>
      <c r="N37" s="75">
        <v>0</v>
      </c>
      <c r="O37" s="74"/>
    </row>
    <row r="38" spans="1:15" ht="19.5" thickBot="1" x14ac:dyDescent="0.35">
      <c r="A38" s="76"/>
      <c r="B38" s="82" t="s">
        <v>62</v>
      </c>
      <c r="C38" s="100">
        <v>55876769339.029404</v>
      </c>
      <c r="D38" s="108">
        <v>55876769339.029358</v>
      </c>
      <c r="E38" s="109">
        <f>C38-D38</f>
        <v>0</v>
      </c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5" ht="18.75" x14ac:dyDescent="0.3">
      <c r="A39" s="76"/>
      <c r="B39" s="42"/>
      <c r="C39" s="43"/>
      <c r="D39" s="43"/>
      <c r="E39" s="42"/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5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5" ht="18.75" x14ac:dyDescent="0.3">
      <c r="A41" s="76"/>
      <c r="B41" s="53" t="s">
        <v>63</v>
      </c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5" ht="18.75" x14ac:dyDescent="0.3">
      <c r="A42" s="76"/>
      <c r="B42" s="42"/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5" ht="19.5" thickBot="1" x14ac:dyDescent="0.35">
      <c r="A43" s="76"/>
      <c r="B43" s="42" t="s">
        <v>64</v>
      </c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5" ht="25.5" x14ac:dyDescent="0.3">
      <c r="A44" s="76"/>
      <c r="B44" s="78" t="s">
        <v>56</v>
      </c>
      <c r="C44" s="78" t="s">
        <v>57</v>
      </c>
      <c r="D44" s="78" t="s">
        <v>39</v>
      </c>
      <c r="E44" s="78" t="s">
        <v>58</v>
      </c>
      <c r="F44" s="78" t="s">
        <v>59</v>
      </c>
      <c r="G44" s="78" t="s">
        <v>60</v>
      </c>
      <c r="H44" s="78" t="s">
        <v>61</v>
      </c>
      <c r="I44" s="43"/>
      <c r="J44" s="43"/>
      <c r="K44" s="43"/>
      <c r="L44" s="43"/>
      <c r="M44" s="43"/>
      <c r="N44" s="75">
        <v>0</v>
      </c>
    </row>
    <row r="45" spans="1:15" ht="18" x14ac:dyDescent="0.25">
      <c r="A45" s="42"/>
      <c r="B45" s="79">
        <v>1</v>
      </c>
      <c r="C45" s="80"/>
      <c r="D45" s="80"/>
      <c r="E45" s="81"/>
      <c r="F45" s="81"/>
      <c r="G45" s="80"/>
      <c r="H45" s="80"/>
      <c r="I45" s="43"/>
      <c r="J45" s="43"/>
      <c r="K45" s="43"/>
      <c r="L45" s="43"/>
      <c r="M45" s="43"/>
      <c r="N45" s="75">
        <v>0</v>
      </c>
    </row>
    <row r="46" spans="1:15" ht="18.75" x14ac:dyDescent="0.3">
      <c r="A46" s="76"/>
      <c r="B46" s="42"/>
      <c r="C46" s="43"/>
      <c r="D46" s="43"/>
      <c r="E46" s="42"/>
      <c r="F46" s="42"/>
      <c r="G46" s="43"/>
      <c r="H46" s="43"/>
      <c r="I46" s="43"/>
      <c r="J46" s="43"/>
      <c r="K46" s="43"/>
      <c r="L46" s="43"/>
      <c r="M46" s="43"/>
      <c r="N46" s="75">
        <v>0</v>
      </c>
    </row>
    <row r="47" spans="1:15" ht="19.5" thickBot="1" x14ac:dyDescent="0.35">
      <c r="A47" s="76"/>
      <c r="B47" s="42" t="s">
        <v>65</v>
      </c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5" ht="19.5" thickBot="1" x14ac:dyDescent="0.35">
      <c r="A48" s="76"/>
      <c r="B48" s="83" t="s">
        <v>66</v>
      </c>
      <c r="C48" s="83" t="s">
        <v>57</v>
      </c>
      <c r="D48" s="83" t="s">
        <v>67</v>
      </c>
      <c r="E48" s="83" t="s">
        <v>68</v>
      </c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4" t="s">
        <v>69</v>
      </c>
      <c r="C49" s="84">
        <v>1</v>
      </c>
      <c r="D49" s="84">
        <v>2</v>
      </c>
      <c r="E49" s="84">
        <v>3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30.75" x14ac:dyDescent="0.3">
      <c r="A50" s="76"/>
      <c r="B50" s="85">
        <v>1</v>
      </c>
      <c r="C50" s="86" t="s">
        <v>70</v>
      </c>
      <c r="D50" s="87"/>
      <c r="E50" s="88"/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9">
        <v>2</v>
      </c>
      <c r="C51" s="90" t="s">
        <v>71</v>
      </c>
      <c r="D51" s="41"/>
      <c r="E51" s="91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3</v>
      </c>
      <c r="C52" s="90" t="s">
        <v>72</v>
      </c>
      <c r="D52" s="92">
        <v>45956.94</v>
      </c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4</v>
      </c>
      <c r="C53" s="90" t="s">
        <v>73</v>
      </c>
      <c r="D53" s="92">
        <v>8000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5</v>
      </c>
      <c r="C54" s="90" t="s">
        <v>74</v>
      </c>
      <c r="D54" s="93">
        <v>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6</v>
      </c>
      <c r="C55" s="90" t="s">
        <v>75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18.75" x14ac:dyDescent="0.3">
      <c r="A56" s="76"/>
      <c r="B56" s="89">
        <v>7</v>
      </c>
      <c r="C56" s="90" t="s">
        <v>76</v>
      </c>
      <c r="D56" s="92">
        <v>56925.64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8</v>
      </c>
      <c r="C57" s="90" t="s">
        <v>77</v>
      </c>
      <c r="D57" s="92">
        <v>113871.12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9</v>
      </c>
      <c r="C58" s="90" t="s">
        <v>78</v>
      </c>
      <c r="D58" s="92"/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45.75" x14ac:dyDescent="0.3">
      <c r="A59" s="76"/>
      <c r="B59" s="89">
        <v>10</v>
      </c>
      <c r="C59" s="90" t="s">
        <v>79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6.5" thickBot="1" x14ac:dyDescent="0.35">
      <c r="A60" s="76"/>
      <c r="B60" s="94">
        <v>11</v>
      </c>
      <c r="C60" s="95" t="s">
        <v>80</v>
      </c>
      <c r="D60" s="96"/>
      <c r="E60" s="97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19.5" thickBot="1" x14ac:dyDescent="0.35">
      <c r="A61" s="76"/>
      <c r="B61" s="101" t="s">
        <v>81</v>
      </c>
      <c r="C61" s="102"/>
      <c r="D61" s="100">
        <v>224753.7</v>
      </c>
      <c r="E61" s="98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5.75" thickBot="1" x14ac:dyDescent="0.3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</row>
    <row r="63" spans="1:14" ht="15.75" thickBot="1" x14ac:dyDescent="0.3">
      <c r="A63" s="74"/>
      <c r="B63" s="99" t="s">
        <v>82</v>
      </c>
      <c r="C63" s="100">
        <v>55876544585.329399</v>
      </c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</sheetData>
  <mergeCells count="1">
    <mergeCell ref="B61:C61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2025-12-03T05:20:56Z</dcterms:created>
  <dcterms:modified xsi:type="dcterms:W3CDTF">2025-12-03T09:58:35Z</dcterms:modified>
</cp:coreProperties>
</file>