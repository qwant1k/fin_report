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0.2025\"/>
    </mc:Choice>
  </mc:AlternateContent>
  <xr:revisionPtr revIDLastSave="0" documentId="13_ncr:1_{932959EE-0DB9-4015-9B67-30526B39A769}" xr6:coauthVersionLast="47" xr6:coauthVersionMax="47" xr10:uidLastSave="{00000000-0000-0000-0000-000000000000}"/>
  <bookViews>
    <workbookView xWindow="-120" yWindow="-120" windowWidth="29040" windowHeight="15720" xr2:uid="{E7B89A29-FBCE-4B35-9F57-1B7944EEBAB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1" l="1"/>
  <c r="P39" i="1"/>
  <c r="P22" i="1"/>
  <c r="F24" i="1"/>
</calcChain>
</file>

<file path=xl/sharedStrings.xml><?xml version="1.0" encoding="utf-8"?>
<sst xmlns="http://schemas.openxmlformats.org/spreadsheetml/2006/main" count="133" uniqueCount="94">
  <si>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</si>
  <si>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</si>
  <si>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</si>
  <si>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</si>
  <si>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</si>
  <si>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</si>
  <si>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</si>
  <si>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</si>
  <si>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</si>
  <si>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</si>
  <si>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</si>
  <si>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</si>
  <si>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</si>
  <si>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</si>
  <si>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</si>
  <si>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</si>
  <si>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</si>
  <si>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</si>
  <si>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</si>
  <si>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</si>
  <si>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</si>
  <si>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</si>
  <si>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</si>
  <si>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</si>
  <si>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</si>
  <si>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</si>
  <si>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</si>
  <si>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</si>
  <si>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</si>
  <si>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</si>
  <si>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</si>
  <si>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</si>
  <si>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</si>
  <si>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</si>
  <si>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</si>
  <si>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</si>
  <si>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</si>
  <si>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</si>
  <si>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</si>
  <si>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</si>
  <si>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</si>
  <si>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</si>
  <si>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</si>
  <si>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</si>
  <si>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</si>
  <si>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</si>
  <si>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</si>
  <si>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</si>
  <si>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</si>
  <si>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Дисконтные ноты ГУ Национальный Банк Республики Казахстан, Репо</t>
  </si>
  <si>
    <t>KZW100014338</t>
  </si>
  <si>
    <t>Пятнадцатилетние МЕUКАМ, эмиссия №14, Репо</t>
  </si>
  <si>
    <t>KZKD00000956</t>
  </si>
  <si>
    <t>Купонные облигации Министерства финансов Республики Казахстан, Репо</t>
  </si>
  <si>
    <t>KZKD00000899</t>
  </si>
  <si>
    <t>Купонные МЕУКАМ Министерство финансов Республики Казахстан, Репо</t>
  </si>
  <si>
    <t>KZKD00001236</t>
  </si>
  <si>
    <t>Купонные облигации МЕУКАМ Министерства финансов Республики Казахстан, Репо</t>
  </si>
  <si>
    <t>Пятнадцатилетние МЕUКАМ, эмиссия №11, Репо</t>
  </si>
  <si>
    <t>KZKD00000790</t>
  </si>
  <si>
    <t>KZKD00001228</t>
  </si>
  <si>
    <t>KZKD00001103</t>
  </si>
  <si>
    <t>Индексированные купонные облигации АО Казахстанский фонд устойчивости, Репо</t>
  </si>
  <si>
    <t>KZ2C00008902</t>
  </si>
  <si>
    <t>Пятнадцатилетние МЕUКАМ, эмиссия №5, Репо</t>
  </si>
  <si>
    <t>KZKD00000493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</si>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</sst>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_-* #,##0.0000\ _₽_-;\-* #,##0.0000\ _₽_-;_-* &quot;-&quot;??\ _₽_-;_-@_-"/>
    <numFmt numFmtId="171" formatCode="_-* #,##0.00\ _₽_-;\-* #,##0.00\ _₽_-;_-* &quot;-&quot;??\ _₽_-;_-@_-"/>
    <numFmt numFmtId="172" formatCode="_-* #,##0.0000_-;\-* #,##0.0000_-;_-* &quot;-&quot;??_-;_-@_-"/>
    <numFmt numFmtId="173" formatCode="#,##0.0"/>
    <numFmt numFmtId="174" formatCode="_-* #,##0.0000\ _₸_-;\-* #,##0.0000\ _₸_-;_-* &quot;-&quot;????\ _₸_-;_-@_-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color indexed="8"/>
      <name val="MS Sans Serif"/>
      <family val="2"/>
      <charset val="204"/>
    </font>
    <font>
      <sz val="12"/>
      <color theme="1"/>
      <name val="Times New Roman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70" fontId="9" fillId="0" borderId="1" xfId="2" applyNumberFormat="1" applyFont="1" applyBorder="1" applyAlignment="1"/>
    <xf numFmtId="172" fontId="0" fillId="0" borderId="2" xfId="1" applyNumberFormat="1" applyFont="1" applyBorder="1"/>
    <xf numFmtId="172" fontId="0" fillId="0" borderId="2" xfId="1" applyNumberFormat="1" applyFont="1" applyFill="1" applyBorder="1"/>
    <xf numFmtId="172" fontId="0" fillId="0" borderId="10" xfId="1" applyNumberFormat="1" applyFont="1" applyBorder="1"/>
    <xf numFmtId="172" fontId="0" fillId="0" borderId="1" xfId="1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10" applyFont="1"/>
    <xf numFmtId="173" fontId="0" fillId="0" borderId="0" xfId="0" applyNumberFormat="1" applyProtection="1">
      <protection locked="0"/>
    </xf>
    <xf numFmtId="4" fontId="0" fillId="0" borderId="0" xfId="0" applyNumberFormat="1"/>
    <xf numFmtId="173" fontId="8" fillId="0" borderId="0" xfId="0" applyNumberFormat="1" applyFont="1"/>
    <xf numFmtId="174" fontId="7" fillId="0" borderId="0" xfId="0" applyNumberFormat="1" applyFont="1"/>
  </cellXfs>
  <cellStyles count="11">
    <cellStyle name="Normal_Корпоративные облигации" xfId="3" xr:uid="{E8C4991B-3F3A-479B-9DD4-B9272D180796}"/>
    <cellStyle name="Обычный" xfId="0" builtinId="0"/>
    <cellStyle name="Обычный 2" xfId="4" xr:uid="{D032E339-64EE-4C23-8B3C-26316196F59F}"/>
    <cellStyle name="Обычный 3" xfId="5" xr:uid="{5C9C0D4C-6D64-4FFB-99A8-BE3E6D89F309}"/>
    <cellStyle name="Обычный 4" xfId="6" xr:uid="{7F3CE9FD-01A6-42BA-85BC-A844A99E9798}"/>
    <cellStyle name="Обычный 5" xfId="7" xr:uid="{76A582B3-8843-45AA-8FB5-E9AF776CD73C}"/>
    <cellStyle name="Обычный 6" xfId="8" xr:uid="{15969BC2-9CBA-4379-9438-6FAB223ED25B}"/>
    <cellStyle name="Обычный 7" xfId="9" xr:uid="{CACCC7F9-B1BA-4EB8-961C-A45FC41BF7E9}"/>
    <cellStyle name="Финансовый" xfId="10" builtinId="3"/>
    <cellStyle name="Финансовый 2" xfId="1" xr:uid="{FA974973-CF7E-4B2F-97CC-777D40494F5D}"/>
    <cellStyle name="Финансовый 3" xfId="2" xr:uid="{394E0B38-565B-466C-837F-3F592C60B1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40F3-EBAE-4318-8B25-965A3D9059D7}">
  <dimension ref="A1:P72"/>
  <sheetViews>
    <sheetView tabSelected="1" topLeftCell="A31" workbookViewId="0">
      <selection activeCell="E46" sqref="E46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5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45939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85.957999999999998</v>
      </c>
      <c r="K7" s="21">
        <v>88.885999999999996</v>
      </c>
      <c r="L7" s="21">
        <v>183000000</v>
      </c>
      <c r="M7" s="21">
        <v>5555375000</v>
      </c>
      <c r="N7" s="25">
        <v>13.105826771228447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98.372600000000006</v>
      </c>
      <c r="K8" s="21">
        <v>100.684433333333</v>
      </c>
      <c r="L8" s="21">
        <v>115591666.666667</v>
      </c>
      <c r="M8" s="21">
        <v>5034221666.6666698</v>
      </c>
      <c r="N8" s="25">
        <v>11.8763606581551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87.2166</v>
      </c>
      <c r="K9" s="21">
        <v>92.329933333333301</v>
      </c>
      <c r="L9" s="21">
        <v>191750000</v>
      </c>
      <c r="M9" s="21">
        <v>3462372500</v>
      </c>
      <c r="N9" s="25">
        <v>8.1681712220084393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85.099199999999996</v>
      </c>
      <c r="K10" s="21">
        <v>90.874200000000002</v>
      </c>
      <c r="L10" s="21">
        <v>216562500</v>
      </c>
      <c r="M10" s="21">
        <v>3407782500</v>
      </c>
      <c r="N10" s="25">
        <v>8.0393865614875306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83.024799999999999</v>
      </c>
      <c r="K11" s="21">
        <v>85.105494444444403</v>
      </c>
      <c r="L11" s="21">
        <v>78026041.666666701</v>
      </c>
      <c r="M11" s="21">
        <v>3191456041.6666698</v>
      </c>
      <c r="N11" s="25">
        <v>7.5290452993855101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77.505399999999995</v>
      </c>
      <c r="K12" s="21">
        <v>83.284844444444403</v>
      </c>
      <c r="L12" s="21">
        <v>216729166.66666701</v>
      </c>
      <c r="M12" s="21">
        <v>3123181666.6666698</v>
      </c>
      <c r="N12" s="25">
        <v>7.3679774809819101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67.953100000000006</v>
      </c>
      <c r="K13" s="21">
        <v>72.0137944444445</v>
      </c>
      <c r="L13" s="21">
        <v>152276041.66666701</v>
      </c>
      <c r="M13" s="21">
        <v>2700517291.6666698</v>
      </c>
      <c r="N13" s="25">
        <v>6.3708591800356098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75.751199999999997</v>
      </c>
      <c r="K14" s="21">
        <v>77.910783333333299</v>
      </c>
      <c r="L14" s="21">
        <v>80984375</v>
      </c>
      <c r="M14" s="21">
        <v>2921654375</v>
      </c>
      <c r="N14" s="25">
        <v>6.8925493101998896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61.365499999999997</v>
      </c>
      <c r="K15" s="21">
        <v>64.660749999999993</v>
      </c>
      <c r="L15" s="21">
        <v>123571875</v>
      </c>
      <c r="M15" s="21">
        <v>2424778125</v>
      </c>
      <c r="N15" s="25">
        <v>5.7203558832507504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59.918399999999998</v>
      </c>
      <c r="K16" s="21">
        <v>65.522566666666705</v>
      </c>
      <c r="L16" s="21">
        <v>210156250</v>
      </c>
      <c r="M16" s="21">
        <v>2457096250</v>
      </c>
      <c r="N16" s="25">
        <v>5.7965983957401699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85.342799999999997</v>
      </c>
      <c r="K17" s="21">
        <v>92.409466666666702</v>
      </c>
      <c r="L17" s="21">
        <v>141333333.33333299</v>
      </c>
      <c r="M17" s="21">
        <v>1848189333.3333299</v>
      </c>
      <c r="N17" s="25">
        <v>4.3601105673512297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85.342799999999997</v>
      </c>
      <c r="K18" s="21">
        <v>92.409466666666702</v>
      </c>
      <c r="L18" s="21">
        <v>212000000</v>
      </c>
      <c r="M18" s="21">
        <v>2772284000</v>
      </c>
      <c r="N18" s="25">
        <v>6.5401658510268499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83.024799999999999</v>
      </c>
      <c r="K19" s="21">
        <v>85.105494444444403</v>
      </c>
      <c r="L19" s="21">
        <v>20806944.444444399</v>
      </c>
      <c r="M19" s="21">
        <v>851054944.44444394</v>
      </c>
      <c r="N19" s="25">
        <v>2.0077454131694701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70.441599999999994</v>
      </c>
      <c r="K20" s="21">
        <v>71.759155555555594</v>
      </c>
      <c r="L20" s="21">
        <v>13175555.555555601</v>
      </c>
      <c r="M20" s="21">
        <v>717591555.55555606</v>
      </c>
      <c r="N20" s="25">
        <v>1.6928885304065799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94.621670290861999</v>
      </c>
      <c r="K21" s="21">
        <v>96.051670290862006</v>
      </c>
      <c r="L21" s="21">
        <v>28600000</v>
      </c>
      <c r="M21" s="21">
        <v>1921033405.81724</v>
      </c>
      <c r="N21" s="25">
        <v>4.5319588755725304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1984563750</v>
      </c>
      <c r="M22" s="35">
        <v>42388588655.8172</v>
      </c>
      <c r="N22" s="36">
        <v>100</v>
      </c>
      <c r="O22" s="41">
        <v>42388588655.817245</v>
      </c>
      <c r="P22" s="107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642696.17000000004</v>
      </c>
      <c r="E24" s="105">
        <v>642696.17000000004</v>
      </c>
      <c r="F24" s="106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x14ac:dyDescent="0.3">
      <c r="A26" s="42"/>
      <c r="B26" s="43"/>
      <c r="C26" s="44"/>
      <c r="D26" s="44"/>
      <c r="E26" s="45"/>
      <c r="F26" s="42"/>
      <c r="G26" s="43"/>
      <c r="H26" s="43"/>
      <c r="I26" s="43"/>
      <c r="J26" s="43"/>
      <c r="K26" s="43"/>
      <c r="L26" s="43"/>
      <c r="M26" s="43"/>
      <c r="N26" s="46"/>
      <c r="O26" s="42"/>
    </row>
    <row r="27" spans="1:16" ht="15.75" thickBot="1" x14ac:dyDescent="0.3">
      <c r="A27" s="47"/>
      <c r="B27" s="48" t="s">
        <v>36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6" ht="39" thickBot="1" x14ac:dyDescent="0.3">
      <c r="A28" s="50" t="s">
        <v>4</v>
      </c>
      <c r="B28" s="51" t="s">
        <v>5</v>
      </c>
      <c r="C28" s="51" t="s">
        <v>37</v>
      </c>
      <c r="D28" s="51" t="s">
        <v>38</v>
      </c>
      <c r="E28" s="51" t="s">
        <v>39</v>
      </c>
      <c r="F28" s="51" t="s">
        <v>40</v>
      </c>
      <c r="G28" s="51" t="s">
        <v>41</v>
      </c>
      <c r="H28" s="51" t="s">
        <v>42</v>
      </c>
      <c r="I28" s="51" t="s">
        <v>43</v>
      </c>
      <c r="J28" s="51" t="s">
        <v>44</v>
      </c>
      <c r="K28" s="51" t="s">
        <v>45</v>
      </c>
      <c r="L28" s="51" t="s">
        <v>46</v>
      </c>
      <c r="M28" s="51" t="s">
        <v>47</v>
      </c>
      <c r="N28" s="51" t="s">
        <v>48</v>
      </c>
      <c r="O28" s="52"/>
    </row>
    <row r="29" spans="1:16" ht="26.25" thickBot="1" x14ac:dyDescent="0.3">
      <c r="A29" s="54">
        <v>1</v>
      </c>
      <c r="B29" s="55" t="s">
        <v>49</v>
      </c>
      <c r="C29" s="56" t="s">
        <v>50</v>
      </c>
      <c r="D29" s="57">
        <v>120300</v>
      </c>
      <c r="E29" s="58" t="s">
        <v>35</v>
      </c>
      <c r="F29" s="59">
        <v>45939</v>
      </c>
      <c r="G29" s="59">
        <v>45940</v>
      </c>
      <c r="H29" s="60">
        <v>99.760099999999994</v>
      </c>
      <c r="I29" s="60">
        <v>99.802464172901068</v>
      </c>
      <c r="J29" s="61">
        <v>12001140.029999999</v>
      </c>
      <c r="K29" s="61">
        <v>12006236.439999999</v>
      </c>
      <c r="L29" s="62">
        <v>15.5001</v>
      </c>
      <c r="M29" s="63">
        <v>0</v>
      </c>
      <c r="N29" s="64">
        <v>12001140.029999999</v>
      </c>
      <c r="O29" s="52"/>
    </row>
    <row r="30" spans="1:16" ht="26.25" thickBot="1" x14ac:dyDescent="0.3">
      <c r="A30" s="54">
        <v>2</v>
      </c>
      <c r="B30" s="55" t="s">
        <v>51</v>
      </c>
      <c r="C30" s="56" t="s">
        <v>52</v>
      </c>
      <c r="D30" s="57">
        <v>83868</v>
      </c>
      <c r="E30" s="58" t="s">
        <v>35</v>
      </c>
      <c r="F30" s="59">
        <v>45937</v>
      </c>
      <c r="G30" s="59">
        <v>45944</v>
      </c>
      <c r="H30" s="60">
        <v>691.83100002384697</v>
      </c>
      <c r="I30" s="60">
        <v>693.91418085562998</v>
      </c>
      <c r="J30" s="61">
        <v>58022482.310000002</v>
      </c>
      <c r="K30" s="61">
        <v>58197194.520000003</v>
      </c>
      <c r="L30" s="62">
        <v>15.700799999999999</v>
      </c>
      <c r="M30" s="63">
        <v>49917.77</v>
      </c>
      <c r="N30" s="64">
        <v>58072400.079999998</v>
      </c>
      <c r="O30" s="52"/>
    </row>
    <row r="31" spans="1:16" ht="26.25" thickBot="1" x14ac:dyDescent="0.3">
      <c r="A31" s="54">
        <v>3</v>
      </c>
      <c r="B31" s="55" t="s">
        <v>53</v>
      </c>
      <c r="C31" s="56" t="s">
        <v>54</v>
      </c>
      <c r="D31" s="57">
        <v>1922548</v>
      </c>
      <c r="E31" s="58" t="s">
        <v>35</v>
      </c>
      <c r="F31" s="59">
        <v>45937</v>
      </c>
      <c r="G31" s="59">
        <v>45944</v>
      </c>
      <c r="H31" s="60">
        <v>956.90899999895998</v>
      </c>
      <c r="I31" s="60">
        <v>959.82691703406101</v>
      </c>
      <c r="J31" s="61">
        <v>1839703484.1300001</v>
      </c>
      <c r="K31" s="61">
        <v>1845313319.6900001</v>
      </c>
      <c r="L31" s="62">
        <v>15.9</v>
      </c>
      <c r="M31" s="63">
        <v>1602810.16</v>
      </c>
      <c r="N31" s="64">
        <v>1841306294.29</v>
      </c>
      <c r="O31" s="52"/>
    </row>
    <row r="32" spans="1:16" ht="26.25" thickBot="1" x14ac:dyDescent="0.3">
      <c r="A32" s="54">
        <v>4</v>
      </c>
      <c r="B32" s="55" t="s">
        <v>55</v>
      </c>
      <c r="C32" s="56" t="s">
        <v>56</v>
      </c>
      <c r="D32" s="57">
        <v>322848</v>
      </c>
      <c r="E32" s="58" t="s">
        <v>35</v>
      </c>
      <c r="F32" s="59">
        <v>45939</v>
      </c>
      <c r="G32" s="59">
        <v>45940</v>
      </c>
      <c r="H32" s="60">
        <v>942.00600000619499</v>
      </c>
      <c r="I32" s="60">
        <v>942.40732037986902</v>
      </c>
      <c r="J32" s="61">
        <v>304124753.08999997</v>
      </c>
      <c r="K32" s="61">
        <v>304254318.56999999</v>
      </c>
      <c r="L32" s="62">
        <v>15.55</v>
      </c>
      <c r="M32" s="63">
        <v>0</v>
      </c>
      <c r="N32" s="64">
        <v>304124753.08999997</v>
      </c>
      <c r="O32" s="52"/>
    </row>
    <row r="33" spans="1:16" ht="39" thickBot="1" x14ac:dyDescent="0.3">
      <c r="A33" s="54">
        <v>5</v>
      </c>
      <c r="B33" s="55" t="s">
        <v>57</v>
      </c>
      <c r="C33" s="56" t="s">
        <v>23</v>
      </c>
      <c r="D33" s="57">
        <v>699720</v>
      </c>
      <c r="E33" s="58" t="s">
        <v>35</v>
      </c>
      <c r="F33" s="59">
        <v>45939</v>
      </c>
      <c r="G33" s="59">
        <v>45940</v>
      </c>
      <c r="H33" s="60">
        <v>851.05499999999995</v>
      </c>
      <c r="I33" s="60">
        <v>851.41757274338295</v>
      </c>
      <c r="J33" s="61">
        <v>595500204.60000002</v>
      </c>
      <c r="K33" s="61">
        <v>595753904</v>
      </c>
      <c r="L33" s="62">
        <v>15.55</v>
      </c>
      <c r="M33" s="63">
        <v>0</v>
      </c>
      <c r="N33" s="64">
        <v>595500204.60000002</v>
      </c>
      <c r="O33" s="52"/>
    </row>
    <row r="34" spans="1:16" ht="26.25" thickBot="1" x14ac:dyDescent="0.3">
      <c r="A34" s="54">
        <v>6</v>
      </c>
      <c r="B34" s="55" t="s">
        <v>58</v>
      </c>
      <c r="C34" s="56" t="s">
        <v>59</v>
      </c>
      <c r="D34" s="57">
        <v>784800</v>
      </c>
      <c r="E34" s="58" t="s">
        <v>35</v>
      </c>
      <c r="F34" s="59">
        <v>45939</v>
      </c>
      <c r="G34" s="59">
        <v>45940</v>
      </c>
      <c r="H34" s="60">
        <v>764.55700000000002</v>
      </c>
      <c r="I34" s="60">
        <v>764.88272223496404</v>
      </c>
      <c r="J34" s="61">
        <v>600024333.60000002</v>
      </c>
      <c r="K34" s="61">
        <v>600279960.40999997</v>
      </c>
      <c r="L34" s="62">
        <v>15.55</v>
      </c>
      <c r="M34" s="63">
        <v>0</v>
      </c>
      <c r="N34" s="64">
        <v>600024333.60000002</v>
      </c>
      <c r="O34" s="52"/>
    </row>
    <row r="35" spans="1:16" ht="26.25" thickBot="1" x14ac:dyDescent="0.3">
      <c r="A35" s="54">
        <v>7</v>
      </c>
      <c r="B35" s="55" t="s">
        <v>55</v>
      </c>
      <c r="C35" s="56" t="s">
        <v>60</v>
      </c>
      <c r="D35" s="57">
        <v>513520</v>
      </c>
      <c r="E35" s="58" t="s">
        <v>35</v>
      </c>
      <c r="F35" s="59">
        <v>45939</v>
      </c>
      <c r="G35" s="59">
        <v>45940</v>
      </c>
      <c r="H35" s="60">
        <v>955.02</v>
      </c>
      <c r="I35" s="60">
        <v>955.42686467907799</v>
      </c>
      <c r="J35" s="61">
        <v>490421870.39999998</v>
      </c>
      <c r="K35" s="61">
        <v>490630803.55000001</v>
      </c>
      <c r="L35" s="62">
        <v>15.55</v>
      </c>
      <c r="M35" s="63">
        <v>0</v>
      </c>
      <c r="N35" s="64">
        <v>490421870.39999998</v>
      </c>
      <c r="O35" s="52"/>
    </row>
    <row r="36" spans="1:16" ht="39" thickBot="1" x14ac:dyDescent="0.3">
      <c r="A36" s="54">
        <v>8</v>
      </c>
      <c r="B36" s="55" t="s">
        <v>57</v>
      </c>
      <c r="C36" s="56" t="s">
        <v>61</v>
      </c>
      <c r="D36" s="57">
        <v>8740732</v>
      </c>
      <c r="E36" s="58" t="s">
        <v>35</v>
      </c>
      <c r="F36" s="59">
        <v>45937</v>
      </c>
      <c r="G36" s="59">
        <v>45944</v>
      </c>
      <c r="H36" s="60">
        <v>770.50699999954202</v>
      </c>
      <c r="I36" s="60">
        <v>772.84913018154498</v>
      </c>
      <c r="J36" s="61">
        <v>6734795191.1199999</v>
      </c>
      <c r="K36" s="61">
        <v>6755267123.3500004</v>
      </c>
      <c r="L36" s="62">
        <v>15.85</v>
      </c>
      <c r="M36" s="63">
        <v>5849123.4900000002</v>
      </c>
      <c r="N36" s="64">
        <v>6740644314.6099997</v>
      </c>
      <c r="O36" s="52"/>
    </row>
    <row r="37" spans="1:16" ht="39" thickBot="1" x14ac:dyDescent="0.3">
      <c r="A37" s="54">
        <v>9</v>
      </c>
      <c r="B37" s="55" t="s">
        <v>62</v>
      </c>
      <c r="C37" s="56" t="s">
        <v>63</v>
      </c>
      <c r="D37" s="57">
        <v>981463</v>
      </c>
      <c r="E37" s="58" t="s">
        <v>35</v>
      </c>
      <c r="F37" s="59">
        <v>45937</v>
      </c>
      <c r="G37" s="59">
        <v>45944</v>
      </c>
      <c r="H37" s="60">
        <v>1063.7439999979599</v>
      </c>
      <c r="I37" s="60">
        <v>1066.97749031803</v>
      </c>
      <c r="J37" s="61">
        <v>1044025377.47</v>
      </c>
      <c r="K37" s="61">
        <v>1047198928.58</v>
      </c>
      <c r="L37" s="62">
        <v>15.85</v>
      </c>
      <c r="M37" s="63">
        <v>906728.89</v>
      </c>
      <c r="N37" s="64">
        <v>1044932106.36</v>
      </c>
      <c r="O37" s="52"/>
    </row>
    <row r="38" spans="1:16" ht="26.25" thickBot="1" x14ac:dyDescent="0.3">
      <c r="A38" s="54">
        <v>10</v>
      </c>
      <c r="B38" s="55" t="s">
        <v>64</v>
      </c>
      <c r="C38" s="56" t="s">
        <v>65</v>
      </c>
      <c r="D38" s="57">
        <v>301041</v>
      </c>
      <c r="E38" s="58" t="s">
        <v>35</v>
      </c>
      <c r="F38" s="59">
        <v>45937</v>
      </c>
      <c r="G38" s="59">
        <v>45944</v>
      </c>
      <c r="H38" s="60">
        <v>927.319000003322</v>
      </c>
      <c r="I38" s="60">
        <v>930.13779571553403</v>
      </c>
      <c r="J38" s="61">
        <v>279161039.07999998</v>
      </c>
      <c r="K38" s="61">
        <v>280009612.16000003</v>
      </c>
      <c r="L38" s="62">
        <v>15.85</v>
      </c>
      <c r="M38" s="63">
        <v>242449.45</v>
      </c>
      <c r="N38" s="64">
        <v>279403488.52999997</v>
      </c>
      <c r="O38" s="52"/>
    </row>
    <row r="39" spans="1:16" ht="15.75" thickBot="1" x14ac:dyDescent="0.3">
      <c r="A39" s="65"/>
      <c r="B39" s="66"/>
      <c r="C39" s="67"/>
      <c r="D39" s="68"/>
      <c r="E39" s="69"/>
      <c r="F39" s="70"/>
      <c r="G39" s="70"/>
      <c r="H39" s="69"/>
      <c r="I39" s="69"/>
      <c r="J39" s="71"/>
      <c r="K39" s="69"/>
      <c r="L39" s="72"/>
      <c r="M39" s="73">
        <v>8651029.7699999996</v>
      </c>
      <c r="N39" s="73">
        <v>11966430905.6</v>
      </c>
      <c r="O39" s="108">
        <v>11966430905.598574</v>
      </c>
      <c r="P39" s="109">
        <f>N39-O39</f>
        <v>1.42669677734375E-3</v>
      </c>
    </row>
    <row r="40" spans="1:16" ht="18.75" x14ac:dyDescent="0.3">
      <c r="A40" s="42"/>
      <c r="B40" s="43"/>
      <c r="C40" s="44"/>
      <c r="D40" s="44"/>
      <c r="E40" s="45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27.75" thickBot="1" x14ac:dyDescent="0.35">
      <c r="A41" s="76"/>
      <c r="B41" s="77" t="s">
        <v>66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  <c r="O41" s="74"/>
    </row>
    <row r="42" spans="1:16" ht="25.5" x14ac:dyDescent="0.3">
      <c r="A42" s="76"/>
      <c r="B42" s="78" t="s">
        <v>67</v>
      </c>
      <c r="C42" s="78" t="s">
        <v>68</v>
      </c>
      <c r="D42" s="78" t="s">
        <v>39</v>
      </c>
      <c r="E42" s="78" t="s">
        <v>69</v>
      </c>
      <c r="F42" s="78" t="s">
        <v>70</v>
      </c>
      <c r="G42" s="78" t="s">
        <v>71</v>
      </c>
      <c r="H42" s="78" t="s">
        <v>72</v>
      </c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79">
        <v>1</v>
      </c>
      <c r="C43" s="80"/>
      <c r="D43" s="80"/>
      <c r="E43" s="81"/>
      <c r="F43" s="81"/>
      <c r="G43" s="80"/>
      <c r="H43" s="80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9.5" thickBot="1" x14ac:dyDescent="0.35">
      <c r="A45" s="76"/>
      <c r="B45" s="82" t="s">
        <v>73</v>
      </c>
      <c r="C45" s="97">
        <v>54355662257.5858</v>
      </c>
      <c r="D45" s="110">
        <v>54355662257.585815</v>
      </c>
      <c r="E45" s="111">
        <f>C45-D45</f>
        <v>0</v>
      </c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8.75" x14ac:dyDescent="0.3">
      <c r="A48" s="76"/>
      <c r="B48" s="53" t="s">
        <v>74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8.75" x14ac:dyDescent="0.3">
      <c r="A49" s="76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42" t="s">
        <v>75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25.5" x14ac:dyDescent="0.3">
      <c r="A51" s="76"/>
      <c r="B51" s="78" t="s">
        <v>67</v>
      </c>
      <c r="C51" s="78" t="s">
        <v>68</v>
      </c>
      <c r="D51" s="78" t="s">
        <v>39</v>
      </c>
      <c r="E51" s="78" t="s">
        <v>69</v>
      </c>
      <c r="F51" s="78" t="s">
        <v>70</v>
      </c>
      <c r="G51" s="78" t="s">
        <v>71</v>
      </c>
      <c r="H51" s="78" t="s">
        <v>72</v>
      </c>
      <c r="I51" s="43"/>
      <c r="J51" s="43"/>
      <c r="K51" s="43"/>
      <c r="L51" s="43"/>
      <c r="M51" s="43"/>
      <c r="N51" s="75">
        <v>0</v>
      </c>
    </row>
    <row r="52" spans="1:14" ht="18" x14ac:dyDescent="0.25">
      <c r="A52" s="42"/>
      <c r="B52" s="79">
        <v>1</v>
      </c>
      <c r="C52" s="80"/>
      <c r="D52" s="80"/>
      <c r="E52" s="81"/>
      <c r="F52" s="81"/>
      <c r="G52" s="80"/>
      <c r="H52" s="80"/>
      <c r="I52" s="43"/>
      <c r="J52" s="43"/>
      <c r="K52" s="43"/>
      <c r="L52" s="43"/>
      <c r="M52" s="43"/>
      <c r="N52" s="75">
        <v>0</v>
      </c>
    </row>
    <row r="53" spans="1:14" ht="18.75" x14ac:dyDescent="0.3">
      <c r="A53" s="76"/>
      <c r="B53" s="42"/>
      <c r="C53" s="43"/>
      <c r="D53" s="43"/>
      <c r="E53" s="42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42" t="s">
        <v>76</v>
      </c>
      <c r="C54" s="43"/>
      <c r="D54" s="43"/>
      <c r="E54" s="42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19.5" thickBot="1" x14ac:dyDescent="0.35">
      <c r="A55" s="76"/>
      <c r="B55" s="83" t="s">
        <v>77</v>
      </c>
      <c r="C55" s="83" t="s">
        <v>68</v>
      </c>
      <c r="D55" s="83" t="s">
        <v>78</v>
      </c>
      <c r="E55" s="83" t="s">
        <v>79</v>
      </c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9.5" thickBot="1" x14ac:dyDescent="0.35">
      <c r="A56" s="76"/>
      <c r="B56" s="84" t="s">
        <v>80</v>
      </c>
      <c r="C56" s="84">
        <v>1</v>
      </c>
      <c r="D56" s="84">
        <v>2</v>
      </c>
      <c r="E56" s="84">
        <v>3</v>
      </c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5">
        <v>1</v>
      </c>
      <c r="C57" s="86" t="s">
        <v>81</v>
      </c>
      <c r="D57" s="87"/>
      <c r="E57" s="88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2</v>
      </c>
      <c r="C58" s="90" t="s">
        <v>82</v>
      </c>
      <c r="D58" s="41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3</v>
      </c>
      <c r="C59" s="90" t="s">
        <v>83</v>
      </c>
      <c r="D59" s="98">
        <v>200675.86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4</v>
      </c>
      <c r="C60" s="90" t="s">
        <v>84</v>
      </c>
      <c r="D60" s="98">
        <v>19000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30.75" x14ac:dyDescent="0.3">
      <c r="A61" s="76"/>
      <c r="B61" s="89">
        <v>5</v>
      </c>
      <c r="C61" s="90" t="s">
        <v>85</v>
      </c>
      <c r="D61" s="99">
        <v>0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30.75" x14ac:dyDescent="0.3">
      <c r="A62" s="76"/>
      <c r="B62" s="89">
        <v>6</v>
      </c>
      <c r="C62" s="90" t="s">
        <v>86</v>
      </c>
      <c r="D62" s="99">
        <v>0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7</v>
      </c>
      <c r="C63" s="90" t="s">
        <v>87</v>
      </c>
      <c r="D63" s="98">
        <v>65781.52</v>
      </c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8.75" x14ac:dyDescent="0.3">
      <c r="A64" s="76"/>
      <c r="B64" s="89">
        <v>8</v>
      </c>
      <c r="C64" s="90" t="s">
        <v>88</v>
      </c>
      <c r="D64" s="98">
        <v>131686.46</v>
      </c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8.75" x14ac:dyDescent="0.3">
      <c r="A65" s="76"/>
      <c r="B65" s="89">
        <v>9</v>
      </c>
      <c r="C65" s="90" t="s">
        <v>89</v>
      </c>
      <c r="D65" s="98"/>
      <c r="E65" s="91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45.75" x14ac:dyDescent="0.3">
      <c r="A66" s="76"/>
      <c r="B66" s="89">
        <v>10</v>
      </c>
      <c r="C66" s="90" t="s">
        <v>90</v>
      </c>
      <c r="D66" s="98"/>
      <c r="E66" s="91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46.5" thickBot="1" x14ac:dyDescent="0.35">
      <c r="A67" s="76"/>
      <c r="B67" s="92">
        <v>11</v>
      </c>
      <c r="C67" s="93" t="s">
        <v>91</v>
      </c>
      <c r="D67" s="100"/>
      <c r="E67" s="94"/>
      <c r="F67" s="42"/>
      <c r="G67" s="43"/>
      <c r="H67" s="43"/>
      <c r="I67" s="43"/>
      <c r="J67" s="43"/>
      <c r="K67" s="43"/>
      <c r="L67" s="43"/>
      <c r="M67" s="43"/>
      <c r="N67" s="75">
        <v>0</v>
      </c>
    </row>
    <row r="68" spans="1:14" ht="19.5" thickBot="1" x14ac:dyDescent="0.35">
      <c r="A68" s="76"/>
      <c r="B68" s="103" t="s">
        <v>92</v>
      </c>
      <c r="C68" s="104"/>
      <c r="D68" s="101">
        <v>417143.84</v>
      </c>
      <c r="E68" s="95"/>
      <c r="F68" s="42"/>
      <c r="G68" s="43"/>
      <c r="H68" s="43"/>
      <c r="I68" s="43"/>
      <c r="J68" s="43"/>
      <c r="K68" s="43"/>
      <c r="L68" s="43"/>
      <c r="M68" s="43"/>
      <c r="N68" s="75">
        <v>0</v>
      </c>
    </row>
    <row r="69" spans="1:14" ht="15.75" thickBot="1" x14ac:dyDescent="0.3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</row>
    <row r="70" spans="1:14" ht="15.75" thickBot="1" x14ac:dyDescent="0.3">
      <c r="A70" s="74"/>
      <c r="B70" s="96" t="s">
        <v>93</v>
      </c>
      <c r="C70" s="102">
        <v>54355245113.745796</v>
      </c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</row>
    <row r="71" spans="1:14" x14ac:dyDescent="0.25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</row>
    <row r="72" spans="1:14" x14ac:dyDescent="0.25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</row>
  </sheetData>
  <mergeCells count="1">
    <mergeCell ref="B68:C68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2025-10-10T11:45:49Z</dcterms:created>
  <dcterms:modified xsi:type="dcterms:W3CDTF">2025-10-10T12:40:00Z</dcterms:modified>
</cp:coreProperties>
</file>