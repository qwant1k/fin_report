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3B55E7D6-4C8C-45B6-8439-084842D14DD0}" xr6:coauthVersionLast="47" xr6:coauthVersionMax="47" xr10:uidLastSave="{00000000-0000-0000-0000-000000000000}"/>
  <bookViews>
    <workbookView xWindow="-120" yWindow="-120" windowWidth="29040" windowHeight="15720" xr2:uid="{6A5E0D91-9D60-433C-9A1A-75236A49535C}"/>
  </bookViews>
  <sheets>
    <sheet name="Лист1" sheetId="1" r:id="rId1"/>
    <sheet name="Расчет Д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D62" i="1" s="1"/>
  <c r="G2" i="2"/>
  <c r="H2" i="2"/>
  <c r="C2" i="2"/>
  <c r="B2" i="2" l="1"/>
  <c r="F2" i="2"/>
  <c r="E39" i="1" l="1"/>
  <c r="P33" i="1"/>
  <c r="P22" i="1"/>
  <c r="F24" i="1"/>
</calcChain>
</file>

<file path=xl/sharedStrings.xml><?xml version="1.0" encoding="utf-8"?>
<sst xmlns="http://schemas.openxmlformats.org/spreadsheetml/2006/main" count="126" uniqueCount="94">
  <si>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</si>
  <si>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</si>
  <si>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</si>
  <si>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</si>
  <si>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</si>
  <si>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</si>
  <si>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</si>
  <si>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</si>
  <si>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</si>
  <si>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</si>
  <si>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</si>
  <si>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</si>
  <si>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</si>
  <si>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</si>
  <si>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</si>
  <si>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</si>
  <si>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</si>
  <si>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</si>
  <si>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</si>
  <si>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</si>
  <si>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</si>
  <si>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</si>
  <si>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</si>
  <si>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</si>
  <si>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</si>
  <si>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</si>
  <si>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</si>
  <si>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</si>
  <si>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</si>
  <si>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</si>
  <si>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</si>
  <si>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</si>
  <si>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</si>
  <si>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</si>
  <si>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</si>
  <si>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</si>
  <si>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</si>
  <si>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</si>
  <si>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</si>
  <si>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</si>
  <si>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</si>
  <si>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</si>
  <si>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</si>
  <si>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</si>
  <si>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</si>
  <si>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</si>
  <si>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</si>
  <si>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</si>
  <si>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</si>
  <si>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</si>
  <si>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KZKD00001244</t>
  </si>
  <si>
    <t>Двадцатилетние МЕУКАМ,эмиссия №1, Репо</t>
  </si>
  <si>
    <t>KZKD00000550</t>
  </si>
  <si>
    <t>Купонные облигации МЕОКАМ Министерство Финансов Республики Казахстан, Репо</t>
  </si>
  <si>
    <t>KZK200000711</t>
  </si>
  <si>
    <t>Шестнадцатилетние  МЕУКАМ, эмиссия №2, Репо</t>
  </si>
  <si>
    <t>KZKD00000543</t>
  </si>
  <si>
    <t>Двадцатилетние  МЕУКАМ, эмиссия №4,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</si>
  <si>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</si>
  <si>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</si>
  <si>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</si>
  <si>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</si>
  <si>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</si>
  <si>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</si>
  <si>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</si>
  <si>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</si>
  <si>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</si>
  <si>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</si>
  <si>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</si>
  <si>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</si>
  <si>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</si>
  <si>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</si>
  <si>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</si>
  <si>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</si>
  <si>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</si>
  <si>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</si>
  <si>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</si>
  <si>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</si>
  <si>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</si>
  <si>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</si>
  <si>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</si>
  <si>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</si>
  <si>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</si>
  <si>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</si>
  <si>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</si>
  <si>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</si>
  <si>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</si>
  <si>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</si>
  <si>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</si>
  <si>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</si>
  <si>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сентябрь   (без учета корректировки)</t>
  </si>
  <si>
    <t>Фактическая комиссия за сентябрь</t>
  </si>
  <si>
    <t>Корректировка комиссии ДУ за сентябрь</t>
  </si>
  <si>
    <t>Комиссия ДУ за октябрь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</si>
</sst>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  <numFmt numFmtId="172" formatCode="_-* #,##0.0000\ _₸_-;\-* #,##0.0000\ _₸_-;_-* &quot;-&quot;????\ _₸_-;_-@_-"/>
    <numFmt numFmtId="173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2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2" applyFont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2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170" fontId="0" fillId="0" borderId="1" xfId="2" applyNumberFormat="1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" applyFont="1"/>
    <xf numFmtId="171" fontId="0" fillId="0" borderId="0" xfId="0" applyNumberFormat="1" applyProtection="1">
      <protection locked="0"/>
    </xf>
    <xf numFmtId="4" fontId="0" fillId="0" borderId="0" xfId="0" applyNumberFormat="1"/>
    <xf numFmtId="172" fontId="7" fillId="0" borderId="0" xfId="0" applyNumberFormat="1" applyFont="1"/>
    <xf numFmtId="171" fontId="0" fillId="0" borderId="0" xfId="3" applyNumberFormat="1" applyFont="1"/>
    <xf numFmtId="173" fontId="0" fillId="0" borderId="0" xfId="0" applyNumberFormat="1"/>
    <xf numFmtId="43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2" fillId="0" borderId="12" xfId="0" applyFont="1" applyBorder="1"/>
    <xf numFmtId="0" fontId="2" fillId="0" borderId="13" xfId="0" applyFont="1" applyBorder="1"/>
    <xf numFmtId="43" fontId="0" fillId="0" borderId="2" xfId="1" applyFont="1" applyBorder="1"/>
    <xf numFmtId="43" fontId="0" fillId="0" borderId="2" xfId="1" applyFont="1" applyFill="1" applyBorder="1"/>
    <xf numFmtId="43" fontId="8" fillId="0" borderId="0" xfId="1" applyFont="1"/>
    <xf numFmtId="171" fontId="0" fillId="0" borderId="0" xfId="0" applyNumberFormat="1"/>
  </cellXfs>
  <cellStyles count="4">
    <cellStyle name="Обычный" xfId="0" builtinId="0"/>
    <cellStyle name="Финансовый" xfId="1" builtinId="3"/>
    <cellStyle name="Финансовый 2" xfId="2" xr:uid="{8822E9DB-23CE-487C-B3EA-2F61B54060E9}"/>
    <cellStyle name="Финансовый 4" xfId="3" xr:uid="{CFE21BD1-169A-4502-94D5-72003005335C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95250</xdr:rowOff>
    </xdr:from>
    <xdr:to>
      <xdr:col>3</xdr:col>
      <xdr:colOff>2740521</xdr:colOff>
      <xdr:row>48</xdr:row>
      <xdr:rowOff>86920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EF5AAD5-1E8D-44B7-8F6E-7D42F9012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66750"/>
          <a:ext cx="7503021" cy="8564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D0CE-B0CD-4EC0-AF19-DCB807AA12B4}">
  <dimension ref="A1:P64"/>
  <sheetViews>
    <sheetView tabSelected="1" topLeftCell="A43" workbookViewId="0">
      <selection activeCell="D55" sqref="D5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26.85546875" bestFit="1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45961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86.2821</v>
      </c>
      <c r="K7" s="21">
        <v>89.530349999999999</v>
      </c>
      <c r="L7" s="21">
        <v>203015625</v>
      </c>
      <c r="M7" s="21">
        <v>5595646875</v>
      </c>
      <c r="N7" s="25">
        <v>13.127319746764302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61.133400000000002</v>
      </c>
      <c r="K8" s="21">
        <v>64.8994</v>
      </c>
      <c r="L8" s="21">
        <v>141225000</v>
      </c>
      <c r="M8" s="21">
        <v>2433727500</v>
      </c>
      <c r="N8" s="25">
        <v>5.70949521702856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67.762699999999995</v>
      </c>
      <c r="K9" s="21">
        <v>72.316311111111105</v>
      </c>
      <c r="L9" s="21">
        <v>170760416.66666701</v>
      </c>
      <c r="M9" s="21">
        <v>2711861666.6666698</v>
      </c>
      <c r="N9" s="25">
        <v>6.36199460090599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59.692599999999999</v>
      </c>
      <c r="K10" s="21">
        <v>65.767516666666694</v>
      </c>
      <c r="L10" s="21">
        <v>227809375</v>
      </c>
      <c r="M10" s="21">
        <v>2466281875</v>
      </c>
      <c r="N10" s="25">
        <v>5.7858673862035603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84.951400000000007</v>
      </c>
      <c r="K11" s="21">
        <v>91.368066666666707</v>
      </c>
      <c r="L11" s="21">
        <v>240625000</v>
      </c>
      <c r="M11" s="21">
        <v>3426302500</v>
      </c>
      <c r="N11" s="25">
        <v>8.0380641365325403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87.166700000000006</v>
      </c>
      <c r="K12" s="21">
        <v>92.886700000000005</v>
      </c>
      <c r="L12" s="21">
        <v>214500000</v>
      </c>
      <c r="M12" s="21">
        <v>3483251250</v>
      </c>
      <c r="N12" s="25">
        <v>8.1716652137857508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77.293999999999997</v>
      </c>
      <c r="K13" s="21">
        <v>83.674277777777803</v>
      </c>
      <c r="L13" s="21">
        <v>239260416.66666701</v>
      </c>
      <c r="M13" s="21">
        <v>3137785416.6666698</v>
      </c>
      <c r="N13" s="25">
        <v>7.3612065560011599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75.452100000000002</v>
      </c>
      <c r="K14" s="21">
        <v>78.232933333333307</v>
      </c>
      <c r="L14" s="21">
        <v>104281250</v>
      </c>
      <c r="M14" s="21">
        <v>2933735000</v>
      </c>
      <c r="N14" s="25">
        <v>6.8825067516923299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82.843299999999999</v>
      </c>
      <c r="K15" s="21">
        <v>85.539411111111093</v>
      </c>
      <c r="L15" s="21">
        <v>101104166.666667</v>
      </c>
      <c r="M15" s="21">
        <v>3207727916.6666698</v>
      </c>
      <c r="N15" s="25">
        <v>7.5252908132637399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98.653099999999995</v>
      </c>
      <c r="K16" s="21">
        <v>101.58735</v>
      </c>
      <c r="L16" s="21">
        <v>146712500</v>
      </c>
      <c r="M16" s="21">
        <v>5079367500</v>
      </c>
      <c r="N16" s="25">
        <v>11.9161345905736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85.115600000000001</v>
      </c>
      <c r="K17" s="21">
        <v>92.882266666666695</v>
      </c>
      <c r="L17" s="21">
        <v>155333333.33333299</v>
      </c>
      <c r="M17" s="21">
        <v>1857645333.3333299</v>
      </c>
      <c r="N17" s="25">
        <v>4.3580134364270799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85.115600000000001</v>
      </c>
      <c r="K18" s="21">
        <v>92.882266666666695</v>
      </c>
      <c r="L18" s="21">
        <v>233000000</v>
      </c>
      <c r="M18" s="21">
        <v>2786468000</v>
      </c>
      <c r="N18" s="25">
        <v>6.5370201546406204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94.272450439578506</v>
      </c>
      <c r="K19" s="21">
        <v>96.536617106245203</v>
      </c>
      <c r="L19" s="21">
        <v>45283333.333333299</v>
      </c>
      <c r="M19" s="21">
        <v>1930732342.1249001</v>
      </c>
      <c r="N19" s="25">
        <v>4.5294746732017002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82.843299999999999</v>
      </c>
      <c r="K20" s="21">
        <v>85.539411111111093</v>
      </c>
      <c r="L20" s="21">
        <v>26961111.111111101</v>
      </c>
      <c r="M20" s="21">
        <v>855394111.11111104</v>
      </c>
      <c r="N20" s="25">
        <v>2.00674421687033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70.057500000000005</v>
      </c>
      <c r="K21" s="21">
        <v>72.003888888888895</v>
      </c>
      <c r="L21" s="21">
        <v>19463888.888888899</v>
      </c>
      <c r="M21" s="21">
        <v>720038888.88888896</v>
      </c>
      <c r="N21" s="25">
        <v>1.6892025061086999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2269335416.6666698</v>
      </c>
      <c r="M22" s="35">
        <v>42625966175.458199</v>
      </c>
      <c r="N22" s="36">
        <v>100</v>
      </c>
      <c r="O22" s="41">
        <v>42625966175.458237</v>
      </c>
      <c r="P22" s="103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965847.5</v>
      </c>
      <c r="E24" s="101">
        <v>965846.83</v>
      </c>
      <c r="F24" s="102">
        <f>D24-E24</f>
        <v>0.67000000004190952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13152</v>
      </c>
      <c r="E28" s="58" t="s">
        <v>35</v>
      </c>
      <c r="F28" s="59">
        <v>45961</v>
      </c>
      <c r="G28" s="59">
        <v>45964</v>
      </c>
      <c r="H28" s="60">
        <v>912.90599984793198</v>
      </c>
      <c r="I28" s="60">
        <v>914.21158074817527</v>
      </c>
      <c r="J28" s="61">
        <v>12006539.710000001</v>
      </c>
      <c r="K28" s="61">
        <v>12023710.710000001</v>
      </c>
      <c r="L28" s="62">
        <v>17.399999999999999</v>
      </c>
      <c r="M28" s="63">
        <v>0</v>
      </c>
      <c r="N28" s="64">
        <v>12006539.710000001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3343200</v>
      </c>
      <c r="E29" s="58" t="s">
        <v>35</v>
      </c>
      <c r="F29" s="59">
        <v>45961</v>
      </c>
      <c r="G29" s="59">
        <v>45964</v>
      </c>
      <c r="H29" s="60">
        <v>595.36599999999999</v>
      </c>
      <c r="I29" s="60">
        <v>596.21745493838205</v>
      </c>
      <c r="J29" s="61">
        <v>1990427611.2</v>
      </c>
      <c r="K29" s="61">
        <v>1993274195.3499999</v>
      </c>
      <c r="L29" s="62">
        <v>17.399999999999999</v>
      </c>
      <c r="M29" s="63">
        <v>0</v>
      </c>
      <c r="N29" s="64">
        <v>1990427611.2</v>
      </c>
      <c r="O29" s="52"/>
    </row>
    <row r="30" spans="1:16" ht="39" thickBot="1" x14ac:dyDescent="0.3">
      <c r="A30" s="54">
        <v>3</v>
      </c>
      <c r="B30" s="55" t="s">
        <v>53</v>
      </c>
      <c r="C30" s="56" t="s">
        <v>54</v>
      </c>
      <c r="D30" s="57">
        <v>63180</v>
      </c>
      <c r="E30" s="58" t="s">
        <v>35</v>
      </c>
      <c r="F30" s="59">
        <v>45958</v>
      </c>
      <c r="G30" s="59">
        <v>45965</v>
      </c>
      <c r="H30" s="60">
        <v>1028.8140000000001</v>
      </c>
      <c r="I30" s="60">
        <v>1032.20777556189</v>
      </c>
      <c r="J30" s="61">
        <v>65000468.520000003</v>
      </c>
      <c r="K30" s="61">
        <v>65214887.259999998</v>
      </c>
      <c r="L30" s="62">
        <v>17.200500000000002</v>
      </c>
      <c r="M30" s="63">
        <v>91893.75</v>
      </c>
      <c r="N30" s="64">
        <v>65092362.270000003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12609664</v>
      </c>
      <c r="E31" s="58" t="s">
        <v>35</v>
      </c>
      <c r="F31" s="59">
        <v>45958</v>
      </c>
      <c r="G31" s="59">
        <v>45965</v>
      </c>
      <c r="H31" s="60">
        <v>791.15</v>
      </c>
      <c r="I31" s="60">
        <v>793.767297602854</v>
      </c>
      <c r="J31" s="61">
        <v>9976135673.6000004</v>
      </c>
      <c r="K31" s="61">
        <v>10009138916.959999</v>
      </c>
      <c r="L31" s="62">
        <v>17.25</v>
      </c>
      <c r="M31" s="63">
        <v>14144247.15</v>
      </c>
      <c r="N31" s="64">
        <v>9990279920.75</v>
      </c>
      <c r="O31" s="52"/>
    </row>
    <row r="32" spans="1:16" ht="26.25" thickBot="1" x14ac:dyDescent="0.3">
      <c r="A32" s="54">
        <v>5</v>
      </c>
      <c r="B32" s="55" t="s">
        <v>57</v>
      </c>
      <c r="C32" s="56" t="s">
        <v>22</v>
      </c>
      <c r="D32" s="57">
        <v>45390</v>
      </c>
      <c r="E32" s="58" t="s">
        <v>35</v>
      </c>
      <c r="F32" s="59">
        <v>45958</v>
      </c>
      <c r="G32" s="59">
        <v>45965</v>
      </c>
      <c r="H32" s="60">
        <v>661.298</v>
      </c>
      <c r="I32" s="60">
        <v>663.48571866049804</v>
      </c>
      <c r="J32" s="61">
        <v>30016316.219999999</v>
      </c>
      <c r="K32" s="61">
        <v>30115616.77</v>
      </c>
      <c r="L32" s="62">
        <v>17.25</v>
      </c>
      <c r="M32" s="63">
        <v>42557.38</v>
      </c>
      <c r="N32" s="64">
        <v>30058873.600000001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14278698.279999999</v>
      </c>
      <c r="N33" s="73">
        <v>12087865307.530001</v>
      </c>
      <c r="O33" s="104">
        <v>12087865307.528572</v>
      </c>
      <c r="P33" s="105">
        <f>N33-O33</f>
        <v>1.4286041259765625E-3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58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59</v>
      </c>
      <c r="C36" s="78" t="s">
        <v>60</v>
      </c>
      <c r="D36" s="78" t="s">
        <v>39</v>
      </c>
      <c r="E36" s="78" t="s">
        <v>61</v>
      </c>
      <c r="F36" s="78" t="s">
        <v>62</v>
      </c>
      <c r="G36" s="78" t="s">
        <v>63</v>
      </c>
      <c r="H36" s="78" t="s">
        <v>64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65</v>
      </c>
      <c r="C39" s="99">
        <v>54714797330.486801</v>
      </c>
      <c r="D39" s="116">
        <v>54714797329.816811</v>
      </c>
      <c r="E39" s="106">
        <f>C39-D39</f>
        <v>0.66999053955078125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66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59</v>
      </c>
      <c r="C45" s="78" t="s">
        <v>60</v>
      </c>
      <c r="D45" s="78" t="s">
        <v>39</v>
      </c>
      <c r="E45" s="78" t="s">
        <v>61</v>
      </c>
      <c r="F45" s="78" t="s">
        <v>62</v>
      </c>
      <c r="G45" s="78" t="s">
        <v>63</v>
      </c>
      <c r="H45" s="78" t="s">
        <v>64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68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69</v>
      </c>
      <c r="C49" s="83" t="s">
        <v>60</v>
      </c>
      <c r="D49" s="83" t="s">
        <v>70</v>
      </c>
      <c r="E49" s="83" t="s">
        <v>71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72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73</v>
      </c>
      <c r="D51" s="87">
        <f>'Расчет ДУ'!H2</f>
        <v>4080977.1947757611</v>
      </c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74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75</v>
      </c>
      <c r="D53" s="114">
        <v>693285.5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76</v>
      </c>
      <c r="D54" s="114">
        <v>79000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77</v>
      </c>
      <c r="D55" s="115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78</v>
      </c>
      <c r="D56" s="115">
        <v>472123.20977560146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79</v>
      </c>
      <c r="D57" s="114">
        <v>259816.88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80</v>
      </c>
      <c r="D58" s="114">
        <v>519964.42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81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82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3">
        <v>11</v>
      </c>
      <c r="C61" s="94" t="s">
        <v>83</v>
      </c>
      <c r="D61" s="95"/>
      <c r="E61" s="96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12" t="s">
        <v>84</v>
      </c>
      <c r="C62" s="113"/>
      <c r="D62" s="100">
        <f>SUM(D51:D61)</f>
        <v>6105167.2045513624</v>
      </c>
      <c r="E62" s="97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8" t="s">
        <v>85</v>
      </c>
      <c r="C64" s="99">
        <v>54713245263.686798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58B8-A320-4654-818F-9FEDD2F97166}">
  <dimension ref="A1:H5"/>
  <sheetViews>
    <sheetView workbookViewId="0">
      <selection activeCell="H2" sqref="H2"/>
    </sheetView>
  </sheetViews>
  <sheetFormatPr defaultRowHeight="15" x14ac:dyDescent="0.25"/>
  <cols>
    <col min="1" max="1" width="17.5703125" style="41" bestFit="1" customWidth="1"/>
    <col min="2" max="2" width="26.42578125" style="41" bestFit="1" customWidth="1"/>
    <col min="3" max="3" width="27.85546875" style="41" bestFit="1" customWidth="1"/>
    <col min="4" max="4" width="60.7109375" style="41" bestFit="1" customWidth="1"/>
    <col min="5" max="5" width="33.140625" style="41" bestFit="1" customWidth="1"/>
    <col min="6" max="6" width="38.85546875" style="41" bestFit="1" customWidth="1"/>
    <col min="7" max="7" width="24.140625" style="41" bestFit="1" customWidth="1"/>
    <col min="8" max="8" width="14.5703125" style="41" bestFit="1" customWidth="1"/>
    <col min="9" max="16384" width="9.140625" style="41"/>
  </cols>
  <sheetData>
    <row r="1" spans="1:8" x14ac:dyDescent="0.25">
      <c r="A1" s="41" t="s">
        <v>86</v>
      </c>
      <c r="B1" s="41" t="s">
        <v>87</v>
      </c>
      <c r="C1" s="41" t="s">
        <v>88</v>
      </c>
      <c r="D1" s="41" t="s">
        <v>90</v>
      </c>
      <c r="E1" s="41" t="s">
        <v>91</v>
      </c>
      <c r="F1" s="41" t="s">
        <v>92</v>
      </c>
      <c r="G1" s="41" t="s">
        <v>93</v>
      </c>
      <c r="H1" s="41" t="s">
        <v>89</v>
      </c>
    </row>
    <row r="2" spans="1:8" x14ac:dyDescent="0.25">
      <c r="A2" s="107">
        <v>54419186166.813026</v>
      </c>
      <c r="B2" s="108">
        <f>Лист1!D53+Лист1!D54+Лист1!D56+Лист1!D57+Лист1!D58</f>
        <v>2024190.0097756013</v>
      </c>
      <c r="C2" s="109">
        <f>A2*0.09%/12</f>
        <v>4081438.9625109769</v>
      </c>
      <c r="D2" s="108">
        <v>4031138.258640958</v>
      </c>
      <c r="E2" s="108">
        <v>4031134.4130786634</v>
      </c>
      <c r="F2" s="109">
        <f>E2-D2</f>
        <v>-3.8455622945912182</v>
      </c>
      <c r="G2" s="108">
        <f>(A2-B2-C2)*0.09%/12</f>
        <v>4080981.0403380557</v>
      </c>
      <c r="H2" s="108">
        <f>G2+F2</f>
        <v>4080977.1947757611</v>
      </c>
    </row>
    <row r="3" spans="1:8" x14ac:dyDescent="0.25">
      <c r="A3" s="110"/>
      <c r="B3" s="111"/>
    </row>
    <row r="5" spans="1:8" x14ac:dyDescent="0.25">
      <c r="D5" s="1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Расчет ДУ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2025-11-03T12:12:36Z</dcterms:created>
  <dcterms:modified xsi:type="dcterms:W3CDTF">2025-11-04T12:32:45Z</dcterms:modified>
</cp:coreProperties>
</file>