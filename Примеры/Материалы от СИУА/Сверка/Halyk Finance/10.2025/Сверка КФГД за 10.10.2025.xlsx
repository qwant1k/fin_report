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3C03A5F5-36D0-4629-A963-1D5610868A56}" xr6:coauthVersionLast="47" xr6:coauthVersionMax="47" xr10:uidLastSave="{00000000-0000-0000-0000-000000000000}"/>
  <bookViews>
    <workbookView xWindow="-120" yWindow="-120" windowWidth="29040" windowHeight="15720" xr2:uid="{AA44C42F-17C6-4CD0-9E75-70C29550C8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  <c r="P36" i="1"/>
  <c r="P22" i="1"/>
  <c r="F24" i="1"/>
</calcChain>
</file>

<file path=xl/sharedStrings.xml><?xml version="1.0" encoding="utf-8"?>
<sst xmlns="http://schemas.openxmlformats.org/spreadsheetml/2006/main" count="124" uniqueCount="89">
  <si>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</si>
  <si>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</si>
  <si>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</si>
  <si>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</si>
  <si>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</si>
  <si>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</si>
  <si>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</si>
  <si>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</si>
  <si>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</si>
  <si>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</si>
  <si>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</si>
  <si>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</si>
  <si>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</si>
  <si>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</si>
  <si>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</si>
  <si>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</si>
  <si>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</si>
  <si>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</si>
  <si>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</si>
  <si>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</si>
  <si>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</si>
  <si>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</si>
  <si>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</si>
  <si>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</si>
  <si>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</si>
  <si>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</si>
  <si>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</si>
  <si>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</si>
  <si>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</si>
  <si>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</si>
  <si>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</si>
  <si>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</si>
  <si>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</si>
  <si>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</si>
  <si>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</si>
  <si>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</si>
  <si>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</si>
  <si>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</si>
  <si>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</si>
  <si>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</si>
  <si>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</si>
  <si>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</si>
  <si>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</si>
  <si>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</si>
  <si>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</si>
  <si>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</si>
  <si>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</si>
  <si>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</si>
  <si>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</si>
  <si>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Дисконтные ноты ГУ Национальный Банк Республики Казахстан, Репо</t>
  </si>
  <si>
    <t>KZW100014338</t>
  </si>
  <si>
    <t>Пятнадцатилетние МЕUКАМ, эмиссия №14, Репо</t>
  </si>
  <si>
    <t>KZKD00000956</t>
  </si>
  <si>
    <t>Купонные облигации Министерства финансов Республики Казахстан, Репо</t>
  </si>
  <si>
    <t>KZKD00000899</t>
  </si>
  <si>
    <t>Купонные облигации МЕУКАМ Министерства финансов Республики Казахстан, Репо</t>
  </si>
  <si>
    <t>KZKD00001103</t>
  </si>
  <si>
    <t>Индексированные купонные облигации АО Казахстанский фонд устойчивости, Репо</t>
  </si>
  <si>
    <t>KZ2C00008902</t>
  </si>
  <si>
    <t>Пятнадцатилетние МЕUКАМ, эмиссия №5, Репо</t>
  </si>
  <si>
    <t>KZKD00000493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</si>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</sst>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  <numFmt numFmtId="171" formatCode="_-* #,##0.00\ _₸_-;\-* #,##0.00\ _₸_-;_-* &quot;-&quot;??\ _₸_-;_-@_-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4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71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05E516C4-A8CC-45F6-9BBB-DA06ECBAE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3FBB-3209-481A-906E-EED88CD8E312}">
  <dimension ref="A1:P67"/>
  <sheetViews>
    <sheetView tabSelected="1" topLeftCell="A31" workbookViewId="0">
      <selection activeCell="E43" sqref="E4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45940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85.9816</v>
      </c>
      <c r="K7" s="21">
        <v>88.924850000000006</v>
      </c>
      <c r="L7" s="21">
        <v>183953125</v>
      </c>
      <c r="M7" s="21">
        <v>5557803125</v>
      </c>
      <c r="N7" s="25">
        <v>13.105933141955205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61.370399999999997</v>
      </c>
      <c r="K8" s="21">
        <v>64.6880666666667</v>
      </c>
      <c r="L8" s="21">
        <v>124412500</v>
      </c>
      <c r="M8" s="21">
        <v>2425802500</v>
      </c>
      <c r="N8" s="25">
        <v>5.7203187420547197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67.9602</v>
      </c>
      <c r="K9" s="21">
        <v>72.044366666666704</v>
      </c>
      <c r="L9" s="21">
        <v>153156250</v>
      </c>
      <c r="M9" s="21">
        <v>2701663750</v>
      </c>
      <c r="N9" s="25">
        <v>6.3708310069986496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59.923499999999997</v>
      </c>
      <c r="K10" s="21">
        <v>65.550083333333305</v>
      </c>
      <c r="L10" s="21">
        <v>210996875</v>
      </c>
      <c r="M10" s="21">
        <v>2458128125</v>
      </c>
      <c r="N10" s="25">
        <v>5.7965462496676201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85.107799999999997</v>
      </c>
      <c r="K11" s="21">
        <v>90.913355555555597</v>
      </c>
      <c r="L11" s="21">
        <v>217708333.33333299</v>
      </c>
      <c r="M11" s="21">
        <v>3409250833.3333302</v>
      </c>
      <c r="N11" s="25">
        <v>8.0394019868815896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87.227699999999999</v>
      </c>
      <c r="K12" s="21">
        <v>92.369922222222201</v>
      </c>
      <c r="L12" s="21">
        <v>192833333.33333299</v>
      </c>
      <c r="M12" s="21">
        <v>3463872083.3333302</v>
      </c>
      <c r="N12" s="25">
        <v>8.1682051190778306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77.512299999999996</v>
      </c>
      <c r="K13" s="21">
        <v>83.320355555555594</v>
      </c>
      <c r="L13" s="21">
        <v>217802083.33333299</v>
      </c>
      <c r="M13" s="21">
        <v>3124513333.3333302</v>
      </c>
      <c r="N13" s="25">
        <v>7.3679585128907004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75.7547</v>
      </c>
      <c r="K14" s="21">
        <v>77.943866666666693</v>
      </c>
      <c r="L14" s="21">
        <v>82093750</v>
      </c>
      <c r="M14" s="21">
        <v>2922895000</v>
      </c>
      <c r="N14" s="25">
        <v>6.8925195062491804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83.0321</v>
      </c>
      <c r="K15" s="21">
        <v>85.142099999999999</v>
      </c>
      <c r="L15" s="21">
        <v>79125000</v>
      </c>
      <c r="M15" s="21">
        <v>3192828750</v>
      </c>
      <c r="N15" s="25">
        <v>7.5290540506888499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98.385499999999993</v>
      </c>
      <c r="K16" s="21">
        <v>100.726972222222</v>
      </c>
      <c r="L16" s="21">
        <v>117073611.111111</v>
      </c>
      <c r="M16" s="21">
        <v>5036348611.1111097</v>
      </c>
      <c r="N16" s="25">
        <v>11.8762839726895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85.349100000000007</v>
      </c>
      <c r="K17" s="21">
        <v>92.449100000000001</v>
      </c>
      <c r="L17" s="21">
        <v>142000000</v>
      </c>
      <c r="M17" s="21">
        <v>1848982000</v>
      </c>
      <c r="N17" s="25">
        <v>4.3601102679718604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85.349100000000007</v>
      </c>
      <c r="K18" s="21">
        <v>92.449100000000001</v>
      </c>
      <c r="L18" s="21">
        <v>213000000</v>
      </c>
      <c r="M18" s="21">
        <v>2773473000</v>
      </c>
      <c r="N18" s="25">
        <v>6.5401654019578004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94.625098957423504</v>
      </c>
      <c r="K19" s="21">
        <v>96.094821179645706</v>
      </c>
      <c r="L19" s="21">
        <v>29394444.444444399</v>
      </c>
      <c r="M19" s="21">
        <v>1921896423.5929101</v>
      </c>
      <c r="N19" s="25">
        <v>4.5320507882098804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83.0321</v>
      </c>
      <c r="K20" s="21">
        <v>85.142099999999999</v>
      </c>
      <c r="L20" s="21">
        <v>21100000</v>
      </c>
      <c r="M20" s="21">
        <v>851421000</v>
      </c>
      <c r="N20" s="25">
        <v>2.0077477468503599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70.441800000000001</v>
      </c>
      <c r="K21" s="21">
        <v>71.789299999999997</v>
      </c>
      <c r="L21" s="21">
        <v>13475000</v>
      </c>
      <c r="M21" s="21">
        <v>717893000</v>
      </c>
      <c r="N21" s="25">
        <v>1.6928735058562601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1998124305.5555601</v>
      </c>
      <c r="M22" s="35">
        <v>42406771534.704002</v>
      </c>
      <c r="N22" s="36">
        <v>100</v>
      </c>
      <c r="O22" s="41">
        <v>42406771534.704025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380046.15</v>
      </c>
      <c r="E24" s="104">
        <v>380045.79</v>
      </c>
      <c r="F24" s="105">
        <f>D24-E24</f>
        <v>0.36000000004423782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6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6" ht="51.75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6" ht="26.25" thickBot="1" x14ac:dyDescent="0.3">
      <c r="A29" s="54">
        <v>1</v>
      </c>
      <c r="B29" s="55" t="s">
        <v>49</v>
      </c>
      <c r="C29" s="56" t="s">
        <v>50</v>
      </c>
      <c r="D29" s="57">
        <v>130273</v>
      </c>
      <c r="E29" s="58" t="s">
        <v>35</v>
      </c>
      <c r="F29" s="59">
        <v>45940</v>
      </c>
      <c r="G29" s="59">
        <v>45943</v>
      </c>
      <c r="H29" s="60">
        <v>99.799800035310454</v>
      </c>
      <c r="I29" s="60">
        <v>99.928582822227156</v>
      </c>
      <c r="J29" s="61">
        <v>13001219.35</v>
      </c>
      <c r="K29" s="61">
        <v>13017996.27</v>
      </c>
      <c r="L29" s="62">
        <v>15.7</v>
      </c>
      <c r="M29" s="63">
        <v>0</v>
      </c>
      <c r="N29" s="64">
        <v>13001219.35</v>
      </c>
      <c r="O29" s="52"/>
    </row>
    <row r="30" spans="1:16" ht="26.25" thickBot="1" x14ac:dyDescent="0.3">
      <c r="A30" s="54">
        <v>2</v>
      </c>
      <c r="B30" s="55" t="s">
        <v>49</v>
      </c>
      <c r="C30" s="56" t="s">
        <v>50</v>
      </c>
      <c r="D30" s="57">
        <v>19941790</v>
      </c>
      <c r="E30" s="58" t="s">
        <v>35</v>
      </c>
      <c r="F30" s="59">
        <v>45940</v>
      </c>
      <c r="G30" s="59">
        <v>45943</v>
      </c>
      <c r="H30" s="60">
        <v>99.799799999899705</v>
      </c>
      <c r="I30" s="60">
        <v>99.928582755610194</v>
      </c>
      <c r="J30" s="61">
        <v>1990186653.6400001</v>
      </c>
      <c r="K30" s="61">
        <v>1992754812.3099999</v>
      </c>
      <c r="L30" s="62">
        <v>15.7</v>
      </c>
      <c r="M30" s="63">
        <v>0</v>
      </c>
      <c r="N30" s="64">
        <v>1990186653.6400001</v>
      </c>
      <c r="O30" s="52"/>
    </row>
    <row r="31" spans="1:16" ht="26.25" thickBot="1" x14ac:dyDescent="0.3">
      <c r="A31" s="54">
        <v>3</v>
      </c>
      <c r="B31" s="55" t="s">
        <v>51</v>
      </c>
      <c r="C31" s="56" t="s">
        <v>52</v>
      </c>
      <c r="D31" s="57">
        <v>83868</v>
      </c>
      <c r="E31" s="58" t="s">
        <v>35</v>
      </c>
      <c r="F31" s="59">
        <v>45937</v>
      </c>
      <c r="G31" s="59">
        <v>45944</v>
      </c>
      <c r="H31" s="60">
        <v>691.83100002384697</v>
      </c>
      <c r="I31" s="60">
        <v>693.91418085562998</v>
      </c>
      <c r="J31" s="61">
        <v>58022482.310000002</v>
      </c>
      <c r="K31" s="61">
        <v>58197194.520000003</v>
      </c>
      <c r="L31" s="62">
        <v>15.700799999999999</v>
      </c>
      <c r="M31" s="63">
        <v>74876.66</v>
      </c>
      <c r="N31" s="64">
        <v>58097358.969999999</v>
      </c>
      <c r="O31" s="52"/>
    </row>
    <row r="32" spans="1:16" ht="26.25" thickBot="1" x14ac:dyDescent="0.3">
      <c r="A32" s="54">
        <v>4</v>
      </c>
      <c r="B32" s="55" t="s">
        <v>53</v>
      </c>
      <c r="C32" s="56" t="s">
        <v>54</v>
      </c>
      <c r="D32" s="57">
        <v>1922548</v>
      </c>
      <c r="E32" s="58" t="s">
        <v>35</v>
      </c>
      <c r="F32" s="59">
        <v>45937</v>
      </c>
      <c r="G32" s="59">
        <v>45944</v>
      </c>
      <c r="H32" s="60">
        <v>956.90899999895998</v>
      </c>
      <c r="I32" s="60">
        <v>959.82691703406101</v>
      </c>
      <c r="J32" s="61">
        <v>1839703484.1300001</v>
      </c>
      <c r="K32" s="61">
        <v>1845313319.6900001</v>
      </c>
      <c r="L32" s="62">
        <v>15.9</v>
      </c>
      <c r="M32" s="63">
        <v>2404215.2400000002</v>
      </c>
      <c r="N32" s="64">
        <v>1842107699.3699999</v>
      </c>
      <c r="O32" s="52"/>
    </row>
    <row r="33" spans="1:16" ht="39" thickBot="1" x14ac:dyDescent="0.3">
      <c r="A33" s="54">
        <v>5</v>
      </c>
      <c r="B33" s="55" t="s">
        <v>55</v>
      </c>
      <c r="C33" s="56" t="s">
        <v>56</v>
      </c>
      <c r="D33" s="57">
        <v>8740732</v>
      </c>
      <c r="E33" s="58" t="s">
        <v>35</v>
      </c>
      <c r="F33" s="59">
        <v>45937</v>
      </c>
      <c r="G33" s="59">
        <v>45944</v>
      </c>
      <c r="H33" s="60">
        <v>770.50699999954202</v>
      </c>
      <c r="I33" s="60">
        <v>772.84913018154498</v>
      </c>
      <c r="J33" s="61">
        <v>6734795191.1199999</v>
      </c>
      <c r="K33" s="61">
        <v>6755267123.3500004</v>
      </c>
      <c r="L33" s="62">
        <v>15.85</v>
      </c>
      <c r="M33" s="63">
        <v>8773685.2400000002</v>
      </c>
      <c r="N33" s="64">
        <v>6743568876.3599997</v>
      </c>
      <c r="O33" s="52"/>
    </row>
    <row r="34" spans="1:16" ht="39" thickBot="1" x14ac:dyDescent="0.3">
      <c r="A34" s="54">
        <v>6</v>
      </c>
      <c r="B34" s="55" t="s">
        <v>57</v>
      </c>
      <c r="C34" s="56" t="s">
        <v>58</v>
      </c>
      <c r="D34" s="57">
        <v>981463</v>
      </c>
      <c r="E34" s="58" t="s">
        <v>35</v>
      </c>
      <c r="F34" s="59">
        <v>45937</v>
      </c>
      <c r="G34" s="59">
        <v>45944</v>
      </c>
      <c r="H34" s="60">
        <v>1063.7439999979599</v>
      </c>
      <c r="I34" s="60">
        <v>1066.97749031803</v>
      </c>
      <c r="J34" s="61">
        <v>1044025377.47</v>
      </c>
      <c r="K34" s="61">
        <v>1047198928.58</v>
      </c>
      <c r="L34" s="62">
        <v>15.85</v>
      </c>
      <c r="M34" s="63">
        <v>1360093.33</v>
      </c>
      <c r="N34" s="64">
        <v>1045385470.8</v>
      </c>
      <c r="O34" s="52"/>
    </row>
    <row r="35" spans="1:16" ht="26.25" thickBot="1" x14ac:dyDescent="0.3">
      <c r="A35" s="54">
        <v>7</v>
      </c>
      <c r="B35" s="55" t="s">
        <v>59</v>
      </c>
      <c r="C35" s="56" t="s">
        <v>60</v>
      </c>
      <c r="D35" s="57">
        <v>301041</v>
      </c>
      <c r="E35" s="58" t="s">
        <v>35</v>
      </c>
      <c r="F35" s="59">
        <v>45937</v>
      </c>
      <c r="G35" s="59">
        <v>45944</v>
      </c>
      <c r="H35" s="60">
        <v>927.319000003322</v>
      </c>
      <c r="I35" s="60">
        <v>930.13779571553403</v>
      </c>
      <c r="J35" s="61">
        <v>279161039.07999998</v>
      </c>
      <c r="K35" s="61">
        <v>280009612.16000003</v>
      </c>
      <c r="L35" s="62">
        <v>15.85</v>
      </c>
      <c r="M35" s="63">
        <v>363674.18</v>
      </c>
      <c r="N35" s="64">
        <v>279524713.25999999</v>
      </c>
      <c r="O35" s="52"/>
    </row>
    <row r="36" spans="1:16" ht="15.75" thickBot="1" x14ac:dyDescent="0.3">
      <c r="A36" s="65"/>
      <c r="B36" s="66"/>
      <c r="C36" s="67"/>
      <c r="D36" s="68"/>
      <c r="E36" s="69"/>
      <c r="F36" s="70"/>
      <c r="G36" s="70"/>
      <c r="H36" s="69"/>
      <c r="I36" s="69"/>
      <c r="J36" s="71"/>
      <c r="K36" s="69"/>
      <c r="L36" s="72"/>
      <c r="M36" s="73">
        <v>12976544.65</v>
      </c>
      <c r="N36" s="73">
        <v>11971871991.75</v>
      </c>
      <c r="O36" s="107">
        <v>11971871992.112856</v>
      </c>
      <c r="P36" s="108">
        <f>N36-O36</f>
        <v>-0.36285591125488281</v>
      </c>
    </row>
    <row r="37" spans="1:16" ht="18.75" x14ac:dyDescent="0.3">
      <c r="A37" s="42"/>
      <c r="B37" s="43"/>
      <c r="C37" s="44"/>
      <c r="D37" s="44"/>
      <c r="E37" s="45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7.75" thickBot="1" x14ac:dyDescent="0.35">
      <c r="A38" s="76"/>
      <c r="B38" s="77" t="s">
        <v>61</v>
      </c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5.5" x14ac:dyDescent="0.3">
      <c r="A39" s="76"/>
      <c r="B39" s="78" t="s">
        <v>62</v>
      </c>
      <c r="C39" s="78" t="s">
        <v>63</v>
      </c>
      <c r="D39" s="78" t="s">
        <v>39</v>
      </c>
      <c r="E39" s="78" t="s">
        <v>64</v>
      </c>
      <c r="F39" s="78" t="s">
        <v>65</v>
      </c>
      <c r="G39" s="78" t="s">
        <v>66</v>
      </c>
      <c r="H39" s="78" t="s">
        <v>67</v>
      </c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79">
        <v>1</v>
      </c>
      <c r="C40" s="80"/>
      <c r="D40" s="80"/>
      <c r="E40" s="81"/>
      <c r="F40" s="81"/>
      <c r="G40" s="80"/>
      <c r="H40" s="80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  <c r="O41" s="74"/>
    </row>
    <row r="42" spans="1:16" ht="19.5" thickBot="1" x14ac:dyDescent="0.35">
      <c r="A42" s="76"/>
      <c r="B42" s="82" t="s">
        <v>68</v>
      </c>
      <c r="C42" s="98">
        <v>54379023572.606903</v>
      </c>
      <c r="D42" s="109">
        <v>54379023572.606873</v>
      </c>
      <c r="E42" s="110">
        <f>C42-D42</f>
        <v>0</v>
      </c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53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9.5" thickBot="1" x14ac:dyDescent="0.35">
      <c r="A47" s="76"/>
      <c r="B47" s="42" t="s">
        <v>70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25.5" x14ac:dyDescent="0.3">
      <c r="A48" s="76"/>
      <c r="B48" s="78" t="s">
        <v>62</v>
      </c>
      <c r="C48" s="78" t="s">
        <v>63</v>
      </c>
      <c r="D48" s="78" t="s">
        <v>39</v>
      </c>
      <c r="E48" s="78" t="s">
        <v>64</v>
      </c>
      <c r="F48" s="78" t="s">
        <v>65</v>
      </c>
      <c r="G48" s="78" t="s">
        <v>66</v>
      </c>
      <c r="H48" s="78" t="s">
        <v>67</v>
      </c>
      <c r="I48" s="43"/>
      <c r="J48" s="43"/>
      <c r="K48" s="43"/>
      <c r="L48" s="43"/>
      <c r="M48" s="43"/>
      <c r="N48" s="75">
        <v>0</v>
      </c>
    </row>
    <row r="49" spans="1:14" ht="18" x14ac:dyDescent="0.25">
      <c r="A49" s="42"/>
      <c r="B49" s="79">
        <v>1</v>
      </c>
      <c r="C49" s="80"/>
      <c r="D49" s="80"/>
      <c r="E49" s="81"/>
      <c r="F49" s="81"/>
      <c r="G49" s="80"/>
      <c r="H49" s="80"/>
      <c r="I49" s="43"/>
      <c r="J49" s="43"/>
      <c r="K49" s="43"/>
      <c r="L49" s="43"/>
      <c r="M49" s="43"/>
      <c r="N49" s="75">
        <v>0</v>
      </c>
    </row>
    <row r="50" spans="1:14" ht="18.75" x14ac:dyDescent="0.3">
      <c r="A50" s="76"/>
      <c r="B50" s="42"/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42" t="s">
        <v>71</v>
      </c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3" t="s">
        <v>72</v>
      </c>
      <c r="C52" s="83" t="s">
        <v>63</v>
      </c>
      <c r="D52" s="83" t="s">
        <v>73</v>
      </c>
      <c r="E52" s="83" t="s">
        <v>74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4" t="s">
        <v>75</v>
      </c>
      <c r="C53" s="84">
        <v>1</v>
      </c>
      <c r="D53" s="84">
        <v>2</v>
      </c>
      <c r="E53" s="84">
        <v>3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5">
        <v>1</v>
      </c>
      <c r="C54" s="86" t="s">
        <v>76</v>
      </c>
      <c r="D54" s="87"/>
      <c r="E54" s="88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2</v>
      </c>
      <c r="C55" s="90" t="s">
        <v>77</v>
      </c>
      <c r="D55" s="41"/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3</v>
      </c>
      <c r="C56" s="90" t="s">
        <v>78</v>
      </c>
      <c r="D56" s="92">
        <v>223023.4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4</v>
      </c>
      <c r="C57" s="90" t="s">
        <v>79</v>
      </c>
      <c r="D57" s="92">
        <v>24000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5</v>
      </c>
      <c r="C58" s="90" t="s">
        <v>80</v>
      </c>
      <c r="D58" s="93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6</v>
      </c>
      <c r="C59" s="90" t="s">
        <v>81</v>
      </c>
      <c r="D59" s="93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7</v>
      </c>
      <c r="C60" s="90" t="s">
        <v>82</v>
      </c>
      <c r="D60" s="92">
        <v>70288.69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8</v>
      </c>
      <c r="C61" s="90" t="s">
        <v>83</v>
      </c>
      <c r="D61" s="92">
        <v>140700.81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9</v>
      </c>
      <c r="C62" s="90" t="s">
        <v>84</v>
      </c>
      <c r="D62" s="92"/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5.75" x14ac:dyDescent="0.3">
      <c r="A63" s="76"/>
      <c r="B63" s="89">
        <v>10</v>
      </c>
      <c r="C63" s="90" t="s">
        <v>85</v>
      </c>
      <c r="D63" s="92"/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6.5" thickBot="1" x14ac:dyDescent="0.35">
      <c r="A64" s="76"/>
      <c r="B64" s="94">
        <v>11</v>
      </c>
      <c r="C64" s="95" t="s">
        <v>86</v>
      </c>
      <c r="D64" s="96"/>
      <c r="E64" s="97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9.5" thickBot="1" x14ac:dyDescent="0.35">
      <c r="A65" s="76"/>
      <c r="B65" s="102" t="s">
        <v>87</v>
      </c>
      <c r="C65" s="103"/>
      <c r="D65" s="98">
        <v>458012.9</v>
      </c>
      <c r="E65" s="99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5.75" thickBot="1" x14ac:dyDescent="0.3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  <row r="67" spans="1:14" ht="15.75" thickBot="1" x14ac:dyDescent="0.3">
      <c r="A67" s="74"/>
      <c r="B67" s="100" t="s">
        <v>88</v>
      </c>
      <c r="C67" s="101">
        <v>54378565559.706902</v>
      </c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</sheetData>
  <mergeCells count="1">
    <mergeCell ref="B65:C6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2025-10-13T12:48:33Z</dcterms:created>
  <dcterms:modified xsi:type="dcterms:W3CDTF">2025-10-13T13:14:57Z</dcterms:modified>
</cp:coreProperties>
</file>