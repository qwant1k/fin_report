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9EF2E9CD-E687-4F72-B3E6-2B2FC2B77AB7}" xr6:coauthVersionLast="47" xr6:coauthVersionMax="47" xr10:uidLastSave="{00000000-0000-0000-0000-000000000000}"/>
  <bookViews>
    <workbookView xWindow="-120" yWindow="-120" windowWidth="29040" windowHeight="15720" xr2:uid="{499F419B-D32D-4A0E-9407-91EDD49ECB6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1" l="1"/>
  <c r="P31" i="1"/>
  <c r="P22" i="1"/>
  <c r="F24" i="1"/>
</calcChain>
</file>

<file path=xl/sharedStrings.xml><?xml version="1.0" encoding="utf-8"?>
<sst xmlns="http://schemas.openxmlformats.org/spreadsheetml/2006/main" count="112" uniqueCount="83">
  <si>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</si>
  <si>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</si>
  <si>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</si>
  <si>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</si>
  <si>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</si>
  <si>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</si>
  <si>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</si>
  <si>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</si>
  <si>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</si>
  <si>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</si>
  <si>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</si>
  <si>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</si>
  <si>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</si>
  <si>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</si>
  <si>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</si>
  <si>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</si>
  <si>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</si>
  <si>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</si>
  <si>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</si>
  <si>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</si>
  <si>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</si>
  <si>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</si>
  <si>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</si>
  <si>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</si>
  <si>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</si>
  <si>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</si>
  <si>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</si>
  <si>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</si>
  <si>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</si>
  <si>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</si>
  <si>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</si>
  <si>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</si>
  <si>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</si>
  <si>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</si>
  <si>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</si>
  <si>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</si>
  <si>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</si>
  <si>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</si>
  <si>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</si>
  <si>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</si>
  <si>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</si>
  <si>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</si>
  <si>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</si>
  <si>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</si>
  <si>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</si>
  <si>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</si>
  <si>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</si>
  <si>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</si>
  <si>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</si>
  <si>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международные облигации Европейский банк реконструкции и развития, Репо</t>
  </si>
  <si>
    <t>XS2774403690</t>
  </si>
  <si>
    <t>Купонные облигации МЕОКАМ Министерство Финансов Республики Казахстан, Репо</t>
  </si>
  <si>
    <t>KZK200000737</t>
  </si>
  <si>
    <t>Купонные облигации МЕОКАМ  Министерство Финансов Республики Казахстан, Репо</t>
  </si>
  <si>
    <t>KZK200000679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</si>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</sst>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DC66837F-16D8-4413-8774-FF36456DA5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A361-4F20-4FA0-915C-A9826EF993E6}">
  <dimension ref="A1:P62"/>
  <sheetViews>
    <sheetView tabSelected="1" topLeftCell="A22" workbookViewId="0">
      <selection activeCell="E38" sqref="E3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45904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85.023499999999999</v>
      </c>
      <c r="K7" s="21">
        <v>87.417749999999998</v>
      </c>
      <c r="L7" s="21">
        <v>149640625</v>
      </c>
      <c r="M7" s="21">
        <v>5463609375</v>
      </c>
      <c r="N7" s="25">
        <v>13.083925793252838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97.912099999999995</v>
      </c>
      <c r="K8" s="21">
        <v>99.186572222222196</v>
      </c>
      <c r="L8" s="21">
        <v>63723611.111111097</v>
      </c>
      <c r="M8" s="21">
        <v>4959328611.1111097</v>
      </c>
      <c r="N8" s="25">
        <v>11.876304303349499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86.768000000000001</v>
      </c>
      <c r="K9" s="21">
        <v>90.870222222222196</v>
      </c>
      <c r="L9" s="21">
        <v>153833333.33333299</v>
      </c>
      <c r="M9" s="21">
        <v>3407633333.3333302</v>
      </c>
      <c r="N9" s="25">
        <v>8.1603970203210494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84.800700000000006</v>
      </c>
      <c r="K10" s="21">
        <v>89.506255555555597</v>
      </c>
      <c r="L10" s="21">
        <v>176458333.33333299</v>
      </c>
      <c r="M10" s="21">
        <v>3356484583.3333302</v>
      </c>
      <c r="N10" s="25">
        <v>8.0379090451594593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82.788300000000007</v>
      </c>
      <c r="K11" s="21">
        <v>83.843299999999999</v>
      </c>
      <c r="L11" s="21">
        <v>39562500</v>
      </c>
      <c r="M11" s="21">
        <v>3144123750</v>
      </c>
      <c r="N11" s="25">
        <v>7.52935999012628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77.361800000000002</v>
      </c>
      <c r="K12" s="21">
        <v>82.139855555555599</v>
      </c>
      <c r="L12" s="21">
        <v>179177083.33333299</v>
      </c>
      <c r="M12" s="21">
        <v>3080244583.3333302</v>
      </c>
      <c r="N12" s="25">
        <v>7.3763859725792198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67.838200000000001</v>
      </c>
      <c r="K13" s="21">
        <v>71.077366666666705</v>
      </c>
      <c r="L13" s="21">
        <v>121468750</v>
      </c>
      <c r="M13" s="21">
        <v>2665401250</v>
      </c>
      <c r="N13" s="25">
        <v>6.3829439058760196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75.771600000000007</v>
      </c>
      <c r="K14" s="21">
        <v>76.895766666666702</v>
      </c>
      <c r="L14" s="21">
        <v>42156250</v>
      </c>
      <c r="M14" s="21">
        <v>2883591250</v>
      </c>
      <c r="N14" s="25">
        <v>6.9054523014967897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61.373100000000001</v>
      </c>
      <c r="K15" s="21">
        <v>63.883766666666702</v>
      </c>
      <c r="L15" s="21">
        <v>94150000</v>
      </c>
      <c r="M15" s="21">
        <v>2395641250</v>
      </c>
      <c r="N15" s="25">
        <v>5.7369387507238203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59.925800000000002</v>
      </c>
      <c r="K16" s="21">
        <v>64.745383333333294</v>
      </c>
      <c r="L16" s="21">
        <v>180734375</v>
      </c>
      <c r="M16" s="21">
        <v>2427951875</v>
      </c>
      <c r="N16" s="25">
        <v>5.81431430794576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85.1751</v>
      </c>
      <c r="K17" s="21">
        <v>91.075100000000006</v>
      </c>
      <c r="L17" s="21">
        <v>118000000</v>
      </c>
      <c r="M17" s="21">
        <v>1821502000</v>
      </c>
      <c r="N17" s="25">
        <v>4.3620243257712099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85.1751</v>
      </c>
      <c r="K18" s="21">
        <v>91.075100000000006</v>
      </c>
      <c r="L18" s="21">
        <v>177000000</v>
      </c>
      <c r="M18" s="21">
        <v>2732253000</v>
      </c>
      <c r="N18" s="25">
        <v>6.54303648865681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82.788300000000007</v>
      </c>
      <c r="K19" s="21">
        <v>83.843299999999999</v>
      </c>
      <c r="L19" s="21">
        <v>10550000</v>
      </c>
      <c r="M19" s="21">
        <v>838433000</v>
      </c>
      <c r="N19" s="25">
        <v>2.0078293307003401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70.655600000000007</v>
      </c>
      <c r="K20" s="21">
        <v>70.9251</v>
      </c>
      <c r="L20" s="21">
        <v>2695000</v>
      </c>
      <c r="M20" s="21">
        <v>709251000</v>
      </c>
      <c r="N20" s="25">
        <v>1.6984719836033999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93.5968695691991</v>
      </c>
      <c r="K21" s="21">
        <v>93.636591791421395</v>
      </c>
      <c r="L21" s="21">
        <v>794444.44444444496</v>
      </c>
      <c r="M21" s="21">
        <v>1872731835.8284299</v>
      </c>
      <c r="N21" s="25">
        <v>4.4847064804374499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1509944305.5555601</v>
      </c>
      <c r="M22" s="35">
        <v>41758180696.939499</v>
      </c>
      <c r="N22" s="36">
        <v>100</v>
      </c>
      <c r="O22" s="41">
        <v>41758180696.939537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116756.32</v>
      </c>
      <c r="E24" s="104">
        <v>116756.32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12628720</v>
      </c>
      <c r="E28" s="57" t="s">
        <v>35</v>
      </c>
      <c r="F28" s="58">
        <v>45904</v>
      </c>
      <c r="G28" s="58">
        <v>45905</v>
      </c>
      <c r="H28" s="59">
        <v>1.0294000001583692</v>
      </c>
      <c r="I28" s="59">
        <v>1.0298427829582095</v>
      </c>
      <c r="J28" s="60">
        <v>13000004.369999999</v>
      </c>
      <c r="K28" s="60">
        <v>13005596.15</v>
      </c>
      <c r="L28" s="61">
        <v>15.7</v>
      </c>
      <c r="M28" s="62">
        <v>0</v>
      </c>
      <c r="N28" s="63">
        <v>13000004.369999999</v>
      </c>
      <c r="O28" s="51"/>
    </row>
    <row r="29" spans="1:16" ht="39" thickBot="1" x14ac:dyDescent="0.3">
      <c r="A29" s="53">
        <v>2</v>
      </c>
      <c r="B29" s="54" t="s">
        <v>51</v>
      </c>
      <c r="C29" s="55" t="s">
        <v>52</v>
      </c>
      <c r="D29" s="56">
        <v>2008500</v>
      </c>
      <c r="E29" s="57" t="s">
        <v>35</v>
      </c>
      <c r="F29" s="58">
        <v>45904</v>
      </c>
      <c r="G29" s="58">
        <v>45905</v>
      </c>
      <c r="H29" s="59">
        <v>1025.934</v>
      </c>
      <c r="I29" s="59">
        <v>1026.37388677122</v>
      </c>
      <c r="J29" s="60">
        <v>2060588439</v>
      </c>
      <c r="K29" s="60">
        <v>2061471951.5799999</v>
      </c>
      <c r="L29" s="61">
        <v>15.65</v>
      </c>
      <c r="M29" s="62">
        <v>0</v>
      </c>
      <c r="N29" s="63">
        <v>2060588439</v>
      </c>
      <c r="O29" s="51"/>
    </row>
    <row r="30" spans="1:16" ht="39" thickBot="1" x14ac:dyDescent="0.3">
      <c r="A30" s="53">
        <v>3</v>
      </c>
      <c r="B30" s="54" t="s">
        <v>53</v>
      </c>
      <c r="C30" s="55" t="s">
        <v>54</v>
      </c>
      <c r="D30" s="56">
        <v>9777086</v>
      </c>
      <c r="E30" s="57" t="s">
        <v>35</v>
      </c>
      <c r="F30" s="58">
        <v>45895</v>
      </c>
      <c r="G30" s="58">
        <v>45909</v>
      </c>
      <c r="H30" s="59">
        <v>960.41399999959106</v>
      </c>
      <c r="I30" s="59">
        <v>966.25279086529497</v>
      </c>
      <c r="J30" s="60">
        <v>9390050273.6000004</v>
      </c>
      <c r="K30" s="60">
        <v>9447136634.0300007</v>
      </c>
      <c r="L30" s="61">
        <v>15.85</v>
      </c>
      <c r="M30" s="62">
        <v>36698374.560000002</v>
      </c>
      <c r="N30" s="63">
        <v>9426748648.1599998</v>
      </c>
      <c r="O30" s="51"/>
    </row>
    <row r="31" spans="1:16" ht="15.75" thickBot="1" x14ac:dyDescent="0.3">
      <c r="A31" s="64"/>
      <c r="B31" s="65"/>
      <c r="C31" s="66"/>
      <c r="D31" s="67"/>
      <c r="E31" s="68"/>
      <c r="F31" s="69"/>
      <c r="G31" s="69"/>
      <c r="H31" s="68"/>
      <c r="I31" s="68"/>
      <c r="J31" s="70"/>
      <c r="K31" s="68"/>
      <c r="L31" s="71"/>
      <c r="M31" s="72">
        <v>36698374.560000002</v>
      </c>
      <c r="N31" s="72">
        <v>11500337091.530001</v>
      </c>
      <c r="O31" s="107">
        <v>11500337091.532145</v>
      </c>
      <c r="P31" s="108">
        <f>N31-O31</f>
        <v>-2.14385986328125E-3</v>
      </c>
    </row>
    <row r="32" spans="1:16" ht="18.75" x14ac:dyDescent="0.3">
      <c r="A32" s="42"/>
      <c r="B32" s="43"/>
      <c r="C32" s="44"/>
      <c r="D32" s="44"/>
      <c r="E32" s="45"/>
      <c r="F32" s="42"/>
      <c r="G32" s="43"/>
      <c r="H32" s="43"/>
      <c r="I32" s="43"/>
      <c r="J32" s="43"/>
      <c r="K32" s="43"/>
      <c r="L32" s="43"/>
      <c r="M32" s="43"/>
      <c r="N32" s="74">
        <v>0</v>
      </c>
      <c r="O32" s="73"/>
    </row>
    <row r="33" spans="1:15" ht="27.75" thickBot="1" x14ac:dyDescent="0.35">
      <c r="A33" s="75"/>
      <c r="B33" s="76" t="s">
        <v>55</v>
      </c>
      <c r="C33" s="43"/>
      <c r="D33" s="43"/>
      <c r="E33" s="42"/>
      <c r="F33" s="42"/>
      <c r="G33" s="43"/>
      <c r="H33" s="43"/>
      <c r="I33" s="43"/>
      <c r="J33" s="43"/>
      <c r="K33" s="43"/>
      <c r="L33" s="43"/>
      <c r="M33" s="43"/>
      <c r="N33" s="74">
        <v>0</v>
      </c>
      <c r="O33" s="73"/>
    </row>
    <row r="34" spans="1:15" ht="25.5" x14ac:dyDescent="0.3">
      <c r="A34" s="75"/>
      <c r="B34" s="77" t="s">
        <v>56</v>
      </c>
      <c r="C34" s="77" t="s">
        <v>57</v>
      </c>
      <c r="D34" s="77" t="s">
        <v>39</v>
      </c>
      <c r="E34" s="77" t="s">
        <v>58</v>
      </c>
      <c r="F34" s="77" t="s">
        <v>59</v>
      </c>
      <c r="G34" s="77" t="s">
        <v>60</v>
      </c>
      <c r="H34" s="77" t="s">
        <v>61</v>
      </c>
      <c r="I34" s="43"/>
      <c r="J34" s="43"/>
      <c r="K34" s="43"/>
      <c r="L34" s="43"/>
      <c r="M34" s="43"/>
      <c r="N34" s="74">
        <v>0</v>
      </c>
      <c r="O34" s="73"/>
    </row>
    <row r="35" spans="1:15" ht="18.75" x14ac:dyDescent="0.3">
      <c r="A35" s="75"/>
      <c r="B35" s="78">
        <v>1</v>
      </c>
      <c r="C35" s="79"/>
      <c r="D35" s="79"/>
      <c r="E35" s="80"/>
      <c r="F35" s="80"/>
      <c r="G35" s="79"/>
      <c r="H35" s="79"/>
      <c r="I35" s="43"/>
      <c r="J35" s="43"/>
      <c r="K35" s="43"/>
      <c r="L35" s="43"/>
      <c r="M35" s="43"/>
      <c r="N35" s="74">
        <v>0</v>
      </c>
      <c r="O35" s="73"/>
    </row>
    <row r="36" spans="1:15" ht="19.5" thickBot="1" x14ac:dyDescent="0.35">
      <c r="A36" s="75"/>
      <c r="B36" s="42"/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5" ht="19.5" thickBot="1" x14ac:dyDescent="0.35">
      <c r="A37" s="75"/>
      <c r="B37" s="81" t="s">
        <v>62</v>
      </c>
      <c r="C37" s="100">
        <v>53544634544.791702</v>
      </c>
      <c r="D37" s="109">
        <v>53544634544.791679</v>
      </c>
      <c r="E37" s="110">
        <f>C37-D37</f>
        <v>0</v>
      </c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18.75" x14ac:dyDescent="0.3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18.75" x14ac:dyDescent="0.3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52" t="s">
        <v>63</v>
      </c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5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9.5" thickBot="1" x14ac:dyDescent="0.35">
      <c r="A42" s="75"/>
      <c r="B42" s="42" t="s">
        <v>64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25.5" x14ac:dyDescent="0.3">
      <c r="A43" s="75"/>
      <c r="B43" s="77" t="s">
        <v>56</v>
      </c>
      <c r="C43" s="77" t="s">
        <v>57</v>
      </c>
      <c r="D43" s="77" t="s">
        <v>39</v>
      </c>
      <c r="E43" s="77" t="s">
        <v>58</v>
      </c>
      <c r="F43" s="77" t="s">
        <v>59</v>
      </c>
      <c r="G43" s="77" t="s">
        <v>60</v>
      </c>
      <c r="H43" s="77" t="s">
        <v>61</v>
      </c>
      <c r="I43" s="43"/>
      <c r="J43" s="43"/>
      <c r="K43" s="43"/>
      <c r="L43" s="43"/>
      <c r="M43" s="43"/>
      <c r="N43" s="74">
        <v>0</v>
      </c>
    </row>
    <row r="44" spans="1:15" ht="18" x14ac:dyDescent="0.25">
      <c r="A44" s="42"/>
      <c r="B44" s="78">
        <v>1</v>
      </c>
      <c r="C44" s="79"/>
      <c r="D44" s="79"/>
      <c r="E44" s="80"/>
      <c r="F44" s="80"/>
      <c r="G44" s="79"/>
      <c r="H44" s="79"/>
      <c r="I44" s="43"/>
      <c r="J44" s="43"/>
      <c r="K44" s="43"/>
      <c r="L44" s="43"/>
      <c r="M44" s="43"/>
      <c r="N44" s="74">
        <v>0</v>
      </c>
    </row>
    <row r="45" spans="1:15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5" ht="19.5" thickBot="1" x14ac:dyDescent="0.35">
      <c r="A46" s="75"/>
      <c r="B46" s="42" t="s">
        <v>65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82" t="s">
        <v>66</v>
      </c>
      <c r="C47" s="82" t="s">
        <v>57</v>
      </c>
      <c r="D47" s="82" t="s">
        <v>67</v>
      </c>
      <c r="E47" s="82" t="s">
        <v>68</v>
      </c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19.5" thickBot="1" x14ac:dyDescent="0.35">
      <c r="A48" s="75"/>
      <c r="B48" s="83" t="s">
        <v>69</v>
      </c>
      <c r="C48" s="83">
        <v>1</v>
      </c>
      <c r="D48" s="83">
        <v>2</v>
      </c>
      <c r="E48" s="83">
        <v>3</v>
      </c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30.75" x14ac:dyDescent="0.3">
      <c r="A49" s="75"/>
      <c r="B49" s="84">
        <v>1</v>
      </c>
      <c r="C49" s="85" t="s">
        <v>70</v>
      </c>
      <c r="D49" s="86"/>
      <c r="E49" s="87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30.75" x14ac:dyDescent="0.3">
      <c r="A50" s="75"/>
      <c r="B50" s="88">
        <v>2</v>
      </c>
      <c r="C50" s="89" t="s">
        <v>71</v>
      </c>
      <c r="D50" s="41"/>
      <c r="E50" s="90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8">
        <v>3</v>
      </c>
      <c r="C51" s="89" t="s">
        <v>72</v>
      </c>
      <c r="D51" s="91">
        <v>87877.91</v>
      </c>
      <c r="E51" s="90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4</v>
      </c>
      <c r="C52" s="89" t="s">
        <v>73</v>
      </c>
      <c r="D52" s="91">
        <v>16000</v>
      </c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5</v>
      </c>
      <c r="C53" s="89" t="s">
        <v>74</v>
      </c>
      <c r="D53" s="92">
        <v>0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6</v>
      </c>
      <c r="C54" s="89" t="s">
        <v>75</v>
      </c>
      <c r="D54" s="92">
        <v>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18.75" x14ac:dyDescent="0.3">
      <c r="A55" s="75"/>
      <c r="B55" s="88">
        <v>7</v>
      </c>
      <c r="C55" s="89" t="s">
        <v>76</v>
      </c>
      <c r="D55" s="91">
        <v>4663.1099999999997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18.75" x14ac:dyDescent="0.3">
      <c r="A56" s="75"/>
      <c r="B56" s="88">
        <v>8</v>
      </c>
      <c r="C56" s="89" t="s">
        <v>77</v>
      </c>
      <c r="D56" s="91">
        <v>9385.65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9</v>
      </c>
      <c r="C57" s="89" t="s">
        <v>78</v>
      </c>
      <c r="D57" s="91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45.75" x14ac:dyDescent="0.3">
      <c r="A58" s="75"/>
      <c r="B58" s="88">
        <v>10</v>
      </c>
      <c r="C58" s="89" t="s">
        <v>79</v>
      </c>
      <c r="D58" s="91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46.5" thickBot="1" x14ac:dyDescent="0.35">
      <c r="A59" s="75"/>
      <c r="B59" s="93">
        <v>11</v>
      </c>
      <c r="C59" s="94" t="s">
        <v>80</v>
      </c>
      <c r="D59" s="95">
        <v>0</v>
      </c>
      <c r="E59" s="96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9.5" thickBot="1" x14ac:dyDescent="0.35">
      <c r="A60" s="75"/>
      <c r="B60" s="102" t="s">
        <v>81</v>
      </c>
      <c r="C60" s="103"/>
      <c r="D60" s="97">
        <v>117926.67</v>
      </c>
      <c r="E60" s="98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5.75" thickBot="1" x14ac:dyDescent="0.3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</row>
    <row r="62" spans="1:14" ht="15.75" thickBot="1" x14ac:dyDescent="0.3">
      <c r="A62" s="73"/>
      <c r="B62" s="99" t="s">
        <v>82</v>
      </c>
      <c r="C62" s="101">
        <v>53544516618.121696</v>
      </c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</row>
  </sheetData>
  <mergeCells count="1">
    <mergeCell ref="B60:C60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2025-09-05T06:01:44Z</dcterms:created>
  <dcterms:modified xsi:type="dcterms:W3CDTF">2025-09-05T09:42:50Z</dcterms:modified>
</cp:coreProperties>
</file>