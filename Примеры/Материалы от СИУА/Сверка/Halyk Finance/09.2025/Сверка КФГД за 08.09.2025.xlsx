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08FE436C-A1AF-4E6B-B3ED-E3F67837BFBF}" xr6:coauthVersionLast="47" xr6:coauthVersionMax="47" xr10:uidLastSave="{00000000-0000-0000-0000-000000000000}"/>
  <bookViews>
    <workbookView xWindow="-120" yWindow="-120" windowWidth="29040" windowHeight="15720" xr2:uid="{AF784DD6-C89A-47E7-9D79-18DAA128C2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J36" i="1"/>
  <c r="P32" i="1"/>
  <c r="P22" i="1"/>
  <c r="F24" i="1"/>
</calcChain>
</file>

<file path=xl/sharedStrings.xml><?xml version="1.0" encoding="utf-8"?>
<sst xmlns="http://schemas.openxmlformats.org/spreadsheetml/2006/main" count="114" uniqueCount="81">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</sst>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#,##0.0"/>
    <numFmt numFmtId="172" formatCode="_-* #,##0.00\ _₸_-;\-* #,##0.00\ _₸_-;_-* &quot;-&quot;??\ _₸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2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2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2" applyFont="1" applyBorder="1"/>
    <xf numFmtId="43" fontId="0" fillId="0" borderId="2" xfId="2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2" applyFont="1" applyBorder="1"/>
    <xf numFmtId="0" fontId="0" fillId="0" borderId="11" xfId="0" applyBorder="1"/>
    <xf numFmtId="43" fontId="0" fillId="0" borderId="1" xfId="2" applyFont="1" applyBorder="1"/>
    <xf numFmtId="0" fontId="0" fillId="0" borderId="1" xfId="0" applyBorder="1"/>
    <xf numFmtId="0" fontId="10" fillId="6" borderId="1" xfId="0" applyFont="1" applyFill="1" applyBorder="1"/>
    <xf numFmtId="4" fontId="18" fillId="0" borderId="1" xfId="0" applyNumberFormat="1" applyFont="1" applyBorder="1"/>
    <xf numFmtId="166" fontId="0" fillId="0" borderId="1" xfId="0" applyNumberFormat="1" applyBorder="1"/>
    <xf numFmtId="170" fontId="7" fillId="0" borderId="0" xfId="0" applyNumberFormat="1" applyFont="1"/>
    <xf numFmtId="0" fontId="7" fillId="0" borderId="2" xfId="0" applyFont="1" applyBorder="1" applyAlignment="1">
      <alignment horizontal="left"/>
    </xf>
    <xf numFmtId="0" fontId="18" fillId="0" borderId="2" xfId="0" applyFont="1" applyBorder="1"/>
    <xf numFmtId="14" fontId="11" fillId="0" borderId="2" xfId="0" applyNumberFormat="1" applyFont="1" applyBorder="1"/>
    <xf numFmtId="4" fontId="11" fillId="0" borderId="2" xfId="0" applyNumberFormat="1" applyFont="1" applyBorder="1"/>
    <xf numFmtId="4" fontId="18" fillId="0" borderId="2" xfId="0" applyNumberFormat="1" applyFont="1" applyBorder="1"/>
    <xf numFmtId="43" fontId="18" fillId="0" borderId="2" xfId="2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72" fontId="8" fillId="0" borderId="0" xfId="0" applyNumberFormat="1" applyFont="1"/>
    <xf numFmtId="171" fontId="18" fillId="0" borderId="0" xfId="1" applyNumberFormat="1" applyFont="1"/>
  </cellXfs>
  <cellStyles count="11">
    <cellStyle name="Normal_Корпоративные облигации" xfId="4" xr:uid="{560F31F7-FC95-4E51-B486-457326D34A76}"/>
    <cellStyle name="Обычный" xfId="0" builtinId="0"/>
    <cellStyle name="Обычный 2" xfId="5" xr:uid="{AF38FDDD-8C07-47DE-BFC7-67DDD4FCF229}"/>
    <cellStyle name="Обычный 3" xfId="6" xr:uid="{D68495AB-99EB-4F08-9A09-0E40DAAF56C3}"/>
    <cellStyle name="Обычный 4" xfId="7" xr:uid="{7208166B-BF81-4B54-A3AD-DCD6B0EBEA05}"/>
    <cellStyle name="Обычный 5" xfId="8" xr:uid="{771721DE-5133-4EAD-90F2-08D050160F48}"/>
    <cellStyle name="Обычный 6" xfId="9" xr:uid="{CBC5802A-E9EB-457E-85D3-3DE46DDBE5AA}"/>
    <cellStyle name="Обычный 7" xfId="10" xr:uid="{C60E0352-65A4-474A-B905-22D4163FB18F}"/>
    <cellStyle name="Финансовый" xfId="1" builtinId="3"/>
    <cellStyle name="Финансовый 2" xfId="2" xr:uid="{6DE84D6D-CE9F-42C4-A7D6-A21A05494FE5}"/>
    <cellStyle name="Финансовый 3" xfId="3" xr:uid="{3E443425-5CB4-41EB-AE55-F8E39C46E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00FC-4FFB-4D71-8AF2-6519E7623D0D}">
  <dimension ref="A1:P65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7.42578125" customWidth="1"/>
    <col min="5" max="5" width="15.85546875" customWidth="1"/>
    <col min="6" max="6" width="12.85546875" customWidth="1"/>
    <col min="7" max="7" width="13.85546875" bestFit="1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85.261799999999994</v>
      </c>
      <c r="K7" s="21">
        <v>87.71705</v>
      </c>
      <c r="L7" s="21">
        <v>153453125.00000003</v>
      </c>
      <c r="M7" s="21">
        <v>5482315625</v>
      </c>
      <c r="N7" s="25">
        <v>13.09145319051845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97.924599999999998</v>
      </c>
      <c r="K8" s="21">
        <v>99.317627777777801</v>
      </c>
      <c r="L8" s="21">
        <v>69651388.888888896</v>
      </c>
      <c r="M8" s="21">
        <v>4965881388.8888903</v>
      </c>
      <c r="N8" s="25">
        <v>11.8582380510618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86.962400000000002</v>
      </c>
      <c r="K9" s="21">
        <v>91.1801777777778</v>
      </c>
      <c r="L9" s="21">
        <v>158166666.66666701</v>
      </c>
      <c r="M9" s="21">
        <v>3419256666.6666698</v>
      </c>
      <c r="N9" s="25">
        <v>8.1649875089114108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84.967699999999994</v>
      </c>
      <c r="K10" s="21">
        <v>89.795477777777805</v>
      </c>
      <c r="L10" s="21">
        <v>181041666.66666701</v>
      </c>
      <c r="M10" s="21">
        <v>3367330416.6666698</v>
      </c>
      <c r="N10" s="25">
        <v>8.0409906218780804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82.945999999999998</v>
      </c>
      <c r="K11" s="21">
        <v>84.118222222222201</v>
      </c>
      <c r="L11" s="21">
        <v>43958333.333333299</v>
      </c>
      <c r="M11" s="21">
        <v>3154433333.3333302</v>
      </c>
      <c r="N11" s="25">
        <v>7.5326046785101699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77.487799999999993</v>
      </c>
      <c r="K12" s="21">
        <v>82.380300000000005</v>
      </c>
      <c r="L12" s="21">
        <v>183468750</v>
      </c>
      <c r="M12" s="21">
        <v>3089261250</v>
      </c>
      <c r="N12" s="25">
        <v>7.3769775062262104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67.943600000000004</v>
      </c>
      <c r="K13" s="21">
        <v>71.276655555555607</v>
      </c>
      <c r="L13" s="21">
        <v>124989583.333333</v>
      </c>
      <c r="M13" s="21">
        <v>2672874583.3333302</v>
      </c>
      <c r="N13" s="25">
        <v>6.3826701863475499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75.873900000000006</v>
      </c>
      <c r="K14" s="21">
        <v>77.116399999999999</v>
      </c>
      <c r="L14" s="21">
        <v>46593750</v>
      </c>
      <c r="M14" s="21">
        <v>2891865000</v>
      </c>
      <c r="N14" s="25">
        <v>6.9056066579163202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61.449399999999997</v>
      </c>
      <c r="K15" s="21">
        <v>64.049733333333293</v>
      </c>
      <c r="L15" s="21">
        <v>97512500</v>
      </c>
      <c r="M15" s="21">
        <v>2401865000</v>
      </c>
      <c r="N15" s="25">
        <v>5.7355149481100201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59.996299999999998</v>
      </c>
      <c r="K16" s="21">
        <v>64.905550000000005</v>
      </c>
      <c r="L16" s="21">
        <v>184096875</v>
      </c>
      <c r="M16" s="21">
        <v>2433958125</v>
      </c>
      <c r="N16" s="25">
        <v>5.8121514777105796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85.320300000000003</v>
      </c>
      <c r="K17" s="21">
        <v>91.353633333333306</v>
      </c>
      <c r="L17" s="21">
        <v>120666666.666667</v>
      </c>
      <c r="M17" s="21">
        <v>1827072666.6666701</v>
      </c>
      <c r="N17" s="25">
        <v>4.3629440417966396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85.320300000000003</v>
      </c>
      <c r="K18" s="21">
        <v>91.353633333333306</v>
      </c>
      <c r="L18" s="21">
        <v>181000000</v>
      </c>
      <c r="M18" s="21">
        <v>2740609000</v>
      </c>
      <c r="N18" s="25">
        <v>6.5444160626949603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82.945999999999998</v>
      </c>
      <c r="K19" s="21">
        <v>84.118222222222201</v>
      </c>
      <c r="L19" s="21">
        <v>11722222.2222222</v>
      </c>
      <c r="M19" s="21">
        <v>841182222.22222197</v>
      </c>
      <c r="N19" s="25">
        <v>2.0086945809360501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70.718000000000004</v>
      </c>
      <c r="K20" s="21">
        <v>71.107277777777796</v>
      </c>
      <c r="L20" s="21">
        <v>3892777.7777777798</v>
      </c>
      <c r="M20" s="21">
        <v>711072777.77777803</v>
      </c>
      <c r="N20" s="25">
        <v>1.69800073948309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93.705454615247106</v>
      </c>
      <c r="K21" s="21">
        <v>93.904065726358198</v>
      </c>
      <c r="L21" s="21">
        <v>3972222.2222222202</v>
      </c>
      <c r="M21" s="21">
        <v>1878081314.5271599</v>
      </c>
      <c r="N21" s="25">
        <v>4.4847497478986798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1564186527.7777801</v>
      </c>
      <c r="M22" s="35">
        <v>41877059370.082703</v>
      </c>
      <c r="N22" s="36">
        <v>100</v>
      </c>
      <c r="O22" s="41">
        <v>41877059370.08271</v>
      </c>
      <c r="P22" s="114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807522.03</v>
      </c>
      <c r="E24" s="112">
        <v>807522.03</v>
      </c>
      <c r="F24" s="113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22272</v>
      </c>
      <c r="E29" s="58" t="s">
        <v>35</v>
      </c>
      <c r="F29" s="59">
        <v>45908</v>
      </c>
      <c r="G29" s="59">
        <v>45909</v>
      </c>
      <c r="H29" s="60">
        <v>538.92610003591949</v>
      </c>
      <c r="I29" s="60">
        <v>539.16086521192528</v>
      </c>
      <c r="J29" s="61">
        <v>12002962.1</v>
      </c>
      <c r="K29" s="61">
        <v>12008190.789999999</v>
      </c>
      <c r="L29" s="62">
        <v>15.9</v>
      </c>
      <c r="M29" s="63">
        <v>0</v>
      </c>
      <c r="N29" s="64">
        <v>12002962.1</v>
      </c>
      <c r="O29" s="52"/>
    </row>
    <row r="30" spans="1:16" ht="26.25" thickBot="1" x14ac:dyDescent="0.3">
      <c r="A30" s="54">
        <v>2</v>
      </c>
      <c r="B30" s="55" t="s">
        <v>49</v>
      </c>
      <c r="C30" s="56" t="s">
        <v>50</v>
      </c>
      <c r="D30" s="57">
        <v>3830784</v>
      </c>
      <c r="E30" s="58" t="s">
        <v>35</v>
      </c>
      <c r="F30" s="59">
        <v>45908</v>
      </c>
      <c r="G30" s="59">
        <v>45909</v>
      </c>
      <c r="H30" s="60">
        <v>538.92609999937304</v>
      </c>
      <c r="I30" s="60">
        <v>539.160865068352</v>
      </c>
      <c r="J30" s="61">
        <v>2064509481.0599999</v>
      </c>
      <c r="K30" s="61">
        <v>2065408815.3299999</v>
      </c>
      <c r="L30" s="62">
        <v>15.9</v>
      </c>
      <c r="M30" s="63">
        <v>0</v>
      </c>
      <c r="N30" s="64">
        <v>2064509481.0599999</v>
      </c>
      <c r="O30" s="52"/>
    </row>
    <row r="31" spans="1:16" ht="39" thickBot="1" x14ac:dyDescent="0.3">
      <c r="A31" s="54">
        <v>3</v>
      </c>
      <c r="B31" s="55" t="s">
        <v>51</v>
      </c>
      <c r="C31" s="56" t="s">
        <v>52</v>
      </c>
      <c r="D31" s="57">
        <v>9777086</v>
      </c>
      <c r="E31" s="58" t="s">
        <v>35</v>
      </c>
      <c r="F31" s="59">
        <v>45895</v>
      </c>
      <c r="G31" s="59">
        <v>45909</v>
      </c>
      <c r="H31" s="60">
        <v>960.41399999959106</v>
      </c>
      <c r="I31" s="60">
        <v>966.25279086529497</v>
      </c>
      <c r="J31" s="61">
        <v>9390050273.6000004</v>
      </c>
      <c r="K31" s="61">
        <v>9447136634.0300007</v>
      </c>
      <c r="L31" s="62">
        <v>15.85</v>
      </c>
      <c r="M31" s="63">
        <v>53008763.259999998</v>
      </c>
      <c r="N31" s="64">
        <v>9443059036.8600006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53008763.259999998</v>
      </c>
      <c r="N32" s="73">
        <v>11519571480.02</v>
      </c>
      <c r="O32" s="115">
        <v>11519571480.01643</v>
      </c>
      <c r="P32" s="116">
        <f>N32-O32</f>
        <v>3.570556640625E-3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54</v>
      </c>
      <c r="C35" s="78" t="s">
        <v>55</v>
      </c>
      <c r="D35" s="78" t="s">
        <v>39</v>
      </c>
      <c r="E35" s="78" t="s">
        <v>56</v>
      </c>
      <c r="F35" s="78" t="s">
        <v>57</v>
      </c>
      <c r="G35" s="78" t="s">
        <v>58</v>
      </c>
      <c r="H35" s="78" t="s">
        <v>59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104">
        <v>1</v>
      </c>
      <c r="C36" s="105" t="s">
        <v>32</v>
      </c>
      <c r="D36" s="105" t="s">
        <v>35</v>
      </c>
      <c r="E36" s="106">
        <v>45903</v>
      </c>
      <c r="F36" s="107">
        <v>2000000000</v>
      </c>
      <c r="G36" s="108">
        <v>286000000</v>
      </c>
      <c r="H36" s="109">
        <v>286000000</v>
      </c>
      <c r="I36" s="117">
        <v>286000000</v>
      </c>
      <c r="J36" s="118">
        <f>H36-I36</f>
        <v>0</v>
      </c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60</v>
      </c>
      <c r="C38" s="101">
        <v>53683438372.129204</v>
      </c>
      <c r="D38" s="119">
        <v>53683438372.129135</v>
      </c>
      <c r="E38" s="103">
        <f>C38-D38</f>
        <v>6.866455078125E-5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54</v>
      </c>
      <c r="C44" s="78" t="s">
        <v>55</v>
      </c>
      <c r="D44" s="78" t="s">
        <v>39</v>
      </c>
      <c r="E44" s="78" t="s">
        <v>56</v>
      </c>
      <c r="F44" s="78" t="s">
        <v>57</v>
      </c>
      <c r="G44" s="78" t="s">
        <v>58</v>
      </c>
      <c r="H44" s="78" t="s">
        <v>59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64</v>
      </c>
      <c r="C48" s="83" t="s">
        <v>55</v>
      </c>
      <c r="D48" s="83" t="s">
        <v>65</v>
      </c>
      <c r="E48" s="83" t="s">
        <v>66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67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68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69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70</v>
      </c>
      <c r="D52" s="92">
        <v>176001.35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71</v>
      </c>
      <c r="D53" s="92">
        <v>20000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72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73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74</v>
      </c>
      <c r="D56" s="92">
        <v>10887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75</v>
      </c>
      <c r="D57" s="92">
        <v>21854.77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76</v>
      </c>
      <c r="D58" s="92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77</v>
      </c>
      <c r="D59" s="92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78</v>
      </c>
      <c r="D60" s="96">
        <v>0</v>
      </c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10" t="s">
        <v>79</v>
      </c>
      <c r="C61" s="111"/>
      <c r="D61" s="98">
        <v>228743.12</v>
      </c>
      <c r="E61" s="99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100" t="s">
        <v>80</v>
      </c>
      <c r="C63" s="102">
        <v>53683209629.009201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x14ac:dyDescent="0.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2025-09-09T06:03:07Z</dcterms:created>
  <dcterms:modified xsi:type="dcterms:W3CDTF">2025-09-09T10:16:18Z</dcterms:modified>
</cp:coreProperties>
</file>