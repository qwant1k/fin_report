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09.2025\"/>
    </mc:Choice>
  </mc:AlternateContent>
  <xr:revisionPtr revIDLastSave="0" documentId="13_ncr:1_{F2B6746C-E6DB-4D11-8D91-343B442A2B59}" xr6:coauthVersionLast="47" xr6:coauthVersionMax="47" xr10:uidLastSave="{00000000-0000-0000-0000-000000000000}"/>
  <bookViews>
    <workbookView xWindow="-120" yWindow="-120" windowWidth="29040" windowHeight="15720" xr2:uid="{598AB5D4-0584-4DC4-9D8E-24C167518A22}"/>
  </bookViews>
  <sheets>
    <sheet name="Лист1" sheetId="1" r:id="rId1"/>
    <sheet name="Расчет ДУ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2" i="1" l="1"/>
  <c r="D51" i="1"/>
  <c r="C2" i="2" l="1"/>
  <c r="B2" i="2"/>
  <c r="F2" i="2"/>
  <c r="G2" i="2" l="1"/>
  <c r="H2" i="2" s="1"/>
  <c r="G53" i="1" l="1"/>
  <c r="G58" i="1"/>
  <c r="G57" i="1"/>
  <c r="E39" i="1" l="1"/>
  <c r="P33" i="1"/>
  <c r="P22" i="1"/>
  <c r="F24" i="1"/>
</calcChain>
</file>

<file path=xl/sharedStrings.xml><?xml version="1.0" encoding="utf-8"?>
<sst xmlns="http://schemas.openxmlformats.org/spreadsheetml/2006/main" count="130" uniqueCount="98">
  <si>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</si>
  <si>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</si>
  <si>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</si>
  <si>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</si>
  <si>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</si>
  <si>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</si>
  <si>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</si>
  <si>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</si>
  <si>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</si>
  <si>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</si>
  <si>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</si>
  <si>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</si>
  <si>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</si>
  <si>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</si>
  <si>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</si>
  <si>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</si>
  <si>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</si>
  <si>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</si>
  <si>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</si>
  <si>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</si>
  <si>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</si>
  <si>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</si>
  <si>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</si>
  <si>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</si>
  <si>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</si>
  <si>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</si>
  <si>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</si>
  <si>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</si>
  <si>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</si>
  <si>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</si>
  <si>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</si>
  <si>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</si>
  <si>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</si>
  <si>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</si>
  <si>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</si>
  <si>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</si>
  <si>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</si>
  <si>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</si>
  <si>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</si>
  <si>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</si>
  <si>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</si>
  <si>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</si>
  <si>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</si>
  <si>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</si>
  <si>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</si>
  <si>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</si>
  <si>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</si>
  <si>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</si>
  <si>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</si>
  <si>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облигации Министерства финансов РК, Репо</t>
  </si>
  <si>
    <t>KZKD00000857</t>
  </si>
  <si>
    <t>Дисконтные ноты ГУ Национальный Банк Республики Казахстан, Репо</t>
  </si>
  <si>
    <t>KZW100014338</t>
  </si>
  <si>
    <t>KZK200000729</t>
  </si>
  <si>
    <t>Индексированные купонные облигации АО Казахстанский фонд устойчивости, Репо</t>
  </si>
  <si>
    <t>KZ2C00008936</t>
  </si>
  <si>
    <t>Дисконтная облигация МЕККАМ Министерство финансов Республики Казахстан, Репо</t>
  </si>
  <si>
    <t>KZK100000365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</si>
  <si>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</si>
  <si>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</si>
  <si>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</si>
  <si>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</si>
  <si>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</si>
  <si>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</si>
  <si>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</si>
  <si>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</si>
  <si>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</si>
  <si>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</si>
  <si>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</si>
  <si>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</si>
  <si>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</si>
  <si>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</si>
  <si>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</si>
  <si>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</si>
  <si>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</si>
  <si>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</si>
  <si>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</si>
  <si>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</si>
  <si>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</si>
  <si>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</si>
  <si>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</si>
  <si>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</si>
  <si>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</si>
  <si>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</si>
  <si>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</si>
  <si>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</si>
  <si>
    <t>Итого гр.активов</t>
  </si>
  <si>
    <t>Ср.гр.активов</t>
  </si>
  <si>
    <t>Разница</t>
  </si>
  <si>
    <t xml:space="preserve">Данные Фонда </t>
  </si>
  <si>
    <t xml:space="preserve">Средняя грязная </t>
  </si>
  <si>
    <t xml:space="preserve">Сумма комиссий кроме ДУ </t>
  </si>
  <si>
    <t xml:space="preserve">Месячная доля комиссии ДУ </t>
  </si>
  <si>
    <t>К оплате</t>
  </si>
  <si>
    <t>Оплаченная комиссия ДУ за август   (без учета корректировки)</t>
  </si>
  <si>
    <t>Фактическая комиссия за август</t>
  </si>
  <si>
    <t>Корректировка комиссии ДУ за август</t>
  </si>
  <si>
    <t>Комиссия ДУ за сентябрь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</si>
</sst>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  <numFmt numFmtId="172" formatCode="_-* #,##0.00\ _₸_-;\-* #,##0.00\ _₸_-;_-* &quot;-&quot;??\ _₸_-;_-@_-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9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3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0" fontId="0" fillId="0" borderId="6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43" fontId="0" fillId="0" borderId="2" xfId="1" applyFont="1" applyBorder="1"/>
    <xf numFmtId="43" fontId="0" fillId="0" borderId="1" xfId="1" applyFont="1" applyBorder="1"/>
    <xf numFmtId="0" fontId="10" fillId="6" borderId="1" xfId="0" applyFont="1" applyFill="1" applyBorder="1"/>
    <xf numFmtId="166" fontId="15" fillId="0" borderId="1" xfId="0" applyNumberFormat="1" applyFont="1" applyBorder="1"/>
    <xf numFmtId="166" fontId="0" fillId="0" borderId="1" xfId="0" applyNumberFormat="1" applyBorder="1"/>
    <xf numFmtId="4" fontId="15" fillId="0" borderId="0" xfId="0" applyNumberFormat="1" applyFont="1"/>
    <xf numFmtId="0" fontId="15" fillId="0" borderId="0" xfId="0" applyFont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  <xf numFmtId="0" fontId="2" fillId="0" borderId="8" xfId="0" applyFont="1" applyBorder="1"/>
    <xf numFmtId="0" fontId="2" fillId="0" borderId="9" xfId="0" applyFont="1" applyBorder="1"/>
    <xf numFmtId="0" fontId="0" fillId="0" borderId="10" xfId="0" applyBorder="1"/>
    <xf numFmtId="0" fontId="0" fillId="0" borderId="11" xfId="0" applyBorder="1" applyAlignment="1">
      <alignment horizontal="center" vertical="top"/>
    </xf>
    <xf numFmtId="0" fontId="2" fillId="0" borderId="12" xfId="0" applyFont="1" applyBorder="1" applyAlignment="1">
      <alignment wrapText="1"/>
    </xf>
    <xf numFmtId="43" fontId="0" fillId="0" borderId="12" xfId="1" applyFont="1" applyBorder="1"/>
    <xf numFmtId="0" fontId="14" fillId="0" borderId="8" xfId="0" applyFont="1" applyBorder="1" applyAlignment="1">
      <alignment horizontal="center" vertical="center" wrapText="1"/>
    </xf>
    <xf numFmtId="0" fontId="0" fillId="0" borderId="14" xfId="0" applyBorder="1"/>
    <xf numFmtId="0" fontId="0" fillId="0" borderId="15" xfId="0" applyBorder="1"/>
    <xf numFmtId="0" fontId="0" fillId="0" borderId="8" xfId="0" applyBorder="1"/>
    <xf numFmtId="0" fontId="14" fillId="7" borderId="16" xfId="0" applyFont="1" applyFill="1" applyBorder="1" applyAlignment="1">
      <alignment horizontal="center" vertical="center" wrapText="1"/>
    </xf>
    <xf numFmtId="0" fontId="7" fillId="0" borderId="6" xfId="0" applyFont="1" applyBorder="1"/>
    <xf numFmtId="0" fontId="8" fillId="0" borderId="7" xfId="0" applyFont="1" applyBorder="1"/>
    <xf numFmtId="43" fontId="7" fillId="0" borderId="6" xfId="2" applyFont="1" applyBorder="1" applyAlignment="1">
      <alignment horizontal="center"/>
    </xf>
    <xf numFmtId="43" fontId="7" fillId="0" borderId="7" xfId="2" applyFont="1" applyBorder="1" applyAlignment="1">
      <alignment horizontal="center"/>
    </xf>
    <xf numFmtId="43" fontId="7" fillId="0" borderId="6" xfId="2" applyFont="1" applyBorder="1" applyAlignment="1">
      <alignment horizontal="center"/>
    </xf>
    <xf numFmtId="43" fontId="7" fillId="0" borderId="7" xfId="2" applyFont="1" applyBorder="1" applyAlignment="1">
      <alignment horizontal="center"/>
    </xf>
    <xf numFmtId="0" fontId="7" fillId="0" borderId="11" xfId="0" applyFont="1" applyBorder="1"/>
    <xf numFmtId="0" fontId="8" fillId="0" borderId="13" xfId="0" applyFont="1" applyBorder="1"/>
    <xf numFmtId="170" fontId="0" fillId="0" borderId="0" xfId="3" applyNumberFormat="1" applyFont="1"/>
    <xf numFmtId="172" fontId="0" fillId="0" borderId="0" xfId="0" applyNumberFormat="1"/>
    <xf numFmtId="43" fontId="0" fillId="0" borderId="0" xfId="0" applyNumberFormat="1"/>
    <xf numFmtId="166" fontId="0" fillId="0" borderId="0" xfId="2" applyNumberFormat="1" applyFont="1"/>
    <xf numFmtId="166" fontId="0" fillId="0" borderId="0" xfId="0" applyNumberFormat="1"/>
    <xf numFmtId="43" fontId="0" fillId="0" borderId="5" xfId="2" applyFont="1" applyFill="1" applyBorder="1"/>
    <xf numFmtId="43" fontId="0" fillId="0" borderId="0" xfId="2" applyFont="1" applyBorder="1"/>
    <xf numFmtId="43" fontId="0" fillId="0" borderId="2" xfId="2" applyFont="1" applyBorder="1"/>
  </cellXfs>
  <cellStyles count="4">
    <cellStyle name="Обычный" xfId="0" builtinId="0"/>
    <cellStyle name="Финансовый" xfId="2" builtinId="3"/>
    <cellStyle name="Финансовый 2" xfId="1" xr:uid="{D0B7BEF1-0A36-46BE-A574-C2516BFE1A36}"/>
    <cellStyle name="Финансовый 4" xfId="3" xr:uid="{8D89D022-727C-404A-9B0B-05FCB47A2E13}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3</xdr:row>
      <xdr:rowOff>95250</xdr:rowOff>
    </xdr:from>
    <xdr:to>
      <xdr:col>3</xdr:col>
      <xdr:colOff>2740521</xdr:colOff>
      <xdr:row>48</xdr:row>
      <xdr:rowOff>86920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3E93661-EC1D-49C2-B1C8-7A7A0E600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666750"/>
          <a:ext cx="7503021" cy="85641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4EA85-6C93-4CAB-A559-D78D815A956E}">
  <dimension ref="A1:P64"/>
  <sheetViews>
    <sheetView tabSelected="1" topLeftCell="A46" workbookViewId="0">
      <selection activeCell="D62" sqref="D62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21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45930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85.758700000000005</v>
      </c>
      <c r="K7" s="21">
        <v>88.549450000000007</v>
      </c>
      <c r="L7" s="21">
        <v>174421875</v>
      </c>
      <c r="M7" s="21">
        <v>5534340625</v>
      </c>
      <c r="N7" s="25">
        <v>13.102307245773556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4849290000</v>
      </c>
      <c r="J8" s="24">
        <v>98.153400000000005</v>
      </c>
      <c r="K8" s="21">
        <v>100.198483333333</v>
      </c>
      <c r="L8" s="21">
        <v>102254166.666667</v>
      </c>
      <c r="M8" s="21">
        <v>5009924166.6666698</v>
      </c>
      <c r="N8" s="25">
        <v>11.860774418757901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3456296250</v>
      </c>
      <c r="J9" s="24">
        <v>87.143000000000001</v>
      </c>
      <c r="K9" s="21">
        <v>91.996333333333297</v>
      </c>
      <c r="L9" s="21">
        <v>182000000</v>
      </c>
      <c r="M9" s="21">
        <v>3449862500</v>
      </c>
      <c r="N9" s="25">
        <v>8.1673972553275007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3483026250</v>
      </c>
      <c r="J10" s="24">
        <v>85.058800000000005</v>
      </c>
      <c r="K10" s="21">
        <v>90.558800000000005</v>
      </c>
      <c r="L10" s="21">
        <v>206250000</v>
      </c>
      <c r="M10" s="21">
        <v>3395955000</v>
      </c>
      <c r="N10" s="25">
        <v>8.0397736275621696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3418342500</v>
      </c>
      <c r="J11" s="24">
        <v>83.004000000000005</v>
      </c>
      <c r="K11" s="21">
        <v>84.820944444444507</v>
      </c>
      <c r="L11" s="21">
        <v>68135416.666666701</v>
      </c>
      <c r="M11" s="21">
        <v>3180785416.6666698</v>
      </c>
      <c r="N11" s="25">
        <v>7.5303691326448696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3313320000</v>
      </c>
      <c r="J12" s="24">
        <v>77.495199999999997</v>
      </c>
      <c r="K12" s="21">
        <v>83.017144444444398</v>
      </c>
      <c r="L12" s="21">
        <v>207072916.66666701</v>
      </c>
      <c r="M12" s="21">
        <v>3113142916.6666698</v>
      </c>
      <c r="N12" s="25">
        <v>7.37022849838959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2950260000</v>
      </c>
      <c r="J13" s="24">
        <v>67.946299999999994</v>
      </c>
      <c r="K13" s="21">
        <v>71.795744444444395</v>
      </c>
      <c r="L13" s="21">
        <v>144354166.66666701</v>
      </c>
      <c r="M13" s="21">
        <v>2692340416.6666698</v>
      </c>
      <c r="N13" s="25">
        <v>6.3739971461154203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75.785499999999999</v>
      </c>
      <c r="K14" s="21">
        <v>77.678833333333301</v>
      </c>
      <c r="L14" s="21">
        <v>71000000</v>
      </c>
      <c r="M14" s="21">
        <v>2912956250</v>
      </c>
      <c r="N14" s="25">
        <v>6.8962953976105101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2768452500</v>
      </c>
      <c r="J15" s="24">
        <v>61.3855</v>
      </c>
      <c r="K15" s="21">
        <v>64.478999999999999</v>
      </c>
      <c r="L15" s="21">
        <v>116006250</v>
      </c>
      <c r="M15" s="21">
        <v>2417962500</v>
      </c>
      <c r="N15" s="25">
        <v>5.7244195343973301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2731511250</v>
      </c>
      <c r="J16" s="24">
        <v>59.933</v>
      </c>
      <c r="K16" s="21">
        <v>65.335416666666703</v>
      </c>
      <c r="L16" s="21">
        <v>202590625</v>
      </c>
      <c r="M16" s="21">
        <v>2450078125</v>
      </c>
      <c r="N16" s="25">
        <v>5.8004518595923598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85.3309</v>
      </c>
      <c r="K17" s="21">
        <v>92.097566666666694</v>
      </c>
      <c r="L17" s="21">
        <v>135333333.33333299</v>
      </c>
      <c r="M17" s="21">
        <v>1841951333.3333299</v>
      </c>
      <c r="N17" s="25">
        <v>4.3607385118431496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85.3309</v>
      </c>
      <c r="K18" s="21">
        <v>92.097566666666694</v>
      </c>
      <c r="L18" s="21">
        <v>203000000</v>
      </c>
      <c r="M18" s="21">
        <v>2762927000</v>
      </c>
      <c r="N18" s="25">
        <v>6.5411077677647302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83.004000000000005</v>
      </c>
      <c r="K19" s="21">
        <v>84.820944444444507</v>
      </c>
      <c r="L19" s="21">
        <v>18169444.444444399</v>
      </c>
      <c r="M19" s="21">
        <v>848209444.44444394</v>
      </c>
      <c r="N19" s="25">
        <v>2.00809843537197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858145925.77999997</v>
      </c>
      <c r="J20" s="24">
        <v>70.518900000000002</v>
      </c>
      <c r="K20" s="21">
        <v>71.566955555555595</v>
      </c>
      <c r="L20" s="21">
        <v>10480555.555555601</v>
      </c>
      <c r="M20" s="21">
        <v>715669555.55555606</v>
      </c>
      <c r="N20" s="25">
        <v>1.6943160962982999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94.594015136807499</v>
      </c>
      <c r="K21" s="21">
        <v>95.666515136807504</v>
      </c>
      <c r="L21" s="21">
        <v>21450000</v>
      </c>
      <c r="M21" s="21">
        <v>1913330302.73615</v>
      </c>
      <c r="N21" s="25">
        <v>4.5297250725506197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1862518750</v>
      </c>
      <c r="M22" s="35">
        <v>42239435552.736198</v>
      </c>
      <c r="N22" s="36">
        <v>100</v>
      </c>
      <c r="O22" s="41">
        <v>42239435552.73616</v>
      </c>
      <c r="P22" s="97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1618386.26</v>
      </c>
      <c r="E24" s="95">
        <v>1618386.26</v>
      </c>
      <c r="F24" s="96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25"/>
    <row r="26" spans="1:16" s="6" customFormat="1" ht="30" customHeight="1" thickBot="1" x14ac:dyDescent="0.3">
      <c r="A26" s="46"/>
      <c r="B26" s="47" t="s">
        <v>36</v>
      </c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</row>
    <row r="27" spans="1:16" ht="39" thickBot="1" x14ac:dyDescent="0.3">
      <c r="A27" s="49" t="s">
        <v>4</v>
      </c>
      <c r="B27" s="50" t="s">
        <v>5</v>
      </c>
      <c r="C27" s="50" t="s">
        <v>37</v>
      </c>
      <c r="D27" s="50" t="s">
        <v>38</v>
      </c>
      <c r="E27" s="50" t="s">
        <v>39</v>
      </c>
      <c r="F27" s="50" t="s">
        <v>40</v>
      </c>
      <c r="G27" s="50" t="s">
        <v>41</v>
      </c>
      <c r="H27" s="50" t="s">
        <v>42</v>
      </c>
      <c r="I27" s="50" t="s">
        <v>43</v>
      </c>
      <c r="J27" s="50" t="s">
        <v>44</v>
      </c>
      <c r="K27" s="50" t="s">
        <v>45</v>
      </c>
      <c r="L27" s="50" t="s">
        <v>46</v>
      </c>
      <c r="M27" s="50" t="s">
        <v>47</v>
      </c>
      <c r="N27" s="50" t="s">
        <v>48</v>
      </c>
      <c r="O27" s="51"/>
    </row>
    <row r="28" spans="1:16" ht="26.25" thickBot="1" x14ac:dyDescent="0.3">
      <c r="A28" s="53">
        <v>1</v>
      </c>
      <c r="B28" s="54" t="s">
        <v>49</v>
      </c>
      <c r="C28" s="55" t="s">
        <v>50</v>
      </c>
      <c r="D28" s="56">
        <v>20064</v>
      </c>
      <c r="E28" s="57" t="s">
        <v>35</v>
      </c>
      <c r="F28" s="58">
        <v>45930</v>
      </c>
      <c r="G28" s="58">
        <v>45931</v>
      </c>
      <c r="H28" s="59">
        <v>598.36099980063796</v>
      </c>
      <c r="I28" s="59">
        <v>598.6178867623604</v>
      </c>
      <c r="J28" s="60">
        <v>12005515.1</v>
      </c>
      <c r="K28" s="60">
        <v>12010669.279999999</v>
      </c>
      <c r="L28" s="61">
        <v>15.6701</v>
      </c>
      <c r="M28" s="62">
        <v>0</v>
      </c>
      <c r="N28" s="63">
        <v>12005515.1</v>
      </c>
      <c r="O28" s="51"/>
    </row>
    <row r="29" spans="1:16" ht="26.25" thickBot="1" x14ac:dyDescent="0.3">
      <c r="A29" s="53">
        <v>2</v>
      </c>
      <c r="B29" s="54" t="s">
        <v>51</v>
      </c>
      <c r="C29" s="55" t="s">
        <v>52</v>
      </c>
      <c r="D29" s="56">
        <v>19995181</v>
      </c>
      <c r="E29" s="57" t="s">
        <v>35</v>
      </c>
      <c r="F29" s="58">
        <v>45930</v>
      </c>
      <c r="G29" s="58">
        <v>45931</v>
      </c>
      <c r="H29" s="59">
        <v>99.378899999954996</v>
      </c>
      <c r="I29" s="59">
        <v>99.421918539271999</v>
      </c>
      <c r="J29" s="60">
        <v>1987099093.0799999</v>
      </c>
      <c r="K29" s="60">
        <v>1987959256.5599999</v>
      </c>
      <c r="L29" s="61">
        <v>15.799899999999999</v>
      </c>
      <c r="M29" s="62">
        <v>0</v>
      </c>
      <c r="N29" s="63">
        <v>1987099093.0799999</v>
      </c>
      <c r="O29" s="51"/>
    </row>
    <row r="30" spans="1:16" ht="26.25" thickBot="1" x14ac:dyDescent="0.3">
      <c r="A30" s="53">
        <v>3</v>
      </c>
      <c r="B30" s="54" t="s">
        <v>49</v>
      </c>
      <c r="C30" s="55" t="s">
        <v>53</v>
      </c>
      <c r="D30" s="56">
        <v>64134</v>
      </c>
      <c r="E30" s="57" t="s">
        <v>35</v>
      </c>
      <c r="F30" s="58">
        <v>45930</v>
      </c>
      <c r="G30" s="58">
        <v>45937</v>
      </c>
      <c r="H30" s="59">
        <v>982.795999937631</v>
      </c>
      <c r="I30" s="59">
        <v>985.77417610003999</v>
      </c>
      <c r="J30" s="60">
        <v>63030638.659999996</v>
      </c>
      <c r="K30" s="60">
        <v>63221641.009999998</v>
      </c>
      <c r="L30" s="61">
        <v>15.8009</v>
      </c>
      <c r="M30" s="62">
        <v>0</v>
      </c>
      <c r="N30" s="63">
        <v>63030638.659999996</v>
      </c>
      <c r="O30" s="51"/>
    </row>
    <row r="31" spans="1:16" ht="39" thickBot="1" x14ac:dyDescent="0.3">
      <c r="A31" s="53">
        <v>4</v>
      </c>
      <c r="B31" s="54" t="s">
        <v>54</v>
      </c>
      <c r="C31" s="55" t="s">
        <v>55</v>
      </c>
      <c r="D31" s="56">
        <v>2817800</v>
      </c>
      <c r="E31" s="57" t="s">
        <v>35</v>
      </c>
      <c r="F31" s="58">
        <v>45930</v>
      </c>
      <c r="G31" s="58">
        <v>45937</v>
      </c>
      <c r="H31" s="59">
        <v>1036.375</v>
      </c>
      <c r="I31" s="59">
        <v>1039.5551095890401</v>
      </c>
      <c r="J31" s="60">
        <v>2920297475</v>
      </c>
      <c r="K31" s="60">
        <v>2929258387.8000002</v>
      </c>
      <c r="L31" s="61">
        <v>16</v>
      </c>
      <c r="M31" s="62">
        <v>0</v>
      </c>
      <c r="N31" s="63">
        <v>2920297475</v>
      </c>
      <c r="O31" s="51"/>
    </row>
    <row r="32" spans="1:16" ht="39" thickBot="1" x14ac:dyDescent="0.3">
      <c r="A32" s="53">
        <v>5</v>
      </c>
      <c r="B32" s="54" t="s">
        <v>56</v>
      </c>
      <c r="C32" s="55" t="s">
        <v>57</v>
      </c>
      <c r="D32" s="56">
        <v>70067472</v>
      </c>
      <c r="E32" s="57" t="s">
        <v>35</v>
      </c>
      <c r="F32" s="58">
        <v>45930</v>
      </c>
      <c r="G32" s="58">
        <v>45937</v>
      </c>
      <c r="H32" s="59">
        <v>98.99239999996</v>
      </c>
      <c r="I32" s="59">
        <v>99.296157501300996</v>
      </c>
      <c r="J32" s="60">
        <v>6936147215.21</v>
      </c>
      <c r="K32" s="60">
        <v>6957430735.4300003</v>
      </c>
      <c r="L32" s="61">
        <v>16</v>
      </c>
      <c r="M32" s="62">
        <v>0</v>
      </c>
      <c r="N32" s="63">
        <v>6936147215.21</v>
      </c>
      <c r="O32" s="51"/>
    </row>
    <row r="33" spans="1:16" ht="15.75" thickBot="1" x14ac:dyDescent="0.3">
      <c r="A33" s="64"/>
      <c r="B33" s="65"/>
      <c r="C33" s="66"/>
      <c r="D33" s="67"/>
      <c r="E33" s="68"/>
      <c r="F33" s="69"/>
      <c r="G33" s="69"/>
      <c r="H33" s="68"/>
      <c r="I33" s="68"/>
      <c r="J33" s="70"/>
      <c r="K33" s="68"/>
      <c r="L33" s="71"/>
      <c r="M33" s="72">
        <v>0</v>
      </c>
      <c r="N33" s="72">
        <v>11918579937.049999</v>
      </c>
      <c r="O33" s="98">
        <v>11918579937.049999</v>
      </c>
      <c r="P33" s="99">
        <f>N33-O33</f>
        <v>0</v>
      </c>
    </row>
    <row r="34" spans="1:16" ht="18.75" x14ac:dyDescent="0.3">
      <c r="A34" s="42"/>
      <c r="B34" s="43"/>
      <c r="C34" s="44"/>
      <c r="D34" s="44"/>
      <c r="E34" s="45"/>
      <c r="F34" s="42"/>
      <c r="G34" s="43"/>
      <c r="H34" s="43"/>
      <c r="I34" s="43"/>
      <c r="J34" s="43"/>
      <c r="K34" s="43"/>
      <c r="L34" s="43"/>
      <c r="M34" s="43"/>
      <c r="N34" s="74">
        <v>0</v>
      </c>
      <c r="O34" s="73"/>
    </row>
    <row r="35" spans="1:16" ht="27.75" thickBot="1" x14ac:dyDescent="0.35">
      <c r="A35" s="75"/>
      <c r="B35" s="76" t="s">
        <v>58</v>
      </c>
      <c r="C35" s="43"/>
      <c r="D35" s="43"/>
      <c r="E35" s="42"/>
      <c r="F35" s="42"/>
      <c r="G35" s="43"/>
      <c r="H35" s="43"/>
      <c r="I35" s="43"/>
      <c r="J35" s="43"/>
      <c r="K35" s="43"/>
      <c r="L35" s="43"/>
      <c r="M35" s="43"/>
      <c r="N35" s="74">
        <v>0</v>
      </c>
      <c r="O35" s="73"/>
    </row>
    <row r="36" spans="1:16" ht="25.5" x14ac:dyDescent="0.3">
      <c r="A36" s="75"/>
      <c r="B36" s="77" t="s">
        <v>59</v>
      </c>
      <c r="C36" s="77" t="s">
        <v>60</v>
      </c>
      <c r="D36" s="77" t="s">
        <v>39</v>
      </c>
      <c r="E36" s="77" t="s">
        <v>61</v>
      </c>
      <c r="F36" s="77" t="s">
        <v>62</v>
      </c>
      <c r="G36" s="77" t="s">
        <v>63</v>
      </c>
      <c r="H36" s="77" t="s">
        <v>64</v>
      </c>
      <c r="I36" s="43"/>
      <c r="J36" s="43"/>
      <c r="K36" s="43"/>
      <c r="L36" s="43"/>
      <c r="M36" s="43"/>
      <c r="N36" s="74">
        <v>0</v>
      </c>
      <c r="O36" s="73"/>
    </row>
    <row r="37" spans="1:16" ht="18.75" x14ac:dyDescent="0.3">
      <c r="A37" s="75"/>
      <c r="B37" s="78">
        <v>1</v>
      </c>
      <c r="C37" s="79"/>
      <c r="D37" s="79"/>
      <c r="E37" s="80"/>
      <c r="F37" s="80"/>
      <c r="G37" s="79"/>
      <c r="H37" s="79"/>
      <c r="I37" s="43"/>
      <c r="J37" s="43"/>
      <c r="K37" s="43"/>
      <c r="L37" s="43"/>
      <c r="M37" s="43"/>
      <c r="N37" s="74">
        <v>0</v>
      </c>
      <c r="O37" s="73"/>
    </row>
    <row r="38" spans="1:16" ht="19.5" thickBot="1" x14ac:dyDescent="0.35">
      <c r="A38" s="75"/>
      <c r="B38" s="42"/>
      <c r="C38" s="43"/>
      <c r="D38" s="43"/>
      <c r="E38" s="42"/>
      <c r="F38" s="42"/>
      <c r="G38" s="43"/>
      <c r="H38" s="43"/>
      <c r="I38" s="43"/>
      <c r="J38" s="43"/>
      <c r="K38" s="43"/>
      <c r="L38" s="43"/>
      <c r="M38" s="43"/>
      <c r="N38" s="74">
        <v>0</v>
      </c>
      <c r="O38" s="73"/>
    </row>
    <row r="39" spans="1:16" ht="19.5" thickBot="1" x14ac:dyDescent="0.35">
      <c r="A39" s="75"/>
      <c r="B39" s="81" t="s">
        <v>65</v>
      </c>
      <c r="C39" s="91">
        <v>54159633876.046204</v>
      </c>
      <c r="D39" s="100">
        <v>54159633876.046165</v>
      </c>
      <c r="E39" s="101">
        <f>C39-D39</f>
        <v>0</v>
      </c>
      <c r="F39" s="42"/>
      <c r="G39" s="43"/>
      <c r="H39" s="43"/>
      <c r="I39" s="43"/>
      <c r="J39" s="43"/>
      <c r="K39" s="43"/>
      <c r="L39" s="43"/>
      <c r="M39" s="43"/>
      <c r="N39" s="74">
        <v>0</v>
      </c>
      <c r="O39" s="73"/>
    </row>
    <row r="40" spans="1:16" ht="18.75" x14ac:dyDescent="0.3">
      <c r="A40" s="75"/>
      <c r="B40" s="42"/>
      <c r="C40" s="43"/>
      <c r="D40" s="43"/>
      <c r="E40" s="42"/>
      <c r="F40" s="42"/>
      <c r="G40" s="43"/>
      <c r="H40" s="43"/>
      <c r="I40" s="43"/>
      <c r="J40" s="43"/>
      <c r="K40" s="43"/>
      <c r="L40" s="43"/>
      <c r="M40" s="43"/>
      <c r="N40" s="74">
        <v>0</v>
      </c>
      <c r="O40" s="73"/>
    </row>
    <row r="41" spans="1:16" ht="18.75" x14ac:dyDescent="0.3">
      <c r="A41" s="75"/>
      <c r="B41" s="42"/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4">
        <v>0</v>
      </c>
    </row>
    <row r="42" spans="1:16" ht="18.75" x14ac:dyDescent="0.3">
      <c r="A42" s="75"/>
      <c r="B42" s="52" t="s">
        <v>66</v>
      </c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4">
        <v>0</v>
      </c>
    </row>
    <row r="43" spans="1:16" ht="18.75" x14ac:dyDescent="0.3">
      <c r="A43" s="75"/>
      <c r="B43" s="42"/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4">
        <v>0</v>
      </c>
    </row>
    <row r="44" spans="1:16" ht="19.5" thickBot="1" x14ac:dyDescent="0.35">
      <c r="A44" s="75"/>
      <c r="B44" s="42" t="s">
        <v>67</v>
      </c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4">
        <v>0</v>
      </c>
    </row>
    <row r="45" spans="1:16" ht="25.5" x14ac:dyDescent="0.3">
      <c r="A45" s="75"/>
      <c r="B45" s="77" t="s">
        <v>59</v>
      </c>
      <c r="C45" s="77" t="s">
        <v>60</v>
      </c>
      <c r="D45" s="77" t="s">
        <v>39</v>
      </c>
      <c r="E45" s="77" t="s">
        <v>61</v>
      </c>
      <c r="F45" s="77" t="s">
        <v>62</v>
      </c>
      <c r="G45" s="77" t="s">
        <v>63</v>
      </c>
      <c r="H45" s="77" t="s">
        <v>64</v>
      </c>
      <c r="I45" s="43"/>
      <c r="J45" s="43"/>
      <c r="K45" s="43"/>
      <c r="L45" s="43"/>
      <c r="M45" s="43"/>
      <c r="N45" s="74">
        <v>0</v>
      </c>
    </row>
    <row r="46" spans="1:16" ht="18" x14ac:dyDescent="0.25">
      <c r="A46" s="42"/>
      <c r="B46" s="78">
        <v>1</v>
      </c>
      <c r="C46" s="79"/>
      <c r="D46" s="79"/>
      <c r="E46" s="80"/>
      <c r="F46" s="80"/>
      <c r="G46" s="79"/>
      <c r="H46" s="79"/>
      <c r="I46" s="43"/>
      <c r="J46" s="43"/>
      <c r="K46" s="43"/>
      <c r="L46" s="43"/>
      <c r="M46" s="43"/>
      <c r="N46" s="74">
        <v>0</v>
      </c>
    </row>
    <row r="47" spans="1:16" ht="18.75" x14ac:dyDescent="0.3">
      <c r="A47" s="75"/>
      <c r="B47" s="42"/>
      <c r="C47" s="43"/>
      <c r="D47" s="43"/>
      <c r="E47" s="42"/>
      <c r="F47" s="42"/>
      <c r="G47" s="43"/>
      <c r="H47" s="43"/>
      <c r="I47" s="43"/>
      <c r="J47" s="43"/>
      <c r="K47" s="43"/>
      <c r="L47" s="43"/>
      <c r="M47" s="43"/>
      <c r="N47" s="74">
        <v>0</v>
      </c>
    </row>
    <row r="48" spans="1:16" ht="19.5" thickBot="1" x14ac:dyDescent="0.35">
      <c r="A48" s="75"/>
      <c r="B48" s="42" t="s">
        <v>68</v>
      </c>
      <c r="C48" s="43"/>
      <c r="D48" s="43"/>
      <c r="E48" s="42"/>
      <c r="F48" s="42"/>
      <c r="G48" s="43"/>
      <c r="H48" s="43"/>
      <c r="I48" s="43"/>
      <c r="J48" s="43"/>
      <c r="K48" s="43"/>
      <c r="L48" s="43"/>
      <c r="M48" s="43"/>
      <c r="N48" s="74">
        <v>0</v>
      </c>
    </row>
    <row r="49" spans="1:14" ht="19.5" thickBot="1" x14ac:dyDescent="0.35">
      <c r="A49" s="75"/>
      <c r="B49" s="82" t="s">
        <v>69</v>
      </c>
      <c r="C49" s="82" t="s">
        <v>60</v>
      </c>
      <c r="D49" s="82" t="s">
        <v>70</v>
      </c>
      <c r="E49" s="112" t="s">
        <v>71</v>
      </c>
      <c r="F49" s="82" t="s">
        <v>89</v>
      </c>
      <c r="G49" s="82" t="s">
        <v>88</v>
      </c>
      <c r="H49" s="43"/>
      <c r="I49" s="43"/>
      <c r="J49" s="43"/>
      <c r="K49" s="43"/>
      <c r="L49" s="43"/>
      <c r="M49" s="43"/>
      <c r="N49" s="74">
        <v>0</v>
      </c>
    </row>
    <row r="50" spans="1:14" ht="19.5" thickBot="1" x14ac:dyDescent="0.35">
      <c r="A50" s="75"/>
      <c r="B50" s="83" t="s">
        <v>72</v>
      </c>
      <c r="C50" s="83">
        <v>1</v>
      </c>
      <c r="D50" s="83">
        <v>2</v>
      </c>
      <c r="E50" s="108">
        <v>3</v>
      </c>
      <c r="F50" s="113"/>
      <c r="G50" s="114"/>
      <c r="H50" s="43"/>
      <c r="I50" s="43"/>
      <c r="J50" s="43"/>
      <c r="K50" s="43"/>
      <c r="L50" s="43"/>
      <c r="M50" s="43"/>
      <c r="N50" s="74">
        <v>0</v>
      </c>
    </row>
    <row r="51" spans="1:14" ht="30.75" x14ac:dyDescent="0.3">
      <c r="A51" s="75"/>
      <c r="B51" s="84">
        <v>1</v>
      </c>
      <c r="C51" s="85" t="s">
        <v>73</v>
      </c>
      <c r="D51" s="126">
        <f>'Расчет ДУ'!H2</f>
        <v>4031134.2856321433</v>
      </c>
      <c r="E51" s="109"/>
      <c r="F51" s="113"/>
      <c r="G51" s="114"/>
      <c r="H51" s="43"/>
      <c r="I51" s="43"/>
      <c r="J51" s="43"/>
      <c r="K51" s="43"/>
      <c r="L51" s="43"/>
      <c r="M51" s="43"/>
      <c r="N51" s="74">
        <v>0</v>
      </c>
    </row>
    <row r="52" spans="1:14" ht="30.75" x14ac:dyDescent="0.3">
      <c r="A52" s="75"/>
      <c r="B52" s="86">
        <v>2</v>
      </c>
      <c r="C52" s="87" t="s">
        <v>74</v>
      </c>
      <c r="D52" s="127"/>
      <c r="E52" s="104"/>
      <c r="F52" s="113"/>
      <c r="G52" s="114"/>
      <c r="H52" s="94" t="s">
        <v>86</v>
      </c>
      <c r="I52" s="93">
        <v>1612635429061.55</v>
      </c>
      <c r="J52" s="43"/>
      <c r="K52" s="43"/>
      <c r="L52" s="43"/>
      <c r="M52" s="43"/>
      <c r="N52" s="74">
        <v>0</v>
      </c>
    </row>
    <row r="53" spans="1:14" ht="30.75" x14ac:dyDescent="0.3">
      <c r="A53" s="75"/>
      <c r="B53" s="86">
        <v>3</v>
      </c>
      <c r="C53" s="87" t="s">
        <v>75</v>
      </c>
      <c r="D53" s="128">
        <v>662726.89</v>
      </c>
      <c r="E53" s="104"/>
      <c r="F53" s="115">
        <v>750726.88865542982</v>
      </c>
      <c r="G53" s="116">
        <f>D53+D54-F53</f>
        <v>1.3445701915770769E-3</v>
      </c>
      <c r="H53" s="94" t="s">
        <v>87</v>
      </c>
      <c r="I53" s="93">
        <v>53754514302.050003</v>
      </c>
      <c r="J53" s="43"/>
      <c r="K53" s="43"/>
      <c r="L53" s="43"/>
      <c r="M53" s="43"/>
      <c r="N53" s="74">
        <v>0</v>
      </c>
    </row>
    <row r="54" spans="1:14" ht="30.75" x14ac:dyDescent="0.3">
      <c r="A54" s="75"/>
      <c r="B54" s="86">
        <v>4</v>
      </c>
      <c r="C54" s="87" t="s">
        <v>76</v>
      </c>
      <c r="D54" s="128">
        <v>88000</v>
      </c>
      <c r="E54" s="104"/>
      <c r="F54" s="115"/>
      <c r="G54" s="116"/>
      <c r="H54" s="43"/>
      <c r="I54" s="43"/>
      <c r="J54" s="43"/>
      <c r="K54" s="43"/>
      <c r="L54" s="43"/>
      <c r="M54" s="43"/>
      <c r="N54" s="74">
        <v>0</v>
      </c>
    </row>
    <row r="55" spans="1:14" ht="30.75" x14ac:dyDescent="0.3">
      <c r="A55" s="75"/>
      <c r="B55" s="86">
        <v>5</v>
      </c>
      <c r="C55" s="87" t="s">
        <v>77</v>
      </c>
      <c r="D55" s="128">
        <v>0</v>
      </c>
      <c r="E55" s="104"/>
      <c r="F55" s="117"/>
      <c r="G55" s="118"/>
      <c r="H55" s="43"/>
      <c r="I55" s="43"/>
      <c r="J55" s="43"/>
      <c r="K55" s="43"/>
      <c r="L55" s="43"/>
      <c r="M55" s="43"/>
      <c r="N55" s="74">
        <v>0</v>
      </c>
    </row>
    <row r="56" spans="1:14" ht="30.75" x14ac:dyDescent="0.3">
      <c r="A56" s="75"/>
      <c r="B56" s="86">
        <v>6</v>
      </c>
      <c r="C56" s="87" t="s">
        <v>78</v>
      </c>
      <c r="D56" s="128">
        <v>469517.69606404199</v>
      </c>
      <c r="E56" s="104"/>
      <c r="F56" s="117"/>
      <c r="G56" s="118"/>
      <c r="H56" s="43"/>
      <c r="I56" s="43"/>
      <c r="J56" s="43"/>
      <c r="K56" s="43"/>
      <c r="L56" s="43"/>
      <c r="M56" s="43"/>
      <c r="N56" s="74">
        <v>0</v>
      </c>
    </row>
    <row r="57" spans="1:14" ht="18.75" x14ac:dyDescent="0.3">
      <c r="A57" s="75"/>
      <c r="B57" s="86">
        <v>7</v>
      </c>
      <c r="C57" s="87" t="s">
        <v>79</v>
      </c>
      <c r="D57" s="128">
        <v>250659.15</v>
      </c>
      <c r="E57" s="104"/>
      <c r="F57" s="117">
        <v>250659.15</v>
      </c>
      <c r="G57" s="118">
        <f>D57-F57</f>
        <v>0</v>
      </c>
      <c r="H57" s="43"/>
      <c r="I57" s="43"/>
      <c r="J57" s="43"/>
      <c r="K57" s="43"/>
      <c r="L57" s="43"/>
      <c r="M57" s="43"/>
      <c r="N57" s="74">
        <v>0</v>
      </c>
    </row>
    <row r="58" spans="1:14" ht="18.75" x14ac:dyDescent="0.3">
      <c r="A58" s="75"/>
      <c r="B58" s="86">
        <v>8</v>
      </c>
      <c r="C58" s="87" t="s">
        <v>80</v>
      </c>
      <c r="D58" s="128">
        <v>501694.53</v>
      </c>
      <c r="E58" s="104"/>
      <c r="F58" s="117">
        <v>501694.52999999997</v>
      </c>
      <c r="G58" s="118">
        <f>D58-F58</f>
        <v>0</v>
      </c>
      <c r="H58" s="43"/>
      <c r="I58" s="43"/>
      <c r="J58" s="43"/>
      <c r="K58" s="43"/>
      <c r="L58" s="43"/>
      <c r="M58" s="43"/>
      <c r="N58" s="74">
        <v>0</v>
      </c>
    </row>
    <row r="59" spans="1:14" ht="18.75" x14ac:dyDescent="0.3">
      <c r="A59" s="75"/>
      <c r="B59" s="86">
        <v>9</v>
      </c>
      <c r="C59" s="87" t="s">
        <v>81</v>
      </c>
      <c r="D59" s="88">
        <v>0</v>
      </c>
      <c r="E59" s="104"/>
      <c r="F59" s="113"/>
      <c r="G59" s="114"/>
      <c r="H59" s="43"/>
      <c r="I59" s="43"/>
      <c r="J59" s="43"/>
      <c r="K59" s="43"/>
      <c r="L59" s="43"/>
      <c r="M59" s="43"/>
      <c r="N59" s="74">
        <v>0</v>
      </c>
    </row>
    <row r="60" spans="1:14" ht="45.75" x14ac:dyDescent="0.3">
      <c r="A60" s="75"/>
      <c r="B60" s="86">
        <v>10</v>
      </c>
      <c r="C60" s="87" t="s">
        <v>82</v>
      </c>
      <c r="D60" s="88">
        <v>0</v>
      </c>
      <c r="E60" s="104"/>
      <c r="F60" s="113"/>
      <c r="G60" s="114"/>
      <c r="H60" s="43"/>
      <c r="I60" s="43"/>
      <c r="J60" s="43"/>
      <c r="K60" s="43"/>
      <c r="L60" s="43"/>
      <c r="M60" s="43"/>
      <c r="N60" s="74">
        <v>0</v>
      </c>
    </row>
    <row r="61" spans="1:14" ht="46.5" thickBot="1" x14ac:dyDescent="0.35">
      <c r="A61" s="75"/>
      <c r="B61" s="105">
        <v>11</v>
      </c>
      <c r="C61" s="106" t="s">
        <v>83</v>
      </c>
      <c r="D61" s="107">
        <v>0</v>
      </c>
      <c r="E61" s="110"/>
      <c r="F61" s="113"/>
      <c r="G61" s="114"/>
      <c r="H61" s="43"/>
      <c r="I61" s="43"/>
      <c r="J61" s="43"/>
      <c r="K61" s="43"/>
      <c r="L61" s="43"/>
      <c r="M61" s="43"/>
      <c r="N61" s="74">
        <v>0</v>
      </c>
    </row>
    <row r="62" spans="1:14" ht="19.5" thickBot="1" x14ac:dyDescent="0.35">
      <c r="A62" s="75"/>
      <c r="B62" s="102" t="s">
        <v>84</v>
      </c>
      <c r="C62" s="103"/>
      <c r="D62" s="89">
        <f>SUM(D51:D61)</f>
        <v>6003732.551696186</v>
      </c>
      <c r="E62" s="111"/>
      <c r="F62" s="119"/>
      <c r="G62" s="120"/>
      <c r="H62" s="43"/>
      <c r="I62" s="43"/>
      <c r="J62" s="43"/>
      <c r="K62" s="43"/>
      <c r="L62" s="43"/>
      <c r="M62" s="43"/>
      <c r="N62" s="74">
        <v>0</v>
      </c>
    </row>
    <row r="63" spans="1:14" ht="15.75" thickBot="1" x14ac:dyDescent="0.3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</row>
    <row r="64" spans="1:14" ht="15.75" thickBot="1" x14ac:dyDescent="0.3">
      <c r="A64" s="73"/>
      <c r="B64" s="90" t="s">
        <v>85</v>
      </c>
      <c r="C64" s="92">
        <v>54158130795.476196</v>
      </c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</row>
  </sheetData>
  <mergeCells count="3">
    <mergeCell ref="B62:C62"/>
    <mergeCell ref="F53:F54"/>
    <mergeCell ref="G53:G54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FAE60-C4A4-4258-841A-1C006F5B17C0}">
  <dimension ref="A1:H3"/>
  <sheetViews>
    <sheetView workbookViewId="0">
      <selection activeCell="H2" sqref="H2"/>
    </sheetView>
  </sheetViews>
  <sheetFormatPr defaultRowHeight="15" x14ac:dyDescent="0.25"/>
  <cols>
    <col min="1" max="1" width="17.5703125" style="41" bestFit="1" customWidth="1"/>
    <col min="2" max="2" width="26.42578125" style="41" bestFit="1" customWidth="1"/>
    <col min="3" max="3" width="27.85546875" style="41" bestFit="1" customWidth="1"/>
    <col min="4" max="4" width="60.7109375" style="41" bestFit="1" customWidth="1"/>
    <col min="5" max="5" width="33.140625" style="41" bestFit="1" customWidth="1"/>
    <col min="6" max="6" width="38.85546875" style="41" bestFit="1" customWidth="1"/>
    <col min="7" max="7" width="24.140625" style="41" bestFit="1" customWidth="1"/>
    <col min="8" max="8" width="14.5703125" style="41" bestFit="1" customWidth="1"/>
    <col min="9" max="16384" width="9.140625" style="41"/>
  </cols>
  <sheetData>
    <row r="1" spans="1:8" x14ac:dyDescent="0.25">
      <c r="A1" s="41" t="s">
        <v>90</v>
      </c>
      <c r="B1" s="41" t="s">
        <v>91</v>
      </c>
      <c r="C1" s="41" t="s">
        <v>92</v>
      </c>
      <c r="D1" s="41" t="s">
        <v>94</v>
      </c>
      <c r="E1" s="41" t="s">
        <v>95</v>
      </c>
      <c r="F1" s="41" t="s">
        <v>96</v>
      </c>
      <c r="G1" s="41" t="s">
        <v>97</v>
      </c>
      <c r="H1" s="41" t="s">
        <v>93</v>
      </c>
    </row>
    <row r="2" spans="1:8" x14ac:dyDescent="0.25">
      <c r="A2" s="121">
        <v>53754514302.051498</v>
      </c>
      <c r="B2" s="122">
        <f>Лист1!D53+Лист1!D54+Лист1!D56+Лист1!D57+Лист1!D58</f>
        <v>1972598.266064042</v>
      </c>
      <c r="C2" s="123">
        <f>A2*0.09%/12</f>
        <v>4031588.5726538622</v>
      </c>
      <c r="D2" s="122">
        <v>3994259.8586629177</v>
      </c>
      <c r="E2" s="122">
        <v>3994255.885654103</v>
      </c>
      <c r="F2" s="123">
        <f>E2-D2</f>
        <v>-3.9730088147334754</v>
      </c>
      <c r="G2" s="122">
        <f>(A2-B2-C2)*0.09%/12</f>
        <v>4031138.258640958</v>
      </c>
      <c r="H2" s="122">
        <f>G2+F2</f>
        <v>4031134.2856321433</v>
      </c>
    </row>
    <row r="3" spans="1:8" x14ac:dyDescent="0.25">
      <c r="A3" s="124"/>
      <c r="B3" s="12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Расчет ДУ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Дамир Сәкен</cp:lastModifiedBy>
  <dcterms:created xsi:type="dcterms:W3CDTF">2025-10-01T07:09:22Z</dcterms:created>
  <dcterms:modified xsi:type="dcterms:W3CDTF">2025-10-02T12:44:06Z</dcterms:modified>
</cp:coreProperties>
</file>