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EA4889A8-7C37-410B-8082-1442B405311E}" xr6:coauthVersionLast="47" xr6:coauthVersionMax="47" xr10:uidLastSave="{00000000-0000-0000-0000-000000000000}"/>
  <bookViews>
    <workbookView xWindow="-120" yWindow="-120" windowWidth="29040" windowHeight="15840" xr2:uid="{2C1ECE5B-81C4-4DF0-BA1B-4A4BDDC2D2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7" i="1" l="1"/>
  <c r="E43" i="1"/>
</calcChain>
</file>

<file path=xl/sharedStrings.xml><?xml version="1.0" encoding="utf-8"?>
<sst xmlns="http://schemas.openxmlformats.org/spreadsheetml/2006/main" count="127" uniqueCount="91">
  <si>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</si>
  <si>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</si>
  <si>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</si>
  <si>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</si>
  <si>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</si>
  <si>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</si>
  <si>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</si>
  <si>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</si>
  <si>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</si>
  <si>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</si>
  <si>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</si>
  <si>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</si>
  <si>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</si>
  <si>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</si>
  <si>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</si>
  <si>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</si>
  <si>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</si>
  <si>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</si>
  <si>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</si>
  <si>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</si>
  <si>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</si>
  <si>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</si>
  <si>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</si>
  <si>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</si>
  <si>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</si>
  <si>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</si>
  <si>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</si>
  <si>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</si>
  <si>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</si>
  <si>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</si>
  <si>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</si>
  <si>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</si>
  <si>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</si>
  <si>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</si>
  <si>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</si>
  <si>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</si>
  <si>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</si>
  <si>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</si>
  <si>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</si>
  <si>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</si>
  <si>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</si>
  <si>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</si>
  <si>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</si>
  <si>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</si>
  <si>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</si>
  <si>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</si>
  <si>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</si>
  <si>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</si>
  <si>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</si>
  <si>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</si>
  <si>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KZK100000365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</si>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</sst>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/>
  </cellStyleXfs>
  <cellXfs count="108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  <xf numFmtId="170" fontId="17" fillId="0" borderId="2" xfId="2" applyNumberFormat="1" applyFont="1" applyBorder="1" applyAlignment="1">
      <alignment horizontal="right"/>
    </xf>
    <xf numFmtId="4" fontId="0" fillId="0" borderId="0" xfId="0" applyNumberFormat="1"/>
  </cellXfs>
  <cellStyles count="3">
    <cellStyle name="Обычный" xfId="0" builtinId="0"/>
    <cellStyle name="Обычный_DVII02 2" xfId="2" xr:uid="{74759D09-FCA8-4AF8-A7A5-D69315B8FCEA}"/>
    <cellStyle name="Финансовый 2" xfId="1" xr:uid="{6829369A-B50B-4F4B-906C-01D84EE503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DE84-0060-4BB6-B5E3-2DC5BB170030}">
  <dimension ref="A1:P70"/>
  <sheetViews>
    <sheetView tabSelected="1" topLeftCell="A28" workbookViewId="0">
      <selection activeCell="P38" sqref="P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8.85546875" bestFit="1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85.589600000000004</v>
      </c>
      <c r="K7" s="21">
        <v>88.182100000000005</v>
      </c>
      <c r="L7" s="21">
        <v>162031250.00000003</v>
      </c>
      <c r="M7" s="21">
        <v>5511381250</v>
      </c>
      <c r="N7" s="25">
        <v>13.128844689444064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98.131100000000004</v>
      </c>
      <c r="K8" s="21">
        <v>99.790877777777794</v>
      </c>
      <c r="L8" s="21">
        <v>82988888.888888896</v>
      </c>
      <c r="M8" s="21">
        <v>4989543888.8888903</v>
      </c>
      <c r="N8" s="25">
        <v>11.885758545262499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87.054500000000004</v>
      </c>
      <c r="K9" s="21">
        <v>91.532277777777793</v>
      </c>
      <c r="L9" s="21">
        <v>167916666.66666701</v>
      </c>
      <c r="M9" s="21">
        <v>3432460416.6666698</v>
      </c>
      <c r="N9" s="25">
        <v>8.1765781877421606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84.933499999999995</v>
      </c>
      <c r="K10" s="21">
        <v>90.036277777777798</v>
      </c>
      <c r="L10" s="21">
        <v>191354166.66666701</v>
      </c>
      <c r="M10" s="21">
        <v>3376360416.6666698</v>
      </c>
      <c r="N10" s="25">
        <v>8.0429405107845309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82.8673</v>
      </c>
      <c r="K11" s="21">
        <v>84.303272222222205</v>
      </c>
      <c r="L11" s="21">
        <v>53848958.333333299</v>
      </c>
      <c r="M11" s="21">
        <v>3161372708.3333302</v>
      </c>
      <c r="N11" s="25">
        <v>7.5308111361658199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77.2834</v>
      </c>
      <c r="K12" s="21">
        <v>82.433400000000006</v>
      </c>
      <c r="L12" s="21">
        <v>193125000</v>
      </c>
      <c r="M12" s="21">
        <v>3091252500</v>
      </c>
      <c r="N12" s="25">
        <v>7.3637754543574099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67.692099999999996</v>
      </c>
      <c r="K13" s="21">
        <v>71.236405555555606</v>
      </c>
      <c r="L13" s="21">
        <v>132911458.333333</v>
      </c>
      <c r="M13" s="21">
        <v>2671365208.3333302</v>
      </c>
      <c r="N13" s="25">
        <v>6.3635479634062202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75.561300000000003</v>
      </c>
      <c r="K14" s="21">
        <v>77.070049999999995</v>
      </c>
      <c r="L14" s="21">
        <v>56578125</v>
      </c>
      <c r="M14" s="21">
        <v>2890126875</v>
      </c>
      <c r="N14" s="25">
        <v>6.8846674097647202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61.112499999999997</v>
      </c>
      <c r="K15" s="21">
        <v>63.914583333333297</v>
      </c>
      <c r="L15" s="21">
        <v>105078125</v>
      </c>
      <c r="M15" s="21">
        <v>2396796875</v>
      </c>
      <c r="N15" s="25">
        <v>5.7094895991853001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59.645400000000002</v>
      </c>
      <c r="K16" s="21">
        <v>64.756399999999999</v>
      </c>
      <c r="L16" s="21">
        <v>191662500</v>
      </c>
      <c r="M16" s="21">
        <v>2428365000</v>
      </c>
      <c r="N16" s="25">
        <v>5.7846890803066504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85.180800000000005</v>
      </c>
      <c r="K17" s="21">
        <v>91.514133333333305</v>
      </c>
      <c r="L17" s="21">
        <v>126666666.666667</v>
      </c>
      <c r="M17" s="21">
        <v>1830282666.6666701</v>
      </c>
      <c r="N17" s="25">
        <v>4.35997725043031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85.180800000000005</v>
      </c>
      <c r="K18" s="21">
        <v>91.514133333333305</v>
      </c>
      <c r="L18" s="21">
        <v>190000000</v>
      </c>
      <c r="M18" s="21">
        <v>2745424000</v>
      </c>
      <c r="N18" s="25">
        <v>6.5399658756454704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82.8673</v>
      </c>
      <c r="K19" s="21">
        <v>84.303272222222205</v>
      </c>
      <c r="L19" s="21">
        <v>14359722.2222222</v>
      </c>
      <c r="M19" s="21">
        <v>843032722.22222197</v>
      </c>
      <c r="N19" s="25">
        <v>2.0082163029775502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70.249099999999999</v>
      </c>
      <c r="K20" s="21">
        <v>70.907877777777799</v>
      </c>
      <c r="L20" s="21">
        <v>6587777.7777777798</v>
      </c>
      <c r="M20" s="21">
        <v>709078777.77777803</v>
      </c>
      <c r="N20" s="25">
        <v>1.68912015404945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94.560687773165995</v>
      </c>
      <c r="K21" s="21">
        <v>95.116798884277102</v>
      </c>
      <c r="L21" s="21">
        <v>11122222.2222222</v>
      </c>
      <c r="M21" s="21">
        <v>1902335977.68554</v>
      </c>
      <c r="N21" s="25">
        <v>4.5316178404778702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1686231527.7777801</v>
      </c>
      <c r="M22" s="35">
        <v>41979179283.241096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947820.83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5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5" ht="39" thickBot="1" x14ac:dyDescent="0.3">
      <c r="A29" s="54">
        <v>1</v>
      </c>
      <c r="B29" s="55" t="s">
        <v>49</v>
      </c>
      <c r="C29" s="56" t="s">
        <v>50</v>
      </c>
      <c r="D29" s="57">
        <v>152355</v>
      </c>
      <c r="E29" s="58" t="s">
        <v>35</v>
      </c>
      <c r="F29" s="59">
        <v>45917</v>
      </c>
      <c r="G29" s="59">
        <v>45918</v>
      </c>
      <c r="H29" s="60">
        <v>98.460700009845425</v>
      </c>
      <c r="I29" s="60">
        <v>98.502512356010627</v>
      </c>
      <c r="J29" s="61">
        <v>15000979.949999999</v>
      </c>
      <c r="K29" s="61">
        <v>15007350.27</v>
      </c>
      <c r="L29" s="62">
        <v>15.5001</v>
      </c>
      <c r="M29" s="63">
        <v>0</v>
      </c>
      <c r="N29" s="64">
        <v>15000979.949999999</v>
      </c>
      <c r="O29" s="52"/>
    </row>
    <row r="30" spans="1:15" ht="39" thickBot="1" x14ac:dyDescent="0.3">
      <c r="A30" s="54">
        <v>2</v>
      </c>
      <c r="B30" s="55" t="s">
        <v>49</v>
      </c>
      <c r="C30" s="56" t="s">
        <v>50</v>
      </c>
      <c r="D30" s="57">
        <v>24529155</v>
      </c>
      <c r="E30" s="58" t="s">
        <v>35</v>
      </c>
      <c r="F30" s="59">
        <v>45917</v>
      </c>
      <c r="G30" s="59">
        <v>45918</v>
      </c>
      <c r="H30" s="60">
        <v>98.460700000061195</v>
      </c>
      <c r="I30" s="60">
        <v>98.502512347857106</v>
      </c>
      <c r="J30" s="61">
        <v>2415157771.71</v>
      </c>
      <c r="K30" s="61">
        <v>2416183393.27</v>
      </c>
      <c r="L30" s="62">
        <v>15.5001</v>
      </c>
      <c r="M30" s="63">
        <v>0</v>
      </c>
      <c r="N30" s="64">
        <v>2415157771.71</v>
      </c>
      <c r="O30" s="52"/>
    </row>
    <row r="31" spans="1:15" ht="26.25" thickBot="1" x14ac:dyDescent="0.3">
      <c r="A31" s="54">
        <v>3</v>
      </c>
      <c r="B31" s="55" t="s">
        <v>51</v>
      </c>
      <c r="C31" s="56" t="s">
        <v>52</v>
      </c>
      <c r="D31" s="57">
        <v>105985</v>
      </c>
      <c r="E31" s="58" t="s">
        <v>35</v>
      </c>
      <c r="F31" s="59">
        <v>45916</v>
      </c>
      <c r="G31" s="59">
        <v>45923</v>
      </c>
      <c r="H31" s="60">
        <v>519.18509996697696</v>
      </c>
      <c r="I31" s="60">
        <v>520.7682489975</v>
      </c>
      <c r="J31" s="61">
        <v>55025832.82</v>
      </c>
      <c r="K31" s="61">
        <v>55193622.869999997</v>
      </c>
      <c r="L31" s="62">
        <v>15.899900000000001</v>
      </c>
      <c r="M31" s="63">
        <v>23970.01</v>
      </c>
      <c r="N31" s="64">
        <v>55049802.829999998</v>
      </c>
      <c r="O31" s="52"/>
    </row>
    <row r="32" spans="1:15" ht="26.25" thickBot="1" x14ac:dyDescent="0.3">
      <c r="A32" s="54">
        <v>4</v>
      </c>
      <c r="B32" s="55" t="s">
        <v>53</v>
      </c>
      <c r="C32" s="56" t="s">
        <v>54</v>
      </c>
      <c r="D32" s="57">
        <v>351604</v>
      </c>
      <c r="E32" s="58" t="s">
        <v>35</v>
      </c>
      <c r="F32" s="59">
        <v>45916</v>
      </c>
      <c r="G32" s="59">
        <v>45923</v>
      </c>
      <c r="H32" s="60">
        <v>745.33599998862405</v>
      </c>
      <c r="I32" s="60">
        <v>747.62019957110795</v>
      </c>
      <c r="J32" s="61">
        <v>262063118.94</v>
      </c>
      <c r="K32" s="61">
        <v>262866252.65000001</v>
      </c>
      <c r="L32" s="62">
        <v>15.98</v>
      </c>
      <c r="M32" s="63">
        <v>114733.39</v>
      </c>
      <c r="N32" s="64">
        <v>262177852.33000001</v>
      </c>
      <c r="O32" s="52"/>
    </row>
    <row r="33" spans="1:16" ht="26.25" thickBot="1" x14ac:dyDescent="0.3">
      <c r="A33" s="54">
        <v>5</v>
      </c>
      <c r="B33" s="55" t="s">
        <v>55</v>
      </c>
      <c r="C33" s="56" t="s">
        <v>56</v>
      </c>
      <c r="D33" s="57">
        <v>834234</v>
      </c>
      <c r="E33" s="58" t="s">
        <v>35</v>
      </c>
      <c r="F33" s="59">
        <v>45916</v>
      </c>
      <c r="G33" s="59">
        <v>45923</v>
      </c>
      <c r="H33" s="60">
        <v>586.332999997603</v>
      </c>
      <c r="I33" s="60">
        <v>588.12990984543899</v>
      </c>
      <c r="J33" s="61">
        <v>489138923.92000002</v>
      </c>
      <c r="K33" s="61">
        <v>490637967.20999998</v>
      </c>
      <c r="L33" s="62">
        <v>15.98</v>
      </c>
      <c r="M33" s="63">
        <v>214149.04</v>
      </c>
      <c r="N33" s="64">
        <v>489353072.95999998</v>
      </c>
      <c r="O33" s="52"/>
    </row>
    <row r="34" spans="1:16" ht="26.25" thickBot="1" x14ac:dyDescent="0.3">
      <c r="A34" s="54">
        <v>6</v>
      </c>
      <c r="B34" s="55" t="s">
        <v>57</v>
      </c>
      <c r="C34" s="56" t="s">
        <v>58</v>
      </c>
      <c r="D34" s="57">
        <v>6256956</v>
      </c>
      <c r="E34" s="58" t="s">
        <v>35</v>
      </c>
      <c r="F34" s="59">
        <v>45916</v>
      </c>
      <c r="G34" s="59">
        <v>45923</v>
      </c>
      <c r="H34" s="60">
        <v>549.38269999980798</v>
      </c>
      <c r="I34" s="60">
        <v>551.06636983063299</v>
      </c>
      <c r="J34" s="61">
        <v>3437463381.0599999</v>
      </c>
      <c r="K34" s="61">
        <v>3447998029.1100001</v>
      </c>
      <c r="L34" s="62">
        <v>15.98</v>
      </c>
      <c r="M34" s="63">
        <v>1504949.72</v>
      </c>
      <c r="N34" s="64">
        <v>3438968330.7800002</v>
      </c>
      <c r="O34" s="52"/>
    </row>
    <row r="35" spans="1:16" ht="39" thickBot="1" x14ac:dyDescent="0.3">
      <c r="A35" s="54">
        <v>7</v>
      </c>
      <c r="B35" s="55" t="s">
        <v>59</v>
      </c>
      <c r="C35" s="56" t="s">
        <v>60</v>
      </c>
      <c r="D35" s="57">
        <v>3510800</v>
      </c>
      <c r="E35" s="58" t="s">
        <v>35</v>
      </c>
      <c r="F35" s="59">
        <v>45916</v>
      </c>
      <c r="G35" s="59">
        <v>45923</v>
      </c>
      <c r="H35" s="60">
        <v>763.54399999999998</v>
      </c>
      <c r="I35" s="60">
        <v>765.88400087159596</v>
      </c>
      <c r="J35" s="61">
        <v>2680650275.1999998</v>
      </c>
      <c r="K35" s="61">
        <v>2688865550.2600002</v>
      </c>
      <c r="L35" s="62">
        <v>15.98</v>
      </c>
      <c r="M35" s="63">
        <v>1173610.72</v>
      </c>
      <c r="N35" s="64">
        <v>2681823885.9200001</v>
      </c>
      <c r="O35" s="52"/>
    </row>
    <row r="36" spans="1:16" ht="26.25" thickBot="1" x14ac:dyDescent="0.3">
      <c r="A36" s="54">
        <v>8</v>
      </c>
      <c r="B36" s="55" t="s">
        <v>61</v>
      </c>
      <c r="C36" s="56" t="s">
        <v>62</v>
      </c>
      <c r="D36" s="57">
        <v>2629060</v>
      </c>
      <c r="E36" s="58" t="s">
        <v>35</v>
      </c>
      <c r="F36" s="59">
        <v>45916</v>
      </c>
      <c r="G36" s="59">
        <v>45923</v>
      </c>
      <c r="H36" s="60">
        <v>948.33900000000006</v>
      </c>
      <c r="I36" s="60">
        <v>951.24533426015398</v>
      </c>
      <c r="J36" s="61">
        <v>2493240131.3400002</v>
      </c>
      <c r="K36" s="61">
        <v>2500881058.4899998</v>
      </c>
      <c r="L36" s="62">
        <v>15.98</v>
      </c>
      <c r="M36" s="63">
        <v>1091561.02</v>
      </c>
      <c r="N36" s="64">
        <v>2494331692.3600001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4122973.9</v>
      </c>
      <c r="N37" s="73">
        <v>11851863388.84</v>
      </c>
      <c r="O37" s="106">
        <v>11851863388.841431</v>
      </c>
      <c r="P37" s="107">
        <f>N37-O37</f>
        <v>-1.430511474609375E-3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11851863388.841431</v>
      </c>
      <c r="O38" s="74"/>
    </row>
    <row r="39" spans="1:16" ht="27.75" thickBot="1" x14ac:dyDescent="0.35">
      <c r="A39" s="76"/>
      <c r="B39" s="77" t="s">
        <v>63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64</v>
      </c>
      <c r="C40" s="78" t="s">
        <v>65</v>
      </c>
      <c r="D40" s="78" t="s">
        <v>39</v>
      </c>
      <c r="E40" s="78" t="s">
        <v>66</v>
      </c>
      <c r="F40" s="78" t="s">
        <v>67</v>
      </c>
      <c r="G40" s="78" t="s">
        <v>68</v>
      </c>
      <c r="H40" s="78" t="s">
        <v>69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  <c r="O41" s="74"/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70</v>
      </c>
      <c r="C43" s="101">
        <v>53831990492.912498</v>
      </c>
      <c r="D43" s="43">
        <v>53831990492.912529</v>
      </c>
      <c r="E43" s="105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71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72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64</v>
      </c>
      <c r="C49" s="78" t="s">
        <v>65</v>
      </c>
      <c r="D49" s="78" t="s">
        <v>39</v>
      </c>
      <c r="E49" s="78" t="s">
        <v>66</v>
      </c>
      <c r="F49" s="78" t="s">
        <v>67</v>
      </c>
      <c r="G49" s="78" t="s">
        <v>68</v>
      </c>
      <c r="H49" s="78" t="s">
        <v>69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73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74</v>
      </c>
      <c r="C53" s="83" t="s">
        <v>65</v>
      </c>
      <c r="D53" s="83" t="s">
        <v>75</v>
      </c>
      <c r="E53" s="83" t="s">
        <v>76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77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78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79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80</v>
      </c>
      <c r="D57" s="92">
        <v>374498.72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81</v>
      </c>
      <c r="D58" s="92">
        <v>57000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82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83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84</v>
      </c>
      <c r="D61" s="92">
        <v>125564.28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85</v>
      </c>
      <c r="D62" s="92">
        <v>251360.07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86</v>
      </c>
      <c r="D63" s="92">
        <v>0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87</v>
      </c>
      <c r="D64" s="92">
        <v>0</v>
      </c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88</v>
      </c>
      <c r="D65" s="96">
        <v>0</v>
      </c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3" t="s">
        <v>89</v>
      </c>
      <c r="C66" s="104"/>
      <c r="D66" s="98">
        <v>808423.07</v>
      </c>
      <c r="E66" s="99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100" t="s">
        <v>90</v>
      </c>
      <c r="C68" s="102">
        <v>53831182069.842499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x14ac:dyDescent="0.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  <row r="70" spans="1:14" x14ac:dyDescent="0.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2025-09-18T07:35:38Z</dcterms:created>
  <dcterms:modified xsi:type="dcterms:W3CDTF">2025-09-18T10:25:55Z</dcterms:modified>
</cp:coreProperties>
</file>