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36D5DBEB-547F-4373-B497-526460542D92}" xr6:coauthVersionLast="47" xr6:coauthVersionMax="47" xr10:uidLastSave="{00000000-0000-0000-0000-000000000000}"/>
  <bookViews>
    <workbookView xWindow="-120" yWindow="-120" windowWidth="29040" windowHeight="15720" xr2:uid="{070158FD-146C-4047-A74F-04DCA9802759}"/>
  </bookViews>
  <sheets>
    <sheet name="Лист1" sheetId="1" r:id="rId1"/>
    <sheet name="Расчет ДУ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4" i="1" l="1"/>
  <c r="D52" i="1"/>
  <c r="B2" i="2"/>
  <c r="D63" i="1"/>
  <c r="G59" i="1" l="1"/>
  <c r="G58" i="1"/>
  <c r="F2" i="2" l="1"/>
  <c r="C2" i="2"/>
  <c r="G2" i="2" l="1"/>
  <c r="H2" i="2" s="1"/>
  <c r="E40" i="1" l="1"/>
  <c r="P34" i="1"/>
  <c r="P22" i="1"/>
  <c r="F24" i="1"/>
</calcChain>
</file>

<file path=xl/sharedStrings.xml><?xml version="1.0" encoding="utf-8"?>
<sst xmlns="http://schemas.openxmlformats.org/spreadsheetml/2006/main" count="129" uniqueCount="92">
  <si>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</si>
  <si>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</si>
  <si>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</si>
  <si>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</si>
  <si>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</si>
  <si>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</si>
  <si>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</si>
  <si>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</si>
  <si>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</si>
  <si>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</si>
  <si>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</si>
  <si>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</si>
  <si>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</si>
  <si>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</si>
  <si>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</si>
  <si>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</si>
  <si>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</si>
  <si>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</si>
  <si>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</si>
  <si>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</si>
  <si>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</si>
  <si>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</si>
  <si>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</si>
  <si>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</si>
  <si>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</si>
  <si>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</si>
  <si>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</si>
  <si>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</si>
  <si>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</si>
  <si>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</si>
  <si>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</si>
  <si>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</si>
  <si>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</si>
  <si>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</si>
  <si>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</si>
  <si>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</si>
  <si>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</si>
  <si>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</si>
  <si>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</si>
  <si>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</si>
  <si>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</si>
  <si>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</si>
  <si>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</si>
  <si>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</si>
  <si>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</si>
  <si>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</si>
  <si>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</si>
  <si>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</si>
  <si>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</si>
  <si>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Республики Казахстан, Репо</t>
  </si>
  <si>
    <t>XS2914770545</t>
  </si>
  <si>
    <t>Купонные облигации МЕУКАМ Министерства финансов Республики Казахстан, Репо</t>
  </si>
  <si>
    <t>Купонные облигации Евразийский банк развития, Репо</t>
  </si>
  <si>
    <t>KZ2D00009628</t>
  </si>
  <si>
    <t>Купонные МЕУКАМ Министерство финансов Республики Казахстан, Репо</t>
  </si>
  <si>
    <t>KZKD00001228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</si>
  <si>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</si>
  <si>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</si>
  <si>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</si>
  <si>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</si>
  <si>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</si>
  <si>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</si>
  <si>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</si>
  <si>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</si>
  <si>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</si>
  <si>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</si>
  <si>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</si>
  <si>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</si>
  <si>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</si>
  <si>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</si>
  <si>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</si>
  <si>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</si>
  <si>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</si>
  <si>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</si>
  <si>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</si>
  <si>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</si>
  <si>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</si>
  <si>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</si>
  <si>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</si>
  <si>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</si>
  <si>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</si>
  <si>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</si>
  <si>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</si>
  <si>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</si>
  <si>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</si>
  <si>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</si>
  <si>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</si>
  <si>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</si>
  <si>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Оплаченная комиссия ДУ за октябрь   (без учета корректировки)</t>
  </si>
  <si>
    <t>Фактическая комиссия за октябрь</t>
  </si>
  <si>
    <t>Корректировка комиссии ДУ за октбярь</t>
  </si>
  <si>
    <t>Комиссия ДУ за ноябрь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</si>
</sst>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  <numFmt numFmtId="171" formatCode="_-* #,##0.00\ _₸_-;\-* #,##0.00\ _₸_-;_-* &quot;-&quot;??\ _₸_-;_-@_-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  <xf numFmtId="0" fontId="2" fillId="0" borderId="12" xfId="0" applyFont="1" applyBorder="1"/>
    <xf numFmtId="0" fontId="2" fillId="0" borderId="13" xfId="0" applyFont="1" applyBorder="1"/>
    <xf numFmtId="170" fontId="0" fillId="0" borderId="0" xfId="3" applyNumberFormat="1" applyFont="1"/>
    <xf numFmtId="171" fontId="0" fillId="0" borderId="0" xfId="0" applyNumberFormat="1"/>
    <xf numFmtId="43" fontId="0" fillId="0" borderId="0" xfId="0" applyNumberFormat="1"/>
    <xf numFmtId="166" fontId="0" fillId="0" borderId="0" xfId="0" applyNumberFormat="1"/>
    <xf numFmtId="170" fontId="0" fillId="0" borderId="0" xfId="0" applyNumberFormat="1"/>
    <xf numFmtId="170" fontId="0" fillId="0" borderId="0" xfId="2" applyNumberFormat="1" applyFont="1"/>
    <xf numFmtId="14" fontId="0" fillId="0" borderId="0" xfId="0" applyNumberFormat="1"/>
    <xf numFmtId="43" fontId="0" fillId="0" borderId="2" xfId="2" applyFont="1" applyBorder="1"/>
    <xf numFmtId="43" fontId="0" fillId="0" borderId="2" xfId="2" applyFont="1" applyFill="1" applyBorder="1"/>
    <xf numFmtId="43" fontId="0" fillId="0" borderId="5" xfId="2" applyFont="1" applyFill="1" applyBorder="1"/>
    <xf numFmtId="43" fontId="0" fillId="0" borderId="14" xfId="2" applyFont="1" applyFill="1" applyBorder="1"/>
    <xf numFmtId="43" fontId="0" fillId="0" borderId="0" xfId="2" applyFont="1" applyBorder="1"/>
    <xf numFmtId="43" fontId="0" fillId="0" borderId="9" xfId="2" applyFont="1" applyFill="1" applyBorder="1" applyAlignment="1">
      <alignment horizontal="center"/>
    </xf>
    <xf numFmtId="43" fontId="0" fillId="0" borderId="4" xfId="2" applyFont="1" applyFill="1" applyBorder="1" applyAlignment="1">
      <alignment horizontal="center"/>
    </xf>
    <xf numFmtId="43" fontId="0" fillId="0" borderId="10" xfId="2" applyFont="1" applyFill="1" applyBorder="1" applyAlignment="1">
      <alignment horizontal="center"/>
    </xf>
    <xf numFmtId="43" fontId="0" fillId="0" borderId="5" xfId="2" applyFont="1" applyFill="1" applyBorder="1" applyAlignment="1">
      <alignment horizontal="center"/>
    </xf>
  </cellXfs>
  <cellStyles count="4">
    <cellStyle name="Обычный" xfId="0" builtinId="0"/>
    <cellStyle name="Финансовый" xfId="2" builtinId="3"/>
    <cellStyle name="Финансовый 2" xfId="1" xr:uid="{50882241-39C1-463C-B4ED-7F1D6743B1BB}"/>
    <cellStyle name="Финансовый 4" xfId="3" xr:uid="{E6501968-E1DB-495F-9905-4E97E876E3B0}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</xdr:row>
      <xdr:rowOff>95250</xdr:rowOff>
    </xdr:from>
    <xdr:to>
      <xdr:col>3</xdr:col>
      <xdr:colOff>2740521</xdr:colOff>
      <xdr:row>48</xdr:row>
      <xdr:rowOff>86920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EB46AF9-BCE6-40EE-9A7F-A24CEF119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666750"/>
          <a:ext cx="7503021" cy="8564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C7EC-CA19-4B63-9AB2-CE15FD16ABC8}">
  <dimension ref="A1:P65"/>
  <sheetViews>
    <sheetView tabSelected="1" topLeftCell="A45" workbookViewId="0">
      <selection activeCell="H55" sqref="H55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6" width="12.85546875" customWidth="1"/>
    <col min="7" max="7" width="14" bestFit="1" customWidth="1"/>
    <col min="8" max="8" width="14.7109375" customWidth="1"/>
    <col min="9" max="9" width="19.7109375" customWidth="1"/>
    <col min="10" max="10" width="19.28515625" customWidth="1"/>
    <col min="11" max="11" width="16" customWidth="1"/>
    <col min="12" max="12" width="18.28515625" customWidth="1"/>
    <col min="13" max="13" width="20.5703125" customWidth="1"/>
    <col min="14" max="14" width="15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45991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87.458399999999997</v>
      </c>
      <c r="K7" s="21">
        <v>91.164149999999992</v>
      </c>
      <c r="L7" s="21">
        <v>231609375.00000003</v>
      </c>
      <c r="M7" s="21">
        <v>5697759375</v>
      </c>
      <c r="N7" s="25">
        <v>13.050729112678264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99.111000000000004</v>
      </c>
      <c r="K8" s="21">
        <v>102.934416666667</v>
      </c>
      <c r="L8" s="21">
        <v>191170833.33333299</v>
      </c>
      <c r="M8" s="21">
        <v>5146720833.3333302</v>
      </c>
      <c r="N8" s="25">
        <v>11.7885742436098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88.387299999999996</v>
      </c>
      <c r="K9" s="21">
        <v>94.973966666666698</v>
      </c>
      <c r="L9" s="21">
        <v>247000000</v>
      </c>
      <c r="M9" s="21">
        <v>3561523750</v>
      </c>
      <c r="N9" s="25">
        <v>8.1576771903639909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86.309100000000001</v>
      </c>
      <c r="K10" s="21">
        <v>93.642433333333301</v>
      </c>
      <c r="L10" s="21">
        <v>275000000</v>
      </c>
      <c r="M10" s="21">
        <v>3511591250</v>
      </c>
      <c r="N10" s="25">
        <v>8.0433067003994498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84.198700000000002</v>
      </c>
      <c r="K11" s="21">
        <v>87.773977777777802</v>
      </c>
      <c r="L11" s="21">
        <v>134072916.666667</v>
      </c>
      <c r="M11" s="21">
        <v>3291524166.6666698</v>
      </c>
      <c r="N11" s="25">
        <v>7.5392426109606898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78.766199999999998</v>
      </c>
      <c r="K12" s="21">
        <v>86.004811111111096</v>
      </c>
      <c r="L12" s="21">
        <v>271447916.66666698</v>
      </c>
      <c r="M12" s="21">
        <v>3225180416.6666698</v>
      </c>
      <c r="N12" s="25">
        <v>7.3872821204267698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69.194100000000006</v>
      </c>
      <c r="K13" s="21">
        <v>74.451877777777796</v>
      </c>
      <c r="L13" s="21">
        <v>197166666.66666701</v>
      </c>
      <c r="M13" s="21">
        <v>2791945416.6666698</v>
      </c>
      <c r="N13" s="25">
        <v>6.3949564964386196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76.897999999999996</v>
      </c>
      <c r="K14" s="21">
        <v>80.566333333333304</v>
      </c>
      <c r="L14" s="21">
        <v>137562500</v>
      </c>
      <c r="M14" s="21">
        <v>3021237500</v>
      </c>
      <c r="N14" s="25">
        <v>6.9201504666148299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62.494199999999999</v>
      </c>
      <c r="K15" s="21">
        <v>66.932699999999997</v>
      </c>
      <c r="L15" s="21">
        <v>166443750</v>
      </c>
      <c r="M15" s="21">
        <v>2509976250</v>
      </c>
      <c r="N15" s="25">
        <v>5.7491055627469398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61.061</v>
      </c>
      <c r="K16" s="21">
        <v>67.808416666666702</v>
      </c>
      <c r="L16" s="21">
        <v>253028125</v>
      </c>
      <c r="M16" s="21">
        <v>2542815625</v>
      </c>
      <c r="N16" s="25">
        <v>5.82432421610656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86.552800000000005</v>
      </c>
      <c r="K17" s="21">
        <v>95.319466666666699</v>
      </c>
      <c r="L17" s="21">
        <v>175333333.33333299</v>
      </c>
      <c r="M17" s="21">
        <v>1906389333.3333299</v>
      </c>
      <c r="N17" s="25">
        <v>4.3665885368549198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86.552800000000005</v>
      </c>
      <c r="K18" s="21">
        <v>95.319466666666699</v>
      </c>
      <c r="L18" s="21">
        <v>263000000</v>
      </c>
      <c r="M18" s="21">
        <v>2859584000</v>
      </c>
      <c r="N18" s="25">
        <v>6.5498828052823796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84.198700000000002</v>
      </c>
      <c r="K19" s="21">
        <v>87.773977777777802</v>
      </c>
      <c r="L19" s="21">
        <v>35752777.777777798</v>
      </c>
      <c r="M19" s="21">
        <v>877739777.77777803</v>
      </c>
      <c r="N19" s="25">
        <v>2.0104646962561801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71.487499999999997</v>
      </c>
      <c r="K20" s="21">
        <v>74.3322222222222</v>
      </c>
      <c r="L20" s="21">
        <v>28447222.222222202</v>
      </c>
      <c r="M20" s="21">
        <v>743322222.22222197</v>
      </c>
      <c r="N20" s="25">
        <v>1.7025810195180899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95.106278098146305</v>
      </c>
      <c r="K21" s="21">
        <v>98.562111431479593</v>
      </c>
      <c r="L21" s="21">
        <v>69116666.666666701</v>
      </c>
      <c r="M21" s="21">
        <v>1971242228.62959</v>
      </c>
      <c r="N21" s="25">
        <v>4.5151342217425601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2676152083.3333302</v>
      </c>
      <c r="M22" s="35">
        <v>43658552145.296303</v>
      </c>
      <c r="N22" s="36">
        <v>100</v>
      </c>
      <c r="O22" s="41">
        <v>43658552145.296265</v>
      </c>
      <c r="P22" s="101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392658.91</v>
      </c>
      <c r="E24" s="99">
        <v>392658.91</v>
      </c>
      <c r="F24" s="100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23364</v>
      </c>
      <c r="E28" s="58" t="s">
        <v>35</v>
      </c>
      <c r="F28" s="59">
        <v>45989</v>
      </c>
      <c r="G28" s="59">
        <v>45992</v>
      </c>
      <c r="H28" s="60">
        <v>513.68959981167609</v>
      </c>
      <c r="I28" s="60">
        <v>514.43691705187473</v>
      </c>
      <c r="J28" s="61">
        <v>12001843.810000001</v>
      </c>
      <c r="K28" s="61">
        <v>12019304.130000001</v>
      </c>
      <c r="L28" s="62">
        <v>17.700099999999999</v>
      </c>
      <c r="M28" s="63">
        <v>11640.21</v>
      </c>
      <c r="N28" s="64">
        <v>12013484.02</v>
      </c>
      <c r="O28" s="52"/>
    </row>
    <row r="29" spans="1:16" ht="26.25" thickBot="1" x14ac:dyDescent="0.3">
      <c r="A29" s="54">
        <v>2</v>
      </c>
      <c r="B29" s="55" t="s">
        <v>49</v>
      </c>
      <c r="C29" s="56" t="s">
        <v>50</v>
      </c>
      <c r="D29" s="57">
        <v>207901</v>
      </c>
      <c r="E29" s="58" t="s">
        <v>35</v>
      </c>
      <c r="F29" s="59">
        <v>45986</v>
      </c>
      <c r="G29" s="59">
        <v>45993</v>
      </c>
      <c r="H29" s="60">
        <v>514.677200013468</v>
      </c>
      <c r="I29" s="60">
        <v>516.39566769760597</v>
      </c>
      <c r="J29" s="61">
        <v>107001904.56</v>
      </c>
      <c r="K29" s="61">
        <v>107359175.70999999</v>
      </c>
      <c r="L29" s="62">
        <v>17.4101</v>
      </c>
      <c r="M29" s="63">
        <v>255193.68</v>
      </c>
      <c r="N29" s="64">
        <v>107257098.23999999</v>
      </c>
      <c r="O29" s="52"/>
    </row>
    <row r="30" spans="1:16" ht="26.25" thickBot="1" x14ac:dyDescent="0.3">
      <c r="A30" s="54">
        <v>3</v>
      </c>
      <c r="B30" s="55" t="s">
        <v>49</v>
      </c>
      <c r="C30" s="56" t="s">
        <v>50</v>
      </c>
      <c r="D30" s="57">
        <v>786588</v>
      </c>
      <c r="E30" s="58" t="s">
        <v>35</v>
      </c>
      <c r="F30" s="59">
        <v>45989</v>
      </c>
      <c r="G30" s="59">
        <v>45992</v>
      </c>
      <c r="H30" s="60">
        <v>513.68959999389801</v>
      </c>
      <c r="I30" s="60">
        <v>514.43691702644799</v>
      </c>
      <c r="J30" s="61">
        <v>404062075.07999998</v>
      </c>
      <c r="K30" s="61">
        <v>404649905.69</v>
      </c>
      <c r="L30" s="62">
        <v>17.700099999999999</v>
      </c>
      <c r="M30" s="63">
        <v>391887.07</v>
      </c>
      <c r="N30" s="64">
        <v>404453962.14999998</v>
      </c>
      <c r="O30" s="52"/>
    </row>
    <row r="31" spans="1:16" ht="39" thickBot="1" x14ac:dyDescent="0.3">
      <c r="A31" s="54">
        <v>4</v>
      </c>
      <c r="B31" s="55" t="s">
        <v>51</v>
      </c>
      <c r="C31" s="56" t="s">
        <v>24</v>
      </c>
      <c r="D31" s="57">
        <v>1847268</v>
      </c>
      <c r="E31" s="58" t="s">
        <v>35</v>
      </c>
      <c r="F31" s="59">
        <v>45989</v>
      </c>
      <c r="G31" s="59">
        <v>45992</v>
      </c>
      <c r="H31" s="60">
        <v>859.47600000108298</v>
      </c>
      <c r="I31" s="60">
        <v>860.72636804188699</v>
      </c>
      <c r="J31" s="61">
        <v>1587682511.5699999</v>
      </c>
      <c r="K31" s="61">
        <v>1589992276.4400001</v>
      </c>
      <c r="L31" s="62">
        <v>17.700099999999999</v>
      </c>
      <c r="M31" s="63">
        <v>1539843.25</v>
      </c>
      <c r="N31" s="64">
        <v>1589222354.8199999</v>
      </c>
      <c r="O31" s="52"/>
    </row>
    <row r="32" spans="1:16" ht="26.25" thickBot="1" x14ac:dyDescent="0.3">
      <c r="A32" s="54">
        <v>5</v>
      </c>
      <c r="B32" s="55" t="s">
        <v>52</v>
      </c>
      <c r="C32" s="56" t="s">
        <v>53</v>
      </c>
      <c r="D32" s="57">
        <v>228360</v>
      </c>
      <c r="E32" s="58" t="s">
        <v>35</v>
      </c>
      <c r="F32" s="59">
        <v>45986</v>
      </c>
      <c r="G32" s="59">
        <v>45993</v>
      </c>
      <c r="H32" s="60">
        <v>525.654</v>
      </c>
      <c r="I32" s="60">
        <v>527.41818124890494</v>
      </c>
      <c r="J32" s="61">
        <v>120038347.44</v>
      </c>
      <c r="K32" s="61">
        <v>120441215.87</v>
      </c>
      <c r="L32" s="62">
        <v>17.5</v>
      </c>
      <c r="M32" s="63">
        <v>287763.15999999997</v>
      </c>
      <c r="N32" s="64">
        <v>120326110.59999999</v>
      </c>
      <c r="O32" s="52"/>
    </row>
    <row r="33" spans="1:16" ht="26.25" thickBot="1" x14ac:dyDescent="0.3">
      <c r="A33" s="54">
        <v>6</v>
      </c>
      <c r="B33" s="55" t="s">
        <v>54</v>
      </c>
      <c r="C33" s="56" t="s">
        <v>55</v>
      </c>
      <c r="D33" s="57">
        <v>10264865</v>
      </c>
      <c r="E33" s="58" t="s">
        <v>35</v>
      </c>
      <c r="F33" s="59">
        <v>45986</v>
      </c>
      <c r="G33" s="59">
        <v>45993</v>
      </c>
      <c r="H33" s="60">
        <v>974.52300000048695</v>
      </c>
      <c r="I33" s="60">
        <v>977.79365938373303</v>
      </c>
      <c r="J33" s="61">
        <v>10003347034.4</v>
      </c>
      <c r="K33" s="61">
        <v>10036919911.43</v>
      </c>
      <c r="L33" s="62">
        <v>17.5</v>
      </c>
      <c r="M33" s="63">
        <v>23980626.449999999</v>
      </c>
      <c r="N33" s="64">
        <v>10027327660.85</v>
      </c>
      <c r="O33" s="52"/>
    </row>
    <row r="34" spans="1:16" ht="15.75" thickBot="1" x14ac:dyDescent="0.3">
      <c r="A34" s="65"/>
      <c r="B34" s="66"/>
      <c r="C34" s="67"/>
      <c r="D34" s="68"/>
      <c r="E34" s="69"/>
      <c r="F34" s="70"/>
      <c r="G34" s="70"/>
      <c r="H34" s="69"/>
      <c r="I34" s="69"/>
      <c r="J34" s="71"/>
      <c r="K34" s="69"/>
      <c r="L34" s="72"/>
      <c r="M34" s="73">
        <v>26466953.829999998</v>
      </c>
      <c r="N34" s="73">
        <v>12260600670.690001</v>
      </c>
      <c r="O34" s="102">
        <v>12260600670.686192</v>
      </c>
      <c r="P34" s="103">
        <f>N34-O34</f>
        <v>3.8089752197265625E-3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5">
        <v>0</v>
      </c>
      <c r="O35" s="74"/>
    </row>
    <row r="36" spans="1:16" ht="27.75" thickBot="1" x14ac:dyDescent="0.35">
      <c r="A36" s="76"/>
      <c r="B36" s="77" t="s">
        <v>56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5">
        <v>0</v>
      </c>
      <c r="O36" s="74"/>
    </row>
    <row r="37" spans="1:16" ht="25.5" x14ac:dyDescent="0.3">
      <c r="A37" s="76"/>
      <c r="B37" s="78" t="s">
        <v>57</v>
      </c>
      <c r="C37" s="78" t="s">
        <v>58</v>
      </c>
      <c r="D37" s="78" t="s">
        <v>39</v>
      </c>
      <c r="E37" s="78" t="s">
        <v>59</v>
      </c>
      <c r="F37" s="78" t="s">
        <v>60</v>
      </c>
      <c r="G37" s="78" t="s">
        <v>61</v>
      </c>
      <c r="H37" s="78" t="s">
        <v>62</v>
      </c>
      <c r="I37" s="43"/>
      <c r="J37" s="43"/>
      <c r="K37" s="43"/>
      <c r="L37" s="43"/>
      <c r="M37" s="43"/>
      <c r="N37" s="75">
        <v>0</v>
      </c>
      <c r="O37" s="74"/>
    </row>
    <row r="38" spans="1:16" ht="18.75" x14ac:dyDescent="0.3">
      <c r="A38" s="76"/>
      <c r="B38" s="79">
        <v>1</v>
      </c>
      <c r="C38" s="80"/>
      <c r="D38" s="80"/>
      <c r="E38" s="81"/>
      <c r="F38" s="81"/>
      <c r="G38" s="80"/>
      <c r="H38" s="80"/>
      <c r="I38" s="43"/>
      <c r="J38" s="43"/>
      <c r="K38" s="43"/>
      <c r="L38" s="43"/>
      <c r="M38" s="43"/>
      <c r="N38" s="75">
        <v>0</v>
      </c>
      <c r="O38" s="74"/>
    </row>
    <row r="39" spans="1:16" ht="19.5" thickBot="1" x14ac:dyDescent="0.35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19.5" thickBot="1" x14ac:dyDescent="0.35">
      <c r="A40" s="76"/>
      <c r="B40" s="82" t="s">
        <v>63</v>
      </c>
      <c r="C40" s="98">
        <v>55919545474.8825</v>
      </c>
      <c r="D40" s="104">
        <v>55919545474.892456</v>
      </c>
      <c r="E40" s="105">
        <f>C40-D40</f>
        <v>-9.95635986328125E-3</v>
      </c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53" t="s">
        <v>64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9.5" thickBot="1" x14ac:dyDescent="0.35">
      <c r="A45" s="76"/>
      <c r="B45" s="42" t="s">
        <v>65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25.5" x14ac:dyDescent="0.3">
      <c r="A46" s="76"/>
      <c r="B46" s="78" t="s">
        <v>57</v>
      </c>
      <c r="C46" s="78" t="s">
        <v>58</v>
      </c>
      <c r="D46" s="78" t="s">
        <v>39</v>
      </c>
      <c r="E46" s="78" t="s">
        <v>59</v>
      </c>
      <c r="F46" s="78" t="s">
        <v>60</v>
      </c>
      <c r="G46" s="78" t="s">
        <v>61</v>
      </c>
      <c r="H46" s="78" t="s">
        <v>62</v>
      </c>
      <c r="I46" s="43"/>
      <c r="J46" s="43"/>
      <c r="K46" s="43"/>
      <c r="L46" s="43"/>
      <c r="M46" s="43"/>
      <c r="N46" s="75">
        <v>0</v>
      </c>
    </row>
    <row r="47" spans="1:16" ht="18" x14ac:dyDescent="0.25">
      <c r="A47" s="42"/>
      <c r="B47" s="79">
        <v>1</v>
      </c>
      <c r="C47" s="80"/>
      <c r="D47" s="80"/>
      <c r="E47" s="81"/>
      <c r="F47" s="81"/>
      <c r="G47" s="80"/>
      <c r="H47" s="80"/>
      <c r="I47" s="43"/>
      <c r="J47" s="43"/>
      <c r="K47" s="43"/>
      <c r="L47" s="43"/>
      <c r="M47" s="43"/>
      <c r="N47" s="75">
        <v>0</v>
      </c>
    </row>
    <row r="48" spans="1:16" ht="18.75" x14ac:dyDescent="0.3">
      <c r="A48" s="76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42" t="s">
        <v>66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83" t="s">
        <v>67</v>
      </c>
      <c r="C50" s="83" t="s">
        <v>58</v>
      </c>
      <c r="D50" s="83" t="s">
        <v>68</v>
      </c>
      <c r="E50" s="83" t="s">
        <v>69</v>
      </c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19.5" thickBot="1" x14ac:dyDescent="0.35">
      <c r="A51" s="76"/>
      <c r="B51" s="84" t="s">
        <v>70</v>
      </c>
      <c r="C51" s="84">
        <v>1</v>
      </c>
      <c r="D51" s="84">
        <v>2</v>
      </c>
      <c r="E51" s="84">
        <v>3</v>
      </c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5">
        <v>1</v>
      </c>
      <c r="C52" s="86" t="s">
        <v>71</v>
      </c>
      <c r="D52" s="117">
        <f>'Расчет ДУ'!H2</f>
        <v>4135262.4760619323</v>
      </c>
      <c r="E52" s="87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8">
        <v>2</v>
      </c>
      <c r="C53" s="89" t="s">
        <v>72</v>
      </c>
      <c r="D53" s="119"/>
      <c r="E53" s="90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8">
        <v>3</v>
      </c>
      <c r="C54" s="89" t="s">
        <v>73</v>
      </c>
      <c r="D54" s="115">
        <v>679845.82</v>
      </c>
      <c r="E54" s="90"/>
      <c r="F54" s="120">
        <v>735845.80694106198</v>
      </c>
      <c r="G54" s="122">
        <f>D54+D55-F54</f>
        <v>1.3058937969617546E-2</v>
      </c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8">
        <v>4</v>
      </c>
      <c r="C55" s="89" t="s">
        <v>74</v>
      </c>
      <c r="D55" s="115">
        <v>56000</v>
      </c>
      <c r="E55" s="90"/>
      <c r="F55" s="121"/>
      <c r="G55" s="12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8">
        <v>5</v>
      </c>
      <c r="C56" s="89" t="s">
        <v>75</v>
      </c>
      <c r="D56" s="116">
        <v>0</v>
      </c>
      <c r="E56" s="90"/>
      <c r="F56" s="118"/>
      <c r="G56" s="116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8">
        <v>6</v>
      </c>
      <c r="C57" s="89" t="s">
        <v>76</v>
      </c>
      <c r="D57" s="116">
        <v>474960.75123806024</v>
      </c>
      <c r="E57" s="90"/>
      <c r="F57" s="118"/>
      <c r="G57" s="116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8">
        <v>7</v>
      </c>
      <c r="C58" s="89" t="s">
        <v>77</v>
      </c>
      <c r="D58" s="115">
        <v>255455.72</v>
      </c>
      <c r="E58" s="90"/>
      <c r="F58" s="118">
        <v>255455.72000000003</v>
      </c>
      <c r="G58" s="116">
        <f>D58-F58</f>
        <v>0</v>
      </c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8">
        <v>8</v>
      </c>
      <c r="C59" s="89" t="s">
        <v>78</v>
      </c>
      <c r="D59" s="115">
        <v>511240.4</v>
      </c>
      <c r="E59" s="90"/>
      <c r="F59" s="118">
        <v>511240.40000000026</v>
      </c>
      <c r="G59" s="116">
        <f>D59-F59</f>
        <v>0</v>
      </c>
      <c r="H59" s="43"/>
      <c r="I59" s="43"/>
      <c r="J59" s="43"/>
      <c r="K59" s="43"/>
      <c r="L59" s="43"/>
      <c r="M59" s="43"/>
      <c r="N59" s="75">
        <v>0</v>
      </c>
    </row>
    <row r="60" spans="1:14" ht="18.75" x14ac:dyDescent="0.3">
      <c r="A60" s="76"/>
      <c r="B60" s="88">
        <v>9</v>
      </c>
      <c r="C60" s="89" t="s">
        <v>79</v>
      </c>
      <c r="D60" s="91"/>
      <c r="E60" s="90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45.75" x14ac:dyDescent="0.3">
      <c r="A61" s="76"/>
      <c r="B61" s="88">
        <v>10</v>
      </c>
      <c r="C61" s="89" t="s">
        <v>80</v>
      </c>
      <c r="D61" s="91"/>
      <c r="E61" s="90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46.5" thickBot="1" x14ac:dyDescent="0.35">
      <c r="A62" s="76"/>
      <c r="B62" s="92">
        <v>11</v>
      </c>
      <c r="C62" s="93" t="s">
        <v>81</v>
      </c>
      <c r="D62" s="94"/>
      <c r="E62" s="95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9.5" thickBot="1" x14ac:dyDescent="0.35">
      <c r="A63" s="76"/>
      <c r="B63" s="106" t="s">
        <v>82</v>
      </c>
      <c r="C63" s="107"/>
      <c r="D63" s="98">
        <f>SUM(D52:D62)</f>
        <v>6112765.1672999924</v>
      </c>
      <c r="E63" s="96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15.75" thickBot="1" x14ac:dyDescent="0.3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  <row r="65" spans="1:14" ht="15.75" thickBot="1" x14ac:dyDescent="0.3">
      <c r="A65" s="74"/>
      <c r="B65" s="97" t="s">
        <v>83</v>
      </c>
      <c r="C65" s="98">
        <v>55918042932.942497</v>
      </c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</row>
  </sheetData>
  <mergeCells count="3">
    <mergeCell ref="B63:C63"/>
    <mergeCell ref="F54:F55"/>
    <mergeCell ref="G54:G55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23E88-FB21-4FDA-8161-577364EF6490}">
  <dimension ref="A1:H37"/>
  <sheetViews>
    <sheetView workbookViewId="0">
      <selection activeCell="B3" sqref="B3"/>
    </sheetView>
  </sheetViews>
  <sheetFormatPr defaultRowHeight="15" x14ac:dyDescent="0.25"/>
  <cols>
    <col min="1" max="1" width="17.5703125" style="41" bestFit="1" customWidth="1"/>
    <col min="2" max="2" width="26.42578125" style="41" bestFit="1" customWidth="1"/>
    <col min="3" max="3" width="27.85546875" style="41" bestFit="1" customWidth="1"/>
    <col min="4" max="4" width="60.7109375" style="41" bestFit="1" customWidth="1"/>
    <col min="5" max="5" width="33.140625" style="41" bestFit="1" customWidth="1"/>
    <col min="6" max="6" width="38.85546875" style="41" bestFit="1" customWidth="1"/>
    <col min="7" max="7" width="24.140625" style="41" bestFit="1" customWidth="1"/>
    <col min="8" max="8" width="14.5703125" style="41" bestFit="1" customWidth="1"/>
    <col min="9" max="16384" width="9.140625" style="41"/>
  </cols>
  <sheetData>
    <row r="1" spans="1:8" x14ac:dyDescent="0.25">
      <c r="A1" s="41" t="s">
        <v>84</v>
      </c>
      <c r="B1" s="41" t="s">
        <v>85</v>
      </c>
      <c r="C1" s="41" t="s">
        <v>86</v>
      </c>
      <c r="D1" s="41" t="s">
        <v>88</v>
      </c>
      <c r="E1" s="41" t="s">
        <v>89</v>
      </c>
      <c r="F1" s="41" t="s">
        <v>90</v>
      </c>
      <c r="G1" s="41" t="s">
        <v>91</v>
      </c>
      <c r="H1" s="41" t="s">
        <v>87</v>
      </c>
    </row>
    <row r="2" spans="1:8" x14ac:dyDescent="0.25">
      <c r="A2" s="108">
        <v>55143048785.219452</v>
      </c>
      <c r="B2" s="109">
        <f>Лист1!D54+Лист1!D55+Лист1!D57+Лист1!D58+Лист1!D59</f>
        <v>1977502.6912380601</v>
      </c>
      <c r="C2" s="110">
        <f>A2*0.09%/12</f>
        <v>4135728.6588914585</v>
      </c>
      <c r="D2" s="109">
        <v>4080981.0403380557</v>
      </c>
      <c r="E2" s="109">
        <v>4080973.3498597885</v>
      </c>
      <c r="F2" s="110">
        <f>E2-D2</f>
        <v>-7.6904782671481371</v>
      </c>
      <c r="G2" s="109">
        <f>(A2-B2-C2)*0.09%/12</f>
        <v>4135270.1665401994</v>
      </c>
      <c r="H2" s="109">
        <f>G2+F2</f>
        <v>4135262.4760619323</v>
      </c>
    </row>
    <row r="3" spans="1:8" x14ac:dyDescent="0.25">
      <c r="A3" s="113"/>
      <c r="B3" s="111"/>
    </row>
    <row r="5" spans="1:8" x14ac:dyDescent="0.25">
      <c r="D5" s="112"/>
    </row>
    <row r="8" spans="1:8" x14ac:dyDescent="0.25">
      <c r="D8" s="114"/>
      <c r="E8" s="112"/>
      <c r="F8" s="112"/>
      <c r="G8" s="112"/>
    </row>
    <row r="9" spans="1:8" x14ac:dyDescent="0.25">
      <c r="D9" s="114"/>
      <c r="E9" s="112"/>
      <c r="F9" s="112"/>
      <c r="G9" s="112"/>
    </row>
    <row r="10" spans="1:8" x14ac:dyDescent="0.25">
      <c r="D10" s="114"/>
      <c r="E10" s="112"/>
      <c r="F10" s="112"/>
      <c r="G10" s="112"/>
    </row>
    <row r="11" spans="1:8" x14ac:dyDescent="0.25">
      <c r="D11" s="114"/>
      <c r="E11" s="112"/>
      <c r="F11" s="112"/>
      <c r="G11" s="112"/>
    </row>
    <row r="12" spans="1:8" x14ac:dyDescent="0.25">
      <c r="D12" s="114"/>
      <c r="E12" s="112"/>
      <c r="F12" s="112"/>
      <c r="G12" s="112"/>
    </row>
    <row r="13" spans="1:8" x14ac:dyDescent="0.25">
      <c r="D13" s="114"/>
      <c r="E13" s="112"/>
      <c r="F13" s="112"/>
      <c r="G13" s="112"/>
    </row>
    <row r="14" spans="1:8" x14ac:dyDescent="0.25">
      <c r="D14" s="114"/>
      <c r="E14" s="112"/>
      <c r="F14" s="112"/>
      <c r="G14" s="112"/>
    </row>
    <row r="15" spans="1:8" x14ac:dyDescent="0.25">
      <c r="D15" s="114"/>
      <c r="E15" s="112"/>
      <c r="F15" s="112"/>
      <c r="G15" s="112"/>
    </row>
    <row r="16" spans="1:8" x14ac:dyDescent="0.25">
      <c r="D16" s="114"/>
      <c r="E16" s="112"/>
      <c r="F16" s="112"/>
      <c r="G16" s="112"/>
    </row>
    <row r="17" spans="4:7" x14ac:dyDescent="0.25">
      <c r="D17" s="114"/>
      <c r="E17" s="112"/>
      <c r="F17" s="112"/>
      <c r="G17" s="112"/>
    </row>
    <row r="18" spans="4:7" x14ac:dyDescent="0.25">
      <c r="D18" s="114"/>
      <c r="E18" s="112"/>
      <c r="F18" s="112"/>
      <c r="G18" s="112"/>
    </row>
    <row r="19" spans="4:7" x14ac:dyDescent="0.25">
      <c r="D19" s="114"/>
      <c r="E19" s="112"/>
      <c r="F19" s="112"/>
      <c r="G19" s="112"/>
    </row>
    <row r="20" spans="4:7" x14ac:dyDescent="0.25">
      <c r="D20" s="114"/>
      <c r="E20" s="112"/>
      <c r="F20" s="112"/>
      <c r="G20" s="112"/>
    </row>
    <row r="21" spans="4:7" x14ac:dyDescent="0.25">
      <c r="D21" s="114"/>
      <c r="E21" s="112"/>
      <c r="F21" s="112"/>
      <c r="G21" s="112"/>
    </row>
    <row r="22" spans="4:7" x14ac:dyDescent="0.25">
      <c r="D22" s="114"/>
      <c r="E22" s="112"/>
      <c r="F22" s="112"/>
      <c r="G22" s="112"/>
    </row>
    <row r="23" spans="4:7" x14ac:dyDescent="0.25">
      <c r="D23" s="114"/>
      <c r="E23" s="112"/>
      <c r="F23" s="112"/>
      <c r="G23" s="112"/>
    </row>
    <row r="24" spans="4:7" x14ac:dyDescent="0.25">
      <c r="D24" s="114"/>
      <c r="E24" s="112"/>
      <c r="F24" s="112"/>
      <c r="G24" s="112"/>
    </row>
    <row r="25" spans="4:7" x14ac:dyDescent="0.25">
      <c r="D25" s="114"/>
      <c r="E25" s="112"/>
      <c r="F25" s="112"/>
      <c r="G25" s="112"/>
    </row>
    <row r="26" spans="4:7" x14ac:dyDescent="0.25">
      <c r="D26" s="114"/>
      <c r="E26" s="112"/>
      <c r="F26" s="112"/>
      <c r="G26" s="112"/>
    </row>
    <row r="27" spans="4:7" x14ac:dyDescent="0.25">
      <c r="D27" s="114"/>
      <c r="E27" s="112"/>
      <c r="F27" s="112"/>
      <c r="G27" s="112"/>
    </row>
    <row r="28" spans="4:7" x14ac:dyDescent="0.25">
      <c r="D28" s="114"/>
      <c r="E28" s="112"/>
      <c r="F28" s="112"/>
      <c r="G28" s="112"/>
    </row>
    <row r="29" spans="4:7" x14ac:dyDescent="0.25">
      <c r="D29" s="114"/>
      <c r="E29" s="112"/>
      <c r="F29" s="112"/>
      <c r="G29" s="112"/>
    </row>
    <row r="30" spans="4:7" x14ac:dyDescent="0.25">
      <c r="D30" s="114"/>
      <c r="E30" s="112"/>
      <c r="F30" s="112"/>
      <c r="G30" s="112"/>
    </row>
    <row r="31" spans="4:7" x14ac:dyDescent="0.25">
      <c r="D31" s="114"/>
      <c r="E31" s="112"/>
      <c r="F31" s="112"/>
      <c r="G31" s="112"/>
    </row>
    <row r="32" spans="4:7" x14ac:dyDescent="0.25">
      <c r="D32" s="114"/>
      <c r="E32" s="112"/>
      <c r="F32" s="112"/>
      <c r="G32" s="112"/>
    </row>
    <row r="33" spans="4:7" x14ac:dyDescent="0.25">
      <c r="D33" s="114"/>
      <c r="E33" s="112"/>
      <c r="F33" s="112"/>
      <c r="G33" s="112"/>
    </row>
    <row r="34" spans="4:7" x14ac:dyDescent="0.25">
      <c r="D34" s="114"/>
      <c r="E34" s="112"/>
      <c r="F34" s="112"/>
      <c r="G34" s="112"/>
    </row>
    <row r="35" spans="4:7" x14ac:dyDescent="0.25">
      <c r="D35" s="114"/>
      <c r="E35" s="112"/>
      <c r="F35" s="112"/>
      <c r="G35" s="112"/>
    </row>
    <row r="36" spans="4:7" x14ac:dyDescent="0.25">
      <c r="D36" s="114"/>
      <c r="E36" s="112"/>
      <c r="F36" s="112"/>
      <c r="G36" s="112"/>
    </row>
    <row r="37" spans="4:7" x14ac:dyDescent="0.25">
      <c r="D37" s="114"/>
      <c r="E37" s="112"/>
      <c r="F37" s="112"/>
      <c r="G37" s="1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Расчет ДУ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2025-12-01T08:50:30Z</dcterms:created>
  <dcterms:modified xsi:type="dcterms:W3CDTF">2025-12-02T05:23:01Z</dcterms:modified>
</cp:coreProperties>
</file>