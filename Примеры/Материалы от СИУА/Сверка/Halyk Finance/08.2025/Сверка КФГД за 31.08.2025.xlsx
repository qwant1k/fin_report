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DA0A3703-0E80-4E2C-909A-4C4762C5474D}" xr6:coauthVersionLast="47" xr6:coauthVersionMax="47" xr10:uidLastSave="{00000000-0000-0000-0000-000000000000}"/>
  <bookViews>
    <workbookView xWindow="-120" yWindow="-120" windowWidth="29040" windowHeight="15720" xr2:uid="{9998995C-7222-4630-8557-C39AA5B349F7}"/>
  </bookViews>
  <sheets>
    <sheet name="Лист1" sheetId="1" r:id="rId1"/>
    <sheet name="Расчет ДУ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4" i="1" l="1"/>
  <c r="B2" i="2" l="1"/>
  <c r="G2" i="2" s="1"/>
  <c r="F2" i="2"/>
  <c r="C2" i="2"/>
  <c r="H2" i="2"/>
  <c r="D52" i="1" s="1"/>
  <c r="D63" i="1" s="1"/>
  <c r="G58" i="1" l="1"/>
  <c r="G59" i="1"/>
  <c r="E40" i="1"/>
  <c r="P34" i="1"/>
  <c r="P22" i="1"/>
  <c r="F24" i="1"/>
</calcChain>
</file>

<file path=xl/sharedStrings.xml><?xml version="1.0" encoding="utf-8"?>
<sst xmlns="http://schemas.openxmlformats.org/spreadsheetml/2006/main" count="133" uniqueCount="100">
  <si>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</si>
  <si>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</si>
  <si>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</si>
  <si>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</si>
  <si>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</si>
  <si>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</si>
  <si>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</si>
  <si>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</si>
  <si>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</si>
  <si>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</si>
  <si>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</si>
  <si>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</si>
  <si>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</si>
  <si>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</si>
  <si>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</si>
  <si>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</si>
  <si>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</si>
  <si>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</si>
  <si>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</si>
  <si>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</si>
  <si>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</si>
  <si>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</si>
  <si>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</si>
  <si>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</si>
  <si>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</si>
  <si>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</si>
  <si>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</si>
  <si>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</si>
  <si>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</si>
  <si>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</si>
  <si>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</si>
  <si>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</si>
  <si>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</si>
  <si>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</si>
  <si>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</si>
  <si>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</si>
  <si>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</si>
  <si>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</si>
  <si>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</si>
  <si>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</si>
  <si>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</si>
  <si>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</si>
  <si>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</si>
  <si>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</si>
  <si>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</si>
  <si>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</si>
  <si>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</si>
  <si>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</si>
  <si>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</si>
  <si>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Дисконтная облигация МЕККАМ Министерство финансов Республики Казахстан, Репо</t>
  </si>
  <si>
    <t>KZK100000423</t>
  </si>
  <si>
    <t>Купонные облигации МЕОКАМ  Министерство Финансов Республики Казахстан, Репо</t>
  </si>
  <si>
    <t>KZK200000679</t>
  </si>
  <si>
    <t>Купонные облигации МЕУКАМ МФ РК, Репо</t>
  </si>
  <si>
    <t>Пятнадцатилетние МЕUКАМ, эмиссия №11, Репо</t>
  </si>
  <si>
    <t>KZKD00000790</t>
  </si>
  <si>
    <t>Купонные меукам Министерство финансов Республики Казахстан, Репо</t>
  </si>
  <si>
    <t>KZKD00001285</t>
  </si>
  <si>
    <t>Купонные еврооблигации Министерства финансов Республики Казахстан, Репо</t>
  </si>
  <si>
    <t>XS1120709826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</si>
  <si>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</si>
  <si>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</si>
  <si>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</si>
  <si>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</si>
  <si>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</si>
  <si>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</si>
  <si>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</si>
  <si>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</si>
  <si>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</si>
  <si>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</si>
  <si>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</si>
  <si>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</si>
  <si>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</si>
  <si>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</si>
  <si>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</si>
  <si>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</si>
  <si>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</si>
  <si>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</si>
  <si>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</si>
  <si>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</si>
  <si>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</si>
  <si>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</si>
  <si>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</si>
  <si>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</si>
  <si>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</si>
  <si>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</si>
  <si>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</si>
  <si>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</si>
  <si>
    <t>Итого грязных</t>
  </si>
  <si>
    <t>Ср.грязных</t>
  </si>
  <si>
    <t>Фонд</t>
  </si>
  <si>
    <t xml:space="preserve">Расхождение 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</si>
  <si>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</si>
  <si>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</si>
  <si>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</si>
  <si>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</si>
  <si>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июль   (без учета корректировки)</t>
  </si>
  <si>
    <t>Фактическая комиссия за июль</t>
  </si>
  <si>
    <t>Корректировка комиссии ДУ за июль</t>
  </si>
  <si>
    <t>Комиссия ДУ за август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</si>
</sst>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  <numFmt numFmtId="171" formatCode="_-* #,##0.00\ _₸_-;\-* #,##0.00\ _₸_-;_-* &quot;-&quot;??\ _₸_-;_-@_-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43" fontId="0" fillId="0" borderId="2" xfId="1" applyFont="1" applyBorder="1"/>
    <xf numFmtId="0" fontId="0" fillId="0" borderId="7" xfId="0" applyBorder="1" applyAlignment="1">
      <alignment horizontal="center" vertical="top"/>
    </xf>
    <xf numFmtId="0" fontId="2" fillId="0" borderId="8" xfId="0" applyFont="1" applyBorder="1" applyAlignment="1">
      <alignment wrapText="1"/>
    </xf>
    <xf numFmtId="43" fontId="0" fillId="0" borderId="8" xfId="1" applyFont="1" applyBorder="1"/>
    <xf numFmtId="43" fontId="0" fillId="0" borderId="1" xfId="1" applyFont="1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166" fontId="15" fillId="0" borderId="0" xfId="0" applyNumberFormat="1" applyFont="1"/>
    <xf numFmtId="0" fontId="15" fillId="0" borderId="0" xfId="0" applyFont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  <xf numFmtId="43" fontId="8" fillId="0" borderId="0" xfId="2" applyFont="1"/>
    <xf numFmtId="0" fontId="2" fillId="0" borderId="9" xfId="0" applyFont="1" applyBorder="1"/>
    <xf numFmtId="0" fontId="2" fillId="0" borderId="10" xfId="0" applyFont="1" applyBorder="1"/>
    <xf numFmtId="0" fontId="14" fillId="0" borderId="9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9" xfId="0" applyBorder="1"/>
    <xf numFmtId="43" fontId="7" fillId="0" borderId="2" xfId="2" applyFont="1" applyBorder="1"/>
    <xf numFmtId="43" fontId="8" fillId="0" borderId="2" xfId="2" applyFont="1" applyBorder="1"/>
    <xf numFmtId="43" fontId="0" fillId="0" borderId="2" xfId="2" applyFont="1" applyBorder="1"/>
    <xf numFmtId="170" fontId="0" fillId="0" borderId="0" xfId="3" applyNumberFormat="1" applyFont="1"/>
    <xf numFmtId="171" fontId="0" fillId="0" borderId="0" xfId="0" applyNumberFormat="1"/>
    <xf numFmtId="43" fontId="0" fillId="0" borderId="0" xfId="0" applyNumberFormat="1"/>
    <xf numFmtId="166" fontId="0" fillId="0" borderId="0" xfId="2" applyNumberFormat="1" applyFont="1"/>
    <xf numFmtId="166" fontId="0" fillId="0" borderId="0" xfId="0" applyNumberFormat="1"/>
    <xf numFmtId="43" fontId="0" fillId="0" borderId="8" xfId="2" applyFont="1" applyBorder="1" applyAlignment="1">
      <alignment horizontal="center"/>
    </xf>
    <xf numFmtId="43" fontId="0" fillId="0" borderId="5" xfId="2" applyFont="1" applyBorder="1" applyAlignment="1">
      <alignment horizontal="center"/>
    </xf>
    <xf numFmtId="43" fontId="8" fillId="0" borderId="8" xfId="2" applyFont="1" applyBorder="1" applyAlignment="1">
      <alignment horizontal="center"/>
    </xf>
    <xf numFmtId="43" fontId="8" fillId="0" borderId="5" xfId="2" applyFont="1" applyBorder="1" applyAlignment="1">
      <alignment horizontal="center"/>
    </xf>
  </cellXfs>
  <cellStyles count="4">
    <cellStyle name="Обычный" xfId="0" builtinId="0"/>
    <cellStyle name="Финансовый" xfId="2" builtinId="3"/>
    <cellStyle name="Финансовый 2" xfId="1" xr:uid="{C8882312-74F5-4251-A9F9-FDA7E555A9F9}"/>
    <cellStyle name="Финансовый 4" xfId="3" xr:uid="{6FD522FC-CAF8-4763-8000-FDC320171188}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</xdr:row>
      <xdr:rowOff>95250</xdr:rowOff>
    </xdr:from>
    <xdr:to>
      <xdr:col>3</xdr:col>
      <xdr:colOff>2740521</xdr:colOff>
      <xdr:row>48</xdr:row>
      <xdr:rowOff>86920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A23C6F5-1729-4FF5-9718-9A2B214B6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666750"/>
          <a:ext cx="7503021" cy="8564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9178-22BF-4B2D-BD43-48079FB294D1}">
  <dimension ref="A1:P65"/>
  <sheetViews>
    <sheetView tabSelected="1" topLeftCell="A47" workbookViewId="0">
      <selection activeCell="G54" sqref="G54:G55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6" width="12" bestFit="1" customWidth="1"/>
    <col min="7" max="7" width="29.28515625" bestFit="1" customWidth="1"/>
    <col min="8" max="8" width="14.7109375" customWidth="1"/>
    <col min="9" max="9" width="22.85546875" customWidth="1"/>
    <col min="10" max="10" width="19.28515625" customWidth="1"/>
    <col min="11" max="11" width="23.42578125" bestFit="1" customWidth="1"/>
    <col min="12" max="12" width="21.140625" bestFit="1" customWidth="1"/>
    <col min="13" max="13" width="20.5703125" customWidth="1"/>
    <col min="14" max="14" width="20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45900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26.25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84.701999999999998</v>
      </c>
      <c r="K7" s="21">
        <v>87.035250000000005</v>
      </c>
      <c r="L7" s="21">
        <v>145828125</v>
      </c>
      <c r="M7" s="21">
        <v>5439703125.000001</v>
      </c>
      <c r="N7" s="25">
        <v>12.978587393125368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97.928700000000006</v>
      </c>
      <c r="K8" s="21">
        <v>99.084616666666705</v>
      </c>
      <c r="L8" s="21">
        <v>57795833.333333299</v>
      </c>
      <c r="M8" s="21">
        <v>4954230833.3333302</v>
      </c>
      <c r="N8" s="25">
        <v>11.8202990785702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86.315899999999999</v>
      </c>
      <c r="K9" s="21">
        <v>90.302566666666706</v>
      </c>
      <c r="L9" s="21">
        <v>149500000</v>
      </c>
      <c r="M9" s="21">
        <v>3386346250</v>
      </c>
      <c r="N9" s="25">
        <v>8.0794833355923892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84.406199999999998</v>
      </c>
      <c r="K10" s="21">
        <v>88.989533333333299</v>
      </c>
      <c r="L10" s="21">
        <v>171875000</v>
      </c>
      <c r="M10" s="21">
        <v>3337107500</v>
      </c>
      <c r="N10" s="25">
        <v>7.9620046046178503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82.436000000000007</v>
      </c>
      <c r="K11" s="21">
        <v>83.373777777777804</v>
      </c>
      <c r="L11" s="21">
        <v>35166666.666666701</v>
      </c>
      <c r="M11" s="21">
        <v>3126516666.6666698</v>
      </c>
      <c r="N11" s="25">
        <v>7.4595559467036798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77.218999999999994</v>
      </c>
      <c r="K12" s="21">
        <v>81.882611111111103</v>
      </c>
      <c r="L12" s="21">
        <v>174885416.66666701</v>
      </c>
      <c r="M12" s="21">
        <v>3070597916.6666698</v>
      </c>
      <c r="N12" s="25">
        <v>7.3261394040887096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67.825699999999998</v>
      </c>
      <c r="K13" s="21">
        <v>70.970977777777804</v>
      </c>
      <c r="L13" s="21">
        <v>117947916.666667</v>
      </c>
      <c r="M13" s="21">
        <v>2661411666.6666698</v>
      </c>
      <c r="N13" s="25">
        <v>6.3498619522396798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75.783000000000001</v>
      </c>
      <c r="K14" s="21">
        <v>76.788833333333301</v>
      </c>
      <c r="L14" s="21">
        <v>37718750</v>
      </c>
      <c r="M14" s="21">
        <v>2879581250</v>
      </c>
      <c r="N14" s="25">
        <v>6.8703927493708896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61.530700000000003</v>
      </c>
      <c r="K15" s="21">
        <v>63.951700000000002</v>
      </c>
      <c r="L15" s="21">
        <v>90787500</v>
      </c>
      <c r="M15" s="21">
        <v>2398188750</v>
      </c>
      <c r="N15" s="25">
        <v>5.7218384095336203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60.118899999999996</v>
      </c>
      <c r="K16" s="21">
        <v>64.848816666666707</v>
      </c>
      <c r="L16" s="21">
        <v>177371875</v>
      </c>
      <c r="M16" s="21">
        <v>2431830625</v>
      </c>
      <c r="N16" s="25">
        <v>5.8021045572852197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84.893699999999995</v>
      </c>
      <c r="K17" s="21">
        <v>90.660366666666704</v>
      </c>
      <c r="L17" s="21">
        <v>115333333.333333</v>
      </c>
      <c r="M17" s="21">
        <v>1813207333.3333299</v>
      </c>
      <c r="N17" s="25">
        <v>4.3261312789974102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84.893699999999995</v>
      </c>
      <c r="K18" s="21">
        <v>90.660366666666704</v>
      </c>
      <c r="L18" s="21">
        <v>173000000</v>
      </c>
      <c r="M18" s="21">
        <v>2719811000</v>
      </c>
      <c r="N18" s="25">
        <v>6.4891969184961198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82.436000000000007</v>
      </c>
      <c r="K19" s="21">
        <v>83.373777777777804</v>
      </c>
      <c r="L19" s="21">
        <v>9377777.7777777798</v>
      </c>
      <c r="M19" s="21">
        <v>833737777.77777803</v>
      </c>
      <c r="N19" s="25">
        <v>1.98921491912098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70.938000000000002</v>
      </c>
      <c r="K20" s="21">
        <v>71.087722222222197</v>
      </c>
      <c r="L20" s="21">
        <v>1497222.2222222199</v>
      </c>
      <c r="M20" s="21">
        <v>710877222.22222197</v>
      </c>
      <c r="N20" s="25">
        <v>1.69608192623441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93.3070672857652</v>
      </c>
      <c r="K21" s="21">
        <v>107.48790061909899</v>
      </c>
      <c r="L21" s="21">
        <v>283616666.66666698</v>
      </c>
      <c r="M21" s="21">
        <v>2149758012.3819699</v>
      </c>
      <c r="N21" s="25">
        <v>5.1291075260234704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1741702083.3333299</v>
      </c>
      <c r="M22" s="35">
        <v>41912905929.048599</v>
      </c>
      <c r="N22" s="36">
        <v>100</v>
      </c>
      <c r="O22" s="41">
        <v>41912905929.048637</v>
      </c>
      <c r="P22" s="101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295436.5</v>
      </c>
      <c r="E24" s="99">
        <v>295436.5</v>
      </c>
      <c r="F24" s="100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39" thickBot="1" x14ac:dyDescent="0.3">
      <c r="A28" s="53">
        <v>1</v>
      </c>
      <c r="B28" s="54" t="s">
        <v>49</v>
      </c>
      <c r="C28" s="55" t="s">
        <v>50</v>
      </c>
      <c r="D28" s="56">
        <v>134208</v>
      </c>
      <c r="E28" s="57" t="s">
        <v>35</v>
      </c>
      <c r="F28" s="58">
        <v>45898</v>
      </c>
      <c r="G28" s="58">
        <v>45902</v>
      </c>
      <c r="H28" s="59">
        <v>89.413700002980448</v>
      </c>
      <c r="I28" s="59">
        <v>89.568031488435849</v>
      </c>
      <c r="J28" s="60">
        <v>12000033.85</v>
      </c>
      <c r="K28" s="60">
        <v>12020746.369999999</v>
      </c>
      <c r="L28" s="61">
        <v>15.7501</v>
      </c>
      <c r="M28" s="62">
        <v>10356.26</v>
      </c>
      <c r="N28" s="63">
        <v>12010390.109999999</v>
      </c>
      <c r="O28" s="51"/>
    </row>
    <row r="29" spans="1:16" ht="39" thickBot="1" x14ac:dyDescent="0.3">
      <c r="A29" s="53">
        <v>2</v>
      </c>
      <c r="B29" s="54" t="s">
        <v>51</v>
      </c>
      <c r="C29" s="55" t="s">
        <v>52</v>
      </c>
      <c r="D29" s="56">
        <v>9777086</v>
      </c>
      <c r="E29" s="57" t="s">
        <v>35</v>
      </c>
      <c r="F29" s="58">
        <v>45895</v>
      </c>
      <c r="G29" s="58">
        <v>45909</v>
      </c>
      <c r="H29" s="59">
        <v>960.41399999959106</v>
      </c>
      <c r="I29" s="59">
        <v>966.25279086529497</v>
      </c>
      <c r="J29" s="60">
        <v>9390050273.6000004</v>
      </c>
      <c r="K29" s="60">
        <v>9447136634.0300007</v>
      </c>
      <c r="L29" s="61">
        <v>15.85</v>
      </c>
      <c r="M29" s="62">
        <v>20387985.870000001</v>
      </c>
      <c r="N29" s="63">
        <v>9410438259.4699993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21</v>
      </c>
      <c r="D30" s="56">
        <v>374504</v>
      </c>
      <c r="E30" s="57" t="s">
        <v>35</v>
      </c>
      <c r="F30" s="58">
        <v>45898</v>
      </c>
      <c r="G30" s="58">
        <v>45902</v>
      </c>
      <c r="H30" s="59">
        <v>902.73700000533995</v>
      </c>
      <c r="I30" s="59">
        <v>904.30998830453098</v>
      </c>
      <c r="J30" s="60">
        <v>338078617.44999999</v>
      </c>
      <c r="K30" s="60">
        <v>338667707.86000001</v>
      </c>
      <c r="L30" s="61">
        <v>15.9</v>
      </c>
      <c r="M30" s="62">
        <v>294545.21000000002</v>
      </c>
      <c r="N30" s="63">
        <v>338373162.64999998</v>
      </c>
      <c r="O30" s="51"/>
    </row>
    <row r="31" spans="1:16" ht="26.25" thickBot="1" x14ac:dyDescent="0.3">
      <c r="A31" s="53">
        <v>4</v>
      </c>
      <c r="B31" s="54" t="s">
        <v>54</v>
      </c>
      <c r="C31" s="55" t="s">
        <v>55</v>
      </c>
      <c r="D31" s="56">
        <v>784232</v>
      </c>
      <c r="E31" s="57" t="s">
        <v>35</v>
      </c>
      <c r="F31" s="58">
        <v>45898</v>
      </c>
      <c r="G31" s="58">
        <v>45902</v>
      </c>
      <c r="H31" s="59">
        <v>748.79300000510102</v>
      </c>
      <c r="I31" s="59">
        <v>750.09774616439995</v>
      </c>
      <c r="J31" s="60">
        <v>587227431.98000002</v>
      </c>
      <c r="K31" s="60">
        <v>588250655.66999996</v>
      </c>
      <c r="L31" s="61">
        <v>15.9</v>
      </c>
      <c r="M31" s="62">
        <v>511611.84</v>
      </c>
      <c r="N31" s="63">
        <v>587739043.83000004</v>
      </c>
      <c r="O31" s="51"/>
    </row>
    <row r="32" spans="1:16" ht="26.25" thickBot="1" x14ac:dyDescent="0.3">
      <c r="A32" s="53">
        <v>5</v>
      </c>
      <c r="B32" s="54" t="s">
        <v>56</v>
      </c>
      <c r="C32" s="55" t="s">
        <v>57</v>
      </c>
      <c r="D32" s="56">
        <v>811124</v>
      </c>
      <c r="E32" s="57" t="s">
        <v>35</v>
      </c>
      <c r="F32" s="58">
        <v>45898</v>
      </c>
      <c r="G32" s="58">
        <v>45902</v>
      </c>
      <c r="H32" s="59">
        <v>982.13599999506903</v>
      </c>
      <c r="I32" s="59">
        <v>983.84733833544601</v>
      </c>
      <c r="J32" s="60">
        <v>796634080.86000001</v>
      </c>
      <c r="K32" s="60">
        <v>798022188.46000004</v>
      </c>
      <c r="L32" s="61">
        <v>15.9</v>
      </c>
      <c r="M32" s="62">
        <v>694053.8</v>
      </c>
      <c r="N32" s="63">
        <v>797328134.65999997</v>
      </c>
      <c r="O32" s="51"/>
    </row>
    <row r="33" spans="1:16" ht="26.25" thickBot="1" x14ac:dyDescent="0.3">
      <c r="A33" s="53">
        <v>6</v>
      </c>
      <c r="B33" s="54" t="s">
        <v>58</v>
      </c>
      <c r="C33" s="55" t="s">
        <v>59</v>
      </c>
      <c r="D33" s="56">
        <v>668000</v>
      </c>
      <c r="E33" s="57" t="s">
        <v>35</v>
      </c>
      <c r="F33" s="58">
        <v>45898</v>
      </c>
      <c r="G33" s="58">
        <v>45902</v>
      </c>
      <c r="H33" s="59">
        <v>500.12560000000002</v>
      </c>
      <c r="I33" s="59">
        <v>500.997051736527</v>
      </c>
      <c r="J33" s="60">
        <v>334083900.80000001</v>
      </c>
      <c r="K33" s="60">
        <v>334666030.56</v>
      </c>
      <c r="L33" s="61">
        <v>15.9</v>
      </c>
      <c r="M33" s="62">
        <v>291064.88</v>
      </c>
      <c r="N33" s="63">
        <v>334374965.68000001</v>
      </c>
      <c r="O33" s="51"/>
    </row>
    <row r="34" spans="1:16" ht="15.75" thickBot="1" x14ac:dyDescent="0.3">
      <c r="A34" s="64"/>
      <c r="B34" s="65"/>
      <c r="C34" s="66"/>
      <c r="D34" s="67"/>
      <c r="E34" s="68"/>
      <c r="F34" s="69"/>
      <c r="G34" s="69"/>
      <c r="H34" s="68"/>
      <c r="I34" s="68"/>
      <c r="J34" s="70"/>
      <c r="K34" s="68"/>
      <c r="L34" s="71"/>
      <c r="M34" s="72">
        <v>22189617.859999999</v>
      </c>
      <c r="N34" s="72">
        <v>11480263956.4</v>
      </c>
      <c r="O34" s="102">
        <v>11480263956.39786</v>
      </c>
      <c r="P34" s="103">
        <f>N34-O34</f>
        <v>2.140045166015625E-3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7.75" thickBot="1" x14ac:dyDescent="0.35">
      <c r="A36" s="75"/>
      <c r="B36" s="76" t="s">
        <v>60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5.5" x14ac:dyDescent="0.3">
      <c r="A37" s="75"/>
      <c r="B37" s="77" t="s">
        <v>61</v>
      </c>
      <c r="C37" s="77" t="s">
        <v>62</v>
      </c>
      <c r="D37" s="77" t="s">
        <v>39</v>
      </c>
      <c r="E37" s="77" t="s">
        <v>63</v>
      </c>
      <c r="F37" s="77" t="s">
        <v>64</v>
      </c>
      <c r="G37" s="77" t="s">
        <v>65</v>
      </c>
      <c r="H37" s="77" t="s">
        <v>66</v>
      </c>
      <c r="I37" s="43"/>
      <c r="J37" s="43"/>
      <c r="K37" s="43"/>
      <c r="L37" s="43"/>
      <c r="M37" s="43"/>
      <c r="N37" s="74">
        <v>0</v>
      </c>
      <c r="O37" s="73"/>
    </row>
    <row r="38" spans="1:16" ht="18.75" x14ac:dyDescent="0.3">
      <c r="A38" s="75"/>
      <c r="B38" s="78">
        <v>1</v>
      </c>
      <c r="C38" s="79"/>
      <c r="D38" s="79"/>
      <c r="E38" s="80"/>
      <c r="F38" s="80"/>
      <c r="G38" s="79"/>
      <c r="H38" s="79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81" t="s">
        <v>67</v>
      </c>
      <c r="C40" s="95">
        <v>53393465321.946503</v>
      </c>
      <c r="D40" s="104">
        <v>53393465321.946495</v>
      </c>
      <c r="E40" s="105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52" t="s">
        <v>68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9.5" thickBot="1" x14ac:dyDescent="0.35">
      <c r="A45" s="75"/>
      <c r="B45" s="42" t="s">
        <v>69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25.5" x14ac:dyDescent="0.3">
      <c r="A46" s="75"/>
      <c r="B46" s="77" t="s">
        <v>61</v>
      </c>
      <c r="C46" s="77" t="s">
        <v>62</v>
      </c>
      <c r="D46" s="77" t="s">
        <v>39</v>
      </c>
      <c r="E46" s="77" t="s">
        <v>63</v>
      </c>
      <c r="F46" s="77" t="s">
        <v>64</v>
      </c>
      <c r="G46" s="77" t="s">
        <v>65</v>
      </c>
      <c r="H46" s="77" t="s">
        <v>66</v>
      </c>
      <c r="I46" s="43"/>
      <c r="J46" s="43"/>
      <c r="K46" s="43"/>
      <c r="L46" s="43"/>
      <c r="M46" s="43"/>
      <c r="N46" s="74">
        <v>0</v>
      </c>
    </row>
    <row r="47" spans="1:16" ht="18" x14ac:dyDescent="0.25">
      <c r="A47" s="42"/>
      <c r="B47" s="78">
        <v>1</v>
      </c>
      <c r="C47" s="79"/>
      <c r="D47" s="79"/>
      <c r="E47" s="80"/>
      <c r="F47" s="80"/>
      <c r="G47" s="79"/>
      <c r="H47" s="79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70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2" t="s">
        <v>71</v>
      </c>
      <c r="C50" s="82" t="s">
        <v>62</v>
      </c>
      <c r="D50" s="82" t="s">
        <v>72</v>
      </c>
      <c r="E50" s="82" t="s">
        <v>73</v>
      </c>
      <c r="F50" s="82" t="s">
        <v>90</v>
      </c>
      <c r="G50" s="82" t="s">
        <v>91</v>
      </c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3" t="s">
        <v>74</v>
      </c>
      <c r="C51" s="83">
        <v>1</v>
      </c>
      <c r="D51" s="83">
        <v>2</v>
      </c>
      <c r="E51" s="109">
        <v>3</v>
      </c>
      <c r="F51" s="80"/>
      <c r="G51" s="79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4">
        <v>1</v>
      </c>
      <c r="C52" s="85" t="s">
        <v>75</v>
      </c>
      <c r="D52" s="86">
        <f>'Расчет ДУ'!H2</f>
        <v>3994256.0642173821</v>
      </c>
      <c r="E52" s="110"/>
      <c r="F52" s="80"/>
      <c r="G52" s="79"/>
      <c r="H52" s="43"/>
      <c r="I52" s="97">
        <v>1651146745720.6499</v>
      </c>
      <c r="J52" s="98" t="s">
        <v>88</v>
      </c>
      <c r="K52" s="43"/>
      <c r="L52" s="43"/>
      <c r="M52" s="43"/>
      <c r="N52" s="74">
        <v>0</v>
      </c>
    </row>
    <row r="53" spans="1:14" ht="30.75" x14ac:dyDescent="0.3">
      <c r="A53" s="75"/>
      <c r="B53" s="87">
        <v>2</v>
      </c>
      <c r="C53" s="88" t="s">
        <v>76</v>
      </c>
      <c r="D53" s="41"/>
      <c r="E53" s="111"/>
      <c r="F53" s="80"/>
      <c r="G53" s="79"/>
      <c r="H53" s="43"/>
      <c r="I53" s="97">
        <v>53262798249.050003</v>
      </c>
      <c r="J53" s="98" t="s">
        <v>89</v>
      </c>
      <c r="K53" s="104"/>
      <c r="L53" s="106"/>
      <c r="M53" s="43"/>
      <c r="N53" s="74">
        <v>0</v>
      </c>
    </row>
    <row r="54" spans="1:14" ht="30.75" x14ac:dyDescent="0.3">
      <c r="A54" s="75"/>
      <c r="B54" s="87">
        <v>3</v>
      </c>
      <c r="C54" s="88" t="s">
        <v>77</v>
      </c>
      <c r="D54" s="89">
        <v>678553.45</v>
      </c>
      <c r="E54" s="111"/>
      <c r="F54" s="122">
        <v>759553.45714547462</v>
      </c>
      <c r="G54" s="124">
        <f>D54+D55-F54</f>
        <v>-7.1454746648669243E-3</v>
      </c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7">
        <v>4</v>
      </c>
      <c r="C55" s="88" t="s">
        <v>78</v>
      </c>
      <c r="D55" s="89">
        <v>81000</v>
      </c>
      <c r="E55" s="111"/>
      <c r="F55" s="123"/>
      <c r="G55" s="125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7">
        <v>5</v>
      </c>
      <c r="C56" s="88" t="s">
        <v>79</v>
      </c>
      <c r="D56" s="89">
        <v>0</v>
      </c>
      <c r="E56" s="111"/>
      <c r="F56" s="114"/>
      <c r="G56" s="115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7">
        <v>6</v>
      </c>
      <c r="C57" s="88" t="s">
        <v>80</v>
      </c>
      <c r="D57" s="89">
        <v>467590.16913628927</v>
      </c>
      <c r="E57" s="111"/>
      <c r="F57" s="114"/>
      <c r="G57" s="115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7">
        <v>7</v>
      </c>
      <c r="C58" s="88" t="s">
        <v>81</v>
      </c>
      <c r="D58" s="89">
        <v>259339.71</v>
      </c>
      <c r="E58" s="111"/>
      <c r="F58" s="116">
        <v>259339.70999999993</v>
      </c>
      <c r="G58" s="115">
        <f>D58-F58</f>
        <v>0</v>
      </c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7">
        <v>8</v>
      </c>
      <c r="C59" s="88" t="s">
        <v>82</v>
      </c>
      <c r="D59" s="89">
        <v>518940.35</v>
      </c>
      <c r="E59" s="111"/>
      <c r="F59" s="116">
        <v>518940.35</v>
      </c>
      <c r="G59" s="115">
        <f>D59-F59</f>
        <v>0</v>
      </c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7">
        <v>9</v>
      </c>
      <c r="C60" s="88" t="s">
        <v>83</v>
      </c>
      <c r="D60" s="89">
        <v>0</v>
      </c>
      <c r="E60" s="111"/>
      <c r="F60" s="80"/>
      <c r="G60" s="79"/>
      <c r="H60" s="43"/>
      <c r="I60" s="43"/>
      <c r="J60" s="43"/>
      <c r="K60" s="43"/>
      <c r="L60" s="43"/>
      <c r="M60" s="43"/>
      <c r="N60" s="74">
        <v>0</v>
      </c>
    </row>
    <row r="61" spans="1:14" ht="45.75" x14ac:dyDescent="0.3">
      <c r="A61" s="75"/>
      <c r="B61" s="87">
        <v>10</v>
      </c>
      <c r="C61" s="88" t="s">
        <v>84</v>
      </c>
      <c r="D61" s="89">
        <v>0</v>
      </c>
      <c r="E61" s="111"/>
      <c r="F61" s="80"/>
      <c r="G61" s="79"/>
      <c r="H61" s="43"/>
      <c r="I61" s="43"/>
      <c r="J61" s="43"/>
      <c r="K61" s="43"/>
      <c r="L61" s="43"/>
      <c r="M61" s="43"/>
      <c r="N61" s="74">
        <v>0</v>
      </c>
    </row>
    <row r="62" spans="1:14" ht="46.5" thickBot="1" x14ac:dyDescent="0.35">
      <c r="A62" s="75"/>
      <c r="B62" s="90">
        <v>11</v>
      </c>
      <c r="C62" s="91" t="s">
        <v>85</v>
      </c>
      <c r="D62" s="92">
        <v>0</v>
      </c>
      <c r="E62" s="112"/>
      <c r="F62" s="80"/>
      <c r="G62" s="79"/>
      <c r="H62" s="43"/>
      <c r="I62" s="43"/>
      <c r="J62" s="43"/>
      <c r="K62" s="43"/>
      <c r="L62" s="43"/>
      <c r="M62" s="43"/>
      <c r="N62" s="74">
        <v>0</v>
      </c>
    </row>
    <row r="63" spans="1:14" ht="19.5" thickBot="1" x14ac:dyDescent="0.35">
      <c r="A63" s="75"/>
      <c r="B63" s="107" t="s">
        <v>86</v>
      </c>
      <c r="C63" s="108"/>
      <c r="D63" s="93">
        <f>SUM(D52:D62)</f>
        <v>5999679.7433536714</v>
      </c>
      <c r="E63" s="113"/>
      <c r="F63" s="80"/>
      <c r="G63" s="79"/>
      <c r="H63" s="43"/>
      <c r="I63" s="43"/>
      <c r="J63" s="43"/>
      <c r="K63" s="43"/>
      <c r="L63" s="43"/>
      <c r="M63" s="43"/>
      <c r="N63" s="74">
        <v>0</v>
      </c>
    </row>
    <row r="64" spans="1:14" ht="15.75" thickBot="1" x14ac:dyDescent="0.3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 spans="1:14" ht="15.75" thickBot="1" x14ac:dyDescent="0.3">
      <c r="A65" s="73"/>
      <c r="B65" s="94" t="s">
        <v>87</v>
      </c>
      <c r="C65" s="96">
        <v>53391927488.436501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</sheetData>
  <mergeCells count="3">
    <mergeCell ref="B63:C63"/>
    <mergeCell ref="F54:F55"/>
    <mergeCell ref="G54:G55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4F23-1429-4651-AE6B-A0861D2376BC}">
  <dimension ref="A1:H3"/>
  <sheetViews>
    <sheetView workbookViewId="0">
      <selection activeCell="C2" sqref="C2"/>
    </sheetView>
  </sheetViews>
  <sheetFormatPr defaultRowHeight="15" x14ac:dyDescent="0.25"/>
  <cols>
    <col min="1" max="1" width="17.5703125" style="41" bestFit="1" customWidth="1"/>
    <col min="2" max="2" width="26.42578125" style="41" bestFit="1" customWidth="1"/>
    <col min="3" max="3" width="27.85546875" style="41" bestFit="1" customWidth="1"/>
    <col min="4" max="4" width="60.7109375" style="41" bestFit="1" customWidth="1"/>
    <col min="5" max="5" width="33.140625" style="41" bestFit="1" customWidth="1"/>
    <col min="6" max="6" width="38.85546875" style="41" bestFit="1" customWidth="1"/>
    <col min="7" max="7" width="24.140625" style="41" bestFit="1" customWidth="1"/>
    <col min="8" max="8" width="14.5703125" style="41" bestFit="1" customWidth="1"/>
    <col min="9" max="16384" width="9.140625" style="41"/>
  </cols>
  <sheetData>
    <row r="1" spans="1:8" x14ac:dyDescent="0.25">
      <c r="A1" s="41" t="s">
        <v>92</v>
      </c>
      <c r="B1" s="41" t="s">
        <v>93</v>
      </c>
      <c r="C1" s="41" t="s">
        <v>94</v>
      </c>
      <c r="D1" s="41" t="s">
        <v>96</v>
      </c>
      <c r="E1" s="41" t="s">
        <v>97</v>
      </c>
      <c r="F1" s="41" t="s">
        <v>98</v>
      </c>
      <c r="G1" s="41" t="s">
        <v>99</v>
      </c>
      <c r="H1" s="41" t="s">
        <v>95</v>
      </c>
    </row>
    <row r="2" spans="1:8" x14ac:dyDescent="0.25">
      <c r="A2" s="117">
        <v>53262798249.053383</v>
      </c>
      <c r="B2" s="118">
        <f>Лист1!D54+Лист1!D55+Лист1!D57+Лист1!D58+Лист1!D59</f>
        <v>2005423.6791362893</v>
      </c>
      <c r="C2" s="119">
        <f>A2*0.09%/12</f>
        <v>3994709.8686790038</v>
      </c>
      <c r="D2" s="118">
        <v>3988583.7596433051</v>
      </c>
      <c r="E2" s="118">
        <v>3988579.9651977695</v>
      </c>
      <c r="F2" s="119">
        <f>E2-D2</f>
        <v>-3.794445535633713</v>
      </c>
      <c r="G2" s="118">
        <f>(A2-B2-C2)*0.09%/12</f>
        <v>3994259.8586629177</v>
      </c>
      <c r="H2" s="118">
        <f>G2+F2</f>
        <v>3994256.0642173821</v>
      </c>
    </row>
    <row r="3" spans="1:8" x14ac:dyDescent="0.25">
      <c r="A3" s="120"/>
      <c r="B3" s="12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Расчет ДУ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2025-09-02T09:40:57Z</dcterms:created>
  <dcterms:modified xsi:type="dcterms:W3CDTF">2025-09-03T07:52:49Z</dcterms:modified>
</cp:coreProperties>
</file>